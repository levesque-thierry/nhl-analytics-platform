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erry\OneDrive\Pool\Saison 17-18\"/>
    </mc:Choice>
  </mc:AlternateContent>
  <bookViews>
    <workbookView xWindow="0" yWindow="0" windowWidth="20490" windowHeight="7755" activeTab="2"/>
  </bookViews>
  <sheets>
    <sheet name="Liste" sheetId="3" r:id="rId1"/>
    <sheet name="Comparatif listes" sheetId="9" r:id="rId2"/>
    <sheet name="Final" sheetId="7" r:id="rId3"/>
    <sheet name="BCP stats" sheetId="8" r:id="rId4"/>
    <sheet name="Manquants" sheetId="5" r:id="rId5"/>
    <sheet name="ESPN" sheetId="4" r:id="rId6"/>
    <sheet name="CBS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P164" i="3" l="1"/>
  <c r="P106" i="3"/>
  <c r="P166" i="3"/>
  <c r="P165" i="3"/>
  <c r="D102" i="3"/>
  <c r="D113" i="3"/>
  <c r="D84" i="3"/>
  <c r="D5" i="3"/>
  <c r="D45" i="3"/>
  <c r="D75" i="3"/>
  <c r="D27" i="3"/>
  <c r="D71" i="3"/>
  <c r="D66" i="3"/>
  <c r="D119" i="3"/>
  <c r="D140" i="3"/>
  <c r="D128" i="3"/>
  <c r="D177" i="3"/>
  <c r="D67" i="3"/>
  <c r="D42" i="3"/>
  <c r="D36" i="3"/>
  <c r="D95" i="3"/>
  <c r="D164" i="3"/>
  <c r="E164" i="3" s="1"/>
  <c r="D160" i="3"/>
  <c r="D109" i="3"/>
  <c r="D122" i="3"/>
  <c r="D136" i="3"/>
  <c r="D137" i="3"/>
  <c r="D37" i="3"/>
  <c r="D14" i="3"/>
  <c r="D127" i="3"/>
  <c r="D23" i="3"/>
  <c r="D60" i="3"/>
  <c r="D103" i="3"/>
  <c r="D22" i="3"/>
  <c r="D52" i="3"/>
  <c r="D116" i="3"/>
  <c r="D173" i="3"/>
  <c r="D48" i="3"/>
  <c r="D171" i="3"/>
  <c r="D85" i="3"/>
  <c r="D149" i="3"/>
  <c r="D106" i="3"/>
  <c r="E106" i="3" s="1"/>
  <c r="D26" i="3"/>
  <c r="D130" i="3"/>
  <c r="D10" i="3"/>
  <c r="D97" i="3"/>
  <c r="D61" i="3"/>
  <c r="D57" i="3"/>
  <c r="D135" i="3"/>
  <c r="D76" i="3"/>
  <c r="D157" i="3"/>
  <c r="D39" i="3"/>
  <c r="D89" i="3"/>
  <c r="D99" i="3"/>
  <c r="D74" i="3"/>
  <c r="D63" i="3"/>
  <c r="D16" i="3"/>
  <c r="D21" i="3"/>
  <c r="D108" i="3"/>
  <c r="D169" i="3"/>
  <c r="D158" i="3"/>
  <c r="D91" i="3"/>
  <c r="D138" i="3"/>
  <c r="D114" i="3"/>
  <c r="D143" i="3"/>
  <c r="D72" i="3"/>
  <c r="D41" i="3"/>
  <c r="D58" i="3"/>
  <c r="D64" i="3"/>
  <c r="D15" i="3"/>
  <c r="D110" i="3"/>
  <c r="D107" i="3"/>
  <c r="D47" i="3"/>
  <c r="D98" i="3"/>
  <c r="D46" i="3"/>
  <c r="D96" i="3"/>
  <c r="D105" i="3"/>
  <c r="D17" i="3"/>
  <c r="D20" i="3"/>
  <c r="D111" i="3"/>
  <c r="D79" i="3"/>
  <c r="D166" i="3"/>
  <c r="E166" i="3" s="1"/>
  <c r="D51" i="3"/>
  <c r="D6" i="3"/>
  <c r="D86" i="3"/>
  <c r="D73" i="3"/>
  <c r="D33" i="3"/>
  <c r="D120" i="3"/>
  <c r="D70" i="3"/>
  <c r="D147" i="3"/>
  <c r="D172" i="3"/>
  <c r="D53" i="3"/>
  <c r="D65" i="3"/>
  <c r="D165" i="3"/>
  <c r="E165" i="3" s="1"/>
  <c r="D124" i="3"/>
  <c r="D134" i="3"/>
  <c r="D175" i="3"/>
  <c r="D28" i="3"/>
  <c r="D125" i="3"/>
  <c r="D168" i="3"/>
  <c r="D151" i="3"/>
  <c r="D7" i="3"/>
  <c r="D145" i="3"/>
  <c r="D32" i="3"/>
  <c r="D148" i="3"/>
  <c r="D167" i="3"/>
  <c r="D159" i="3"/>
  <c r="D121" i="3"/>
  <c r="D139" i="3"/>
  <c r="D83" i="3"/>
  <c r="D40" i="3"/>
  <c r="D31" i="3"/>
  <c r="D129" i="3"/>
  <c r="D170" i="3"/>
  <c r="D150" i="3"/>
  <c r="D142" i="3"/>
  <c r="D29" i="3"/>
  <c r="D62" i="3"/>
  <c r="D9" i="3"/>
  <c r="D176" i="3"/>
  <c r="D30" i="3"/>
  <c r="D34" i="3"/>
  <c r="D25" i="3"/>
  <c r="D94" i="3"/>
  <c r="D59" i="3"/>
  <c r="D87" i="3"/>
  <c r="D90" i="3"/>
  <c r="D155" i="3"/>
  <c r="D18" i="3"/>
  <c r="D11" i="3"/>
  <c r="D82" i="3"/>
  <c r="D50" i="3"/>
  <c r="D19" i="3"/>
  <c r="D81" i="3"/>
  <c r="D101" i="3"/>
  <c r="D117" i="3"/>
  <c r="D156" i="3"/>
  <c r="D77" i="3"/>
  <c r="D8" i="3"/>
  <c r="D49" i="3"/>
  <c r="D44" i="3"/>
  <c r="D161" i="3"/>
  <c r="D3" i="3"/>
  <c r="D123" i="3"/>
  <c r="D100" i="3"/>
  <c r="D153" i="3"/>
  <c r="D162" i="3"/>
  <c r="D13" i="3"/>
  <c r="D54" i="3"/>
  <c r="D43" i="3"/>
  <c r="D69" i="3"/>
  <c r="D112" i="3"/>
  <c r="D93" i="3"/>
  <c r="D133" i="3"/>
  <c r="D131" i="3"/>
  <c r="D146" i="3"/>
  <c r="D174" i="3"/>
  <c r="D56" i="3"/>
  <c r="D55" i="3"/>
  <c r="D154" i="3"/>
  <c r="D80" i="3"/>
  <c r="D92" i="3"/>
  <c r="D12" i="3"/>
  <c r="D141" i="3"/>
  <c r="D68" i="3"/>
  <c r="D4" i="3"/>
  <c r="D118" i="3"/>
  <c r="D88" i="3"/>
  <c r="D38" i="3"/>
  <c r="D24" i="3"/>
  <c r="D78" i="3"/>
  <c r="D152" i="3"/>
  <c r="D104" i="3"/>
  <c r="D126" i="3"/>
  <c r="D115" i="3"/>
  <c r="D35" i="3"/>
  <c r="D132" i="3"/>
  <c r="D144" i="3"/>
  <c r="D163" i="3"/>
  <c r="O147" i="3" l="1"/>
  <c r="P147" i="3" s="1"/>
  <c r="E147" i="3"/>
  <c r="O73" i="3"/>
  <c r="P73" i="3" s="1"/>
  <c r="E73" i="3"/>
  <c r="O17" i="3"/>
  <c r="P17" i="3" s="1"/>
  <c r="E17" i="3"/>
  <c r="O15" i="3"/>
  <c r="P15" i="3" s="1"/>
  <c r="E15" i="3"/>
  <c r="O91" i="3"/>
  <c r="P91" i="3" s="1"/>
  <c r="E91" i="3"/>
  <c r="O99" i="3"/>
  <c r="P99" i="3" s="1"/>
  <c r="E99" i="3"/>
  <c r="O97" i="3"/>
  <c r="P97" i="3" s="1"/>
  <c r="E97" i="3"/>
  <c r="O127" i="3"/>
  <c r="P127" i="3" s="1"/>
  <c r="E127" i="3"/>
  <c r="O35" i="3"/>
  <c r="P35" i="3" s="1"/>
  <c r="E35" i="3"/>
  <c r="O152" i="3"/>
  <c r="P152" i="3" s="1"/>
  <c r="E152" i="3"/>
  <c r="O88" i="3"/>
  <c r="P88" i="3" s="1"/>
  <c r="E88" i="3"/>
  <c r="O141" i="3"/>
  <c r="P141" i="3" s="1"/>
  <c r="E141" i="3"/>
  <c r="O154" i="3"/>
  <c r="P154" i="3" s="1"/>
  <c r="E154" i="3"/>
  <c r="O146" i="3"/>
  <c r="P146" i="3" s="1"/>
  <c r="E146" i="3"/>
  <c r="O112" i="3"/>
  <c r="P112" i="3" s="1"/>
  <c r="E112" i="3"/>
  <c r="O13" i="3"/>
  <c r="P13" i="3" s="1"/>
  <c r="E13" i="3"/>
  <c r="O123" i="3"/>
  <c r="P123" i="3" s="1"/>
  <c r="E123" i="3"/>
  <c r="O49" i="3"/>
  <c r="P49" i="3" s="1"/>
  <c r="E49" i="3"/>
  <c r="O117" i="3"/>
  <c r="P117" i="3" s="1"/>
  <c r="E117" i="3"/>
  <c r="O50" i="3"/>
  <c r="P50" i="3" s="1"/>
  <c r="E50" i="3"/>
  <c r="O155" i="3"/>
  <c r="P155" i="3" s="1"/>
  <c r="E155" i="3"/>
  <c r="O94" i="3"/>
  <c r="P94" i="3" s="1"/>
  <c r="E94" i="3"/>
  <c r="P176" i="3"/>
  <c r="E176" i="3"/>
  <c r="O142" i="3"/>
  <c r="P142" i="3" s="1"/>
  <c r="E142" i="3"/>
  <c r="O31" i="3"/>
  <c r="P31" i="3" s="1"/>
  <c r="E31" i="3"/>
  <c r="O121" i="3"/>
  <c r="P121" i="3" s="1"/>
  <c r="E121" i="3"/>
  <c r="O32" i="3"/>
  <c r="P32" i="3" s="1"/>
  <c r="E32" i="3"/>
  <c r="O168" i="3"/>
  <c r="P168" i="3" s="1"/>
  <c r="E168" i="3"/>
  <c r="O134" i="3"/>
  <c r="P134" i="3" s="1"/>
  <c r="E134" i="3"/>
  <c r="O53" i="3"/>
  <c r="P53" i="3" s="1"/>
  <c r="E53" i="3"/>
  <c r="O120" i="3"/>
  <c r="P120" i="3" s="1"/>
  <c r="E120" i="3"/>
  <c r="O6" i="3"/>
  <c r="P6" i="3" s="1"/>
  <c r="E6" i="3"/>
  <c r="O111" i="3"/>
  <c r="P111" i="3" s="1"/>
  <c r="E111" i="3"/>
  <c r="O96" i="3"/>
  <c r="P96" i="3" s="1"/>
  <c r="E96" i="3"/>
  <c r="O107" i="3"/>
  <c r="P107" i="3" s="1"/>
  <c r="E107" i="3"/>
  <c r="O58" i="3"/>
  <c r="P58" i="3" s="1"/>
  <c r="E58" i="3"/>
  <c r="O114" i="3"/>
  <c r="P114" i="3" s="1"/>
  <c r="E114" i="3"/>
  <c r="O169" i="3"/>
  <c r="P169" i="3" s="1"/>
  <c r="E169" i="3"/>
  <c r="O63" i="3"/>
  <c r="P63" i="3" s="1"/>
  <c r="E63" i="3"/>
  <c r="O39" i="3"/>
  <c r="P39" i="3" s="1"/>
  <c r="E39" i="3"/>
  <c r="O57" i="3"/>
  <c r="P57" i="3" s="1"/>
  <c r="E57" i="3"/>
  <c r="O130" i="3"/>
  <c r="P130" i="3" s="1"/>
  <c r="E130" i="3"/>
  <c r="O85" i="3"/>
  <c r="P85" i="3" s="1"/>
  <c r="E85" i="3"/>
  <c r="O116" i="3"/>
  <c r="P116" i="3" s="1"/>
  <c r="E116" i="3"/>
  <c r="O60" i="3"/>
  <c r="P60" i="3" s="1"/>
  <c r="E60" i="3"/>
  <c r="O37" i="3"/>
  <c r="P37" i="3" s="1"/>
  <c r="E37" i="3"/>
  <c r="O109" i="3"/>
  <c r="P109" i="3" s="1"/>
  <c r="E109" i="3"/>
  <c r="O36" i="3"/>
  <c r="P36" i="3" s="1"/>
  <c r="E36" i="3"/>
  <c r="O128" i="3"/>
  <c r="P128" i="3" s="1"/>
  <c r="E128" i="3"/>
  <c r="O71" i="3"/>
  <c r="P71" i="3" s="1"/>
  <c r="E71" i="3"/>
  <c r="O5" i="3"/>
  <c r="P5" i="3" s="1"/>
  <c r="E5" i="3"/>
  <c r="O24" i="3"/>
  <c r="P24" i="3" s="1"/>
  <c r="E24" i="3"/>
  <c r="O4" i="3"/>
  <c r="P4" i="3" s="1"/>
  <c r="E4" i="3"/>
  <c r="O92" i="3"/>
  <c r="P92" i="3" s="1"/>
  <c r="E92" i="3"/>
  <c r="O56" i="3"/>
  <c r="P56" i="3" s="1"/>
  <c r="E56" i="3"/>
  <c r="O133" i="3"/>
  <c r="P133" i="3" s="1"/>
  <c r="E133" i="3"/>
  <c r="O43" i="3"/>
  <c r="P43" i="3" s="1"/>
  <c r="E43" i="3"/>
  <c r="O153" i="3"/>
  <c r="P153" i="3" s="1"/>
  <c r="E153" i="3"/>
  <c r="O161" i="3"/>
  <c r="P161" i="3" s="1"/>
  <c r="E161" i="3"/>
  <c r="O77" i="3"/>
  <c r="P77" i="3" s="1"/>
  <c r="E77" i="3"/>
  <c r="O81" i="3"/>
  <c r="P81" i="3" s="1"/>
  <c r="E81" i="3"/>
  <c r="O11" i="3"/>
  <c r="P11" i="3" s="1"/>
  <c r="E11" i="3"/>
  <c r="O87" i="3"/>
  <c r="P87" i="3" s="1"/>
  <c r="E87" i="3"/>
  <c r="O34" i="3"/>
  <c r="P34" i="3" s="1"/>
  <c r="E34" i="3"/>
  <c r="O62" i="3"/>
  <c r="P62" i="3" s="1"/>
  <c r="E62" i="3"/>
  <c r="O170" i="3"/>
  <c r="P170" i="3" s="1"/>
  <c r="E170" i="3"/>
  <c r="O83" i="3"/>
  <c r="P83" i="3" s="1"/>
  <c r="E83" i="3"/>
  <c r="O167" i="3"/>
  <c r="P167" i="3" s="1"/>
  <c r="E167" i="3"/>
  <c r="O7" i="3"/>
  <c r="P7" i="3" s="1"/>
  <c r="E7" i="3"/>
  <c r="O28" i="3"/>
  <c r="P28" i="3" s="1"/>
  <c r="E28" i="3"/>
  <c r="O136" i="3"/>
  <c r="P136" i="3" s="1"/>
  <c r="E136" i="3"/>
  <c r="O163" i="3"/>
  <c r="P163" i="3" s="1"/>
  <c r="E163" i="3"/>
  <c r="O115" i="3"/>
  <c r="P115" i="3" s="1"/>
  <c r="E115" i="3"/>
  <c r="O78" i="3"/>
  <c r="P78" i="3" s="1"/>
  <c r="E78" i="3"/>
  <c r="O118" i="3"/>
  <c r="P118" i="3" s="1"/>
  <c r="E118" i="3"/>
  <c r="O12" i="3"/>
  <c r="P12" i="3" s="1"/>
  <c r="E12" i="3"/>
  <c r="O55" i="3"/>
  <c r="P55" i="3" s="1"/>
  <c r="E55" i="3"/>
  <c r="O131" i="3"/>
  <c r="P131" i="3" s="1"/>
  <c r="E131" i="3"/>
  <c r="O69" i="3"/>
  <c r="P69" i="3" s="1"/>
  <c r="E69" i="3"/>
  <c r="O162" i="3"/>
  <c r="P162" i="3" s="1"/>
  <c r="E162" i="3"/>
  <c r="O3" i="3"/>
  <c r="P3" i="3" s="1"/>
  <c r="E3" i="3"/>
  <c r="O8" i="3"/>
  <c r="P8" i="3" s="1"/>
  <c r="E8" i="3"/>
  <c r="O101" i="3"/>
  <c r="P101" i="3" s="1"/>
  <c r="E101" i="3"/>
  <c r="O82" i="3"/>
  <c r="P82" i="3" s="1"/>
  <c r="E82" i="3"/>
  <c r="O90" i="3"/>
  <c r="P90" i="3" s="1"/>
  <c r="E90" i="3"/>
  <c r="O25" i="3"/>
  <c r="P25" i="3" s="1"/>
  <c r="E25" i="3"/>
  <c r="O9" i="3"/>
  <c r="P9" i="3" s="1"/>
  <c r="E9" i="3"/>
  <c r="O150" i="3"/>
  <c r="P150" i="3" s="1"/>
  <c r="E150" i="3"/>
  <c r="O40" i="3"/>
  <c r="P40" i="3" s="1"/>
  <c r="E40" i="3"/>
  <c r="O159" i="3"/>
  <c r="P159" i="3" s="1"/>
  <c r="E159" i="3"/>
  <c r="O145" i="3"/>
  <c r="P145" i="3" s="1"/>
  <c r="E145" i="3"/>
  <c r="O125" i="3"/>
  <c r="P125" i="3" s="1"/>
  <c r="E125" i="3"/>
  <c r="O124" i="3"/>
  <c r="P124" i="3" s="1"/>
  <c r="E124" i="3"/>
  <c r="O172" i="3"/>
  <c r="P172" i="3" s="1"/>
  <c r="E172" i="3"/>
  <c r="O33" i="3"/>
  <c r="P33" i="3" s="1"/>
  <c r="E33" i="3"/>
  <c r="O51" i="3"/>
  <c r="P51" i="3" s="1"/>
  <c r="E51" i="3"/>
  <c r="O20" i="3"/>
  <c r="P20" i="3" s="1"/>
  <c r="E20" i="3"/>
  <c r="O46" i="3"/>
  <c r="P46" i="3" s="1"/>
  <c r="E46" i="3"/>
  <c r="O110" i="3"/>
  <c r="P110" i="3" s="1"/>
  <c r="E110" i="3"/>
  <c r="O41" i="3"/>
  <c r="P41" i="3" s="1"/>
  <c r="E41" i="3"/>
  <c r="O138" i="3"/>
  <c r="P138" i="3" s="1"/>
  <c r="E138" i="3"/>
  <c r="O108" i="3"/>
  <c r="P108" i="3" s="1"/>
  <c r="E108" i="3"/>
  <c r="O74" i="3"/>
  <c r="P74" i="3" s="1"/>
  <c r="E74" i="3"/>
  <c r="O157" i="3"/>
  <c r="P157" i="3" s="1"/>
  <c r="E157" i="3"/>
  <c r="O61" i="3"/>
  <c r="P61" i="3" s="1"/>
  <c r="E61" i="3"/>
  <c r="O26" i="3"/>
  <c r="P26" i="3" s="1"/>
  <c r="E26" i="3"/>
  <c r="O171" i="3"/>
  <c r="P171" i="3" s="1"/>
  <c r="E171" i="3"/>
  <c r="O52" i="3"/>
  <c r="P52" i="3" s="1"/>
  <c r="E52" i="3"/>
  <c r="O23" i="3"/>
  <c r="P23" i="3" s="1"/>
  <c r="E23" i="3"/>
  <c r="O137" i="3"/>
  <c r="P137" i="3" s="1"/>
  <c r="E137" i="3"/>
  <c r="O160" i="3"/>
  <c r="P160" i="3" s="1"/>
  <c r="E160" i="3"/>
  <c r="O42" i="3"/>
  <c r="P42" i="3" s="1"/>
  <c r="E42" i="3"/>
  <c r="O140" i="3"/>
  <c r="P140" i="3" s="1"/>
  <c r="E140" i="3"/>
  <c r="O27" i="3"/>
  <c r="P27" i="3" s="1"/>
  <c r="E27" i="3"/>
  <c r="O84" i="3"/>
  <c r="P84" i="3" s="1"/>
  <c r="E84" i="3"/>
  <c r="O126" i="3"/>
  <c r="P126" i="3" s="1"/>
  <c r="E126" i="3"/>
  <c r="O67" i="3"/>
  <c r="P67" i="3" s="1"/>
  <c r="E67" i="3"/>
  <c r="O119" i="3"/>
  <c r="P119" i="3" s="1"/>
  <c r="E119" i="3"/>
  <c r="O75" i="3"/>
  <c r="P75" i="3" s="1"/>
  <c r="E75" i="3"/>
  <c r="O113" i="3"/>
  <c r="P113" i="3" s="1"/>
  <c r="E113" i="3"/>
  <c r="O144" i="3"/>
  <c r="P144" i="3" s="1"/>
  <c r="E144" i="3"/>
  <c r="O98" i="3"/>
  <c r="P98" i="3" s="1"/>
  <c r="E98" i="3"/>
  <c r="O72" i="3"/>
  <c r="P72" i="3" s="1"/>
  <c r="E72" i="3"/>
  <c r="O21" i="3"/>
  <c r="P21" i="3" s="1"/>
  <c r="E21" i="3"/>
  <c r="O76" i="3"/>
  <c r="P76" i="3" s="1"/>
  <c r="E76" i="3"/>
  <c r="O48" i="3"/>
  <c r="P48" i="3" s="1"/>
  <c r="E48" i="3"/>
  <c r="O22" i="3"/>
  <c r="P22" i="3" s="1"/>
  <c r="E22" i="3"/>
  <c r="O132" i="3"/>
  <c r="P132" i="3" s="1"/>
  <c r="E132" i="3"/>
  <c r="O104" i="3"/>
  <c r="P104" i="3" s="1"/>
  <c r="E104" i="3"/>
  <c r="O38" i="3"/>
  <c r="P38" i="3" s="1"/>
  <c r="E38" i="3"/>
  <c r="O68" i="3"/>
  <c r="P68" i="3" s="1"/>
  <c r="E68" i="3"/>
  <c r="O80" i="3"/>
  <c r="P80" i="3" s="1"/>
  <c r="E80" i="3"/>
  <c r="O174" i="3"/>
  <c r="P174" i="3" s="1"/>
  <c r="E174" i="3"/>
  <c r="O93" i="3"/>
  <c r="P93" i="3" s="1"/>
  <c r="E93" i="3"/>
  <c r="O54" i="3"/>
  <c r="P54" i="3" s="1"/>
  <c r="E54" i="3"/>
  <c r="O100" i="3"/>
  <c r="P100" i="3" s="1"/>
  <c r="E100" i="3"/>
  <c r="O44" i="3"/>
  <c r="P44" i="3" s="1"/>
  <c r="E44" i="3"/>
  <c r="O156" i="3"/>
  <c r="P156" i="3" s="1"/>
  <c r="E156" i="3"/>
  <c r="O19" i="3"/>
  <c r="P19" i="3" s="1"/>
  <c r="E19" i="3"/>
  <c r="O18" i="3"/>
  <c r="P18" i="3" s="1"/>
  <c r="E18" i="3"/>
  <c r="O59" i="3"/>
  <c r="P59" i="3" s="1"/>
  <c r="E59" i="3"/>
  <c r="O30" i="3"/>
  <c r="P30" i="3" s="1"/>
  <c r="E30" i="3"/>
  <c r="O29" i="3"/>
  <c r="P29" i="3" s="1"/>
  <c r="E29" i="3"/>
  <c r="O129" i="3"/>
  <c r="P129" i="3" s="1"/>
  <c r="E129" i="3"/>
  <c r="O139" i="3"/>
  <c r="P139" i="3" s="1"/>
  <c r="E139" i="3"/>
  <c r="O148" i="3"/>
  <c r="P148" i="3" s="1"/>
  <c r="E148" i="3"/>
  <c r="O151" i="3"/>
  <c r="P151" i="3" s="1"/>
  <c r="E151" i="3"/>
  <c r="O175" i="3"/>
  <c r="P175" i="3" s="1"/>
  <c r="E175" i="3"/>
  <c r="O65" i="3"/>
  <c r="P65" i="3" s="1"/>
  <c r="E65" i="3"/>
  <c r="O70" i="3"/>
  <c r="P70" i="3" s="1"/>
  <c r="E70" i="3"/>
  <c r="O86" i="3"/>
  <c r="P86" i="3" s="1"/>
  <c r="E86" i="3"/>
  <c r="O79" i="3"/>
  <c r="P79" i="3" s="1"/>
  <c r="E79" i="3"/>
  <c r="O105" i="3"/>
  <c r="P105" i="3" s="1"/>
  <c r="E105" i="3"/>
  <c r="O47" i="3"/>
  <c r="P47" i="3" s="1"/>
  <c r="E47" i="3"/>
  <c r="O64" i="3"/>
  <c r="P64" i="3" s="1"/>
  <c r="E64" i="3"/>
  <c r="O143" i="3"/>
  <c r="P143" i="3" s="1"/>
  <c r="E143" i="3"/>
  <c r="O158" i="3"/>
  <c r="P158" i="3" s="1"/>
  <c r="E158" i="3"/>
  <c r="O16" i="3"/>
  <c r="P16" i="3" s="1"/>
  <c r="E16" i="3"/>
  <c r="O89" i="3"/>
  <c r="P89" i="3" s="1"/>
  <c r="E89" i="3"/>
  <c r="O135" i="3"/>
  <c r="P135" i="3" s="1"/>
  <c r="E135" i="3"/>
  <c r="O10" i="3"/>
  <c r="P10" i="3" s="1"/>
  <c r="E10" i="3"/>
  <c r="O149" i="3"/>
  <c r="P149" i="3" s="1"/>
  <c r="E149" i="3"/>
  <c r="O173" i="3"/>
  <c r="P173" i="3" s="1"/>
  <c r="E173" i="3"/>
  <c r="O103" i="3"/>
  <c r="P103" i="3" s="1"/>
  <c r="E103" i="3"/>
  <c r="O14" i="3"/>
  <c r="P14" i="3" s="1"/>
  <c r="E14" i="3"/>
  <c r="O122" i="3"/>
  <c r="P122" i="3" s="1"/>
  <c r="E122" i="3"/>
  <c r="O95" i="3"/>
  <c r="P95" i="3" s="1"/>
  <c r="E95" i="3"/>
  <c r="O177" i="3"/>
  <c r="P177" i="3" s="1"/>
  <c r="E177" i="3"/>
  <c r="O66" i="3"/>
  <c r="P66" i="3" s="1"/>
  <c r="E66" i="3"/>
  <c r="O45" i="3"/>
  <c r="P45" i="3" s="1"/>
  <c r="E45" i="3"/>
  <c r="O102" i="3"/>
  <c r="P102" i="3" s="1"/>
  <c r="E102" i="3"/>
  <c r="B5" i="9"/>
  <c r="T88" i="3"/>
  <c r="T31" i="3"/>
  <c r="T57" i="3"/>
  <c r="S59" i="3"/>
  <c r="T131" i="3"/>
  <c r="T134" i="3"/>
  <c r="T60" i="3"/>
  <c r="R134" i="3"/>
  <c r="T59" i="3"/>
  <c r="T114" i="3"/>
  <c r="S114" i="3"/>
  <c r="T111" i="3"/>
  <c r="T128" i="3"/>
  <c r="R57" i="3"/>
  <c r="S88" i="3"/>
  <c r="S31" i="3"/>
  <c r="S57" i="3"/>
  <c r="T144" i="3"/>
  <c r="T69" i="3"/>
  <c r="T34" i="3"/>
  <c r="T121" i="3"/>
  <c r="T53" i="3"/>
  <c r="T96" i="3"/>
  <c r="T169" i="3"/>
  <c r="T130" i="3"/>
  <c r="T37" i="3"/>
  <c r="T71" i="3"/>
  <c r="Q60" i="3"/>
  <c r="R109" i="3"/>
  <c r="S131" i="3"/>
  <c r="S134" i="3"/>
  <c r="S60" i="3"/>
  <c r="T126" i="3"/>
  <c r="T92" i="3"/>
  <c r="T162" i="3"/>
  <c r="T19" i="3"/>
  <c r="T176" i="3"/>
  <c r="T32" i="3"/>
  <c r="T120" i="3"/>
  <c r="T107" i="3"/>
  <c r="T63" i="3"/>
  <c r="T85" i="3"/>
  <c r="T109" i="3"/>
  <c r="T5" i="3"/>
  <c r="R131" i="3"/>
  <c r="S111" i="3"/>
  <c r="S128" i="3"/>
  <c r="T78" i="3"/>
  <c r="T56" i="3"/>
  <c r="T123" i="3"/>
  <c r="T142" i="3"/>
  <c r="T168" i="3"/>
  <c r="T6" i="3"/>
  <c r="T58" i="3"/>
  <c r="T39" i="3"/>
  <c r="T116" i="3"/>
  <c r="T36" i="3"/>
  <c r="Q128" i="3"/>
  <c r="R111" i="3"/>
  <c r="R130" i="3"/>
  <c r="R128" i="3"/>
  <c r="S144" i="3"/>
  <c r="S69" i="3"/>
  <c r="S34" i="3"/>
  <c r="S121" i="3"/>
  <c r="S53" i="3"/>
  <c r="S96" i="3"/>
  <c r="S169" i="3"/>
  <c r="S130" i="3"/>
  <c r="S37" i="3"/>
  <c r="S71" i="3"/>
  <c r="T68" i="3"/>
  <c r="T80" i="3"/>
  <c r="T133" i="3"/>
  <c r="T43" i="3"/>
  <c r="T153" i="3"/>
  <c r="T3" i="3"/>
  <c r="T49" i="3"/>
  <c r="T117" i="3"/>
  <c r="T50" i="3"/>
  <c r="T155" i="3"/>
  <c r="T94" i="3"/>
  <c r="T9" i="3"/>
  <c r="T150" i="3"/>
  <c r="T40" i="3"/>
  <c r="T159" i="3"/>
  <c r="T145" i="3"/>
  <c r="T125" i="3"/>
  <c r="T124" i="3"/>
  <c r="T33" i="3"/>
  <c r="T51" i="3"/>
  <c r="T20" i="3"/>
  <c r="T110" i="3"/>
  <c r="T41" i="3"/>
  <c r="T138" i="3"/>
  <c r="T74" i="3"/>
  <c r="T157" i="3"/>
  <c r="T61" i="3"/>
  <c r="T171" i="3"/>
  <c r="T52" i="3"/>
  <c r="T23" i="3"/>
  <c r="T160" i="3"/>
  <c r="T42" i="3"/>
  <c r="T140" i="3"/>
  <c r="T84" i="3"/>
  <c r="Q131" i="3"/>
  <c r="R59" i="3"/>
  <c r="R114" i="3"/>
  <c r="R60" i="3"/>
  <c r="R71" i="3"/>
  <c r="S126" i="3"/>
  <c r="S92" i="3"/>
  <c r="S162" i="3"/>
  <c r="S19" i="3"/>
  <c r="S176" i="3"/>
  <c r="S32" i="3"/>
  <c r="S120" i="3"/>
  <c r="S107" i="3"/>
  <c r="S63" i="3"/>
  <c r="S85" i="3"/>
  <c r="S109" i="3"/>
  <c r="S5" i="3"/>
  <c r="T35" i="3"/>
  <c r="T104" i="3"/>
  <c r="T24" i="3"/>
  <c r="T118" i="3"/>
  <c r="T141" i="3"/>
  <c r="T154" i="3"/>
  <c r="T174" i="3"/>
  <c r="T93" i="3"/>
  <c r="T54" i="3"/>
  <c r="T161" i="3"/>
  <c r="T8" i="3"/>
  <c r="T101" i="3"/>
  <c r="T82" i="3"/>
  <c r="T90" i="3"/>
  <c r="T62" i="3"/>
  <c r="T170" i="3"/>
  <c r="T83" i="3"/>
  <c r="T167" i="3"/>
  <c r="T7" i="3"/>
  <c r="T28" i="3"/>
  <c r="T165" i="3"/>
  <c r="T147" i="3"/>
  <c r="T73" i="3"/>
  <c r="T166" i="3"/>
  <c r="T17" i="3"/>
  <c r="T15" i="3"/>
  <c r="T72" i="3"/>
  <c r="T91" i="3"/>
  <c r="T99" i="3"/>
  <c r="T76" i="3"/>
  <c r="T97" i="3"/>
  <c r="T106" i="3"/>
  <c r="T48" i="3"/>
  <c r="T22" i="3"/>
  <c r="T127" i="3"/>
  <c r="T136" i="3"/>
  <c r="T164" i="3"/>
  <c r="T67" i="3"/>
  <c r="T75" i="3"/>
  <c r="T113" i="3"/>
  <c r="Q134" i="3"/>
  <c r="R88" i="3"/>
  <c r="R31" i="3"/>
  <c r="R169" i="3"/>
  <c r="R37" i="3"/>
  <c r="R5" i="3"/>
  <c r="S78" i="3"/>
  <c r="S56" i="3"/>
  <c r="S123" i="3"/>
  <c r="S142" i="3"/>
  <c r="S168" i="3"/>
  <c r="S6" i="3"/>
  <c r="S58" i="3"/>
  <c r="S39" i="3"/>
  <c r="S116" i="3"/>
  <c r="S36" i="3"/>
  <c r="T163" i="3"/>
  <c r="T115" i="3"/>
  <c r="T152" i="3"/>
  <c r="T4" i="3"/>
  <c r="T12" i="3"/>
  <c r="T55" i="3"/>
  <c r="T146" i="3"/>
  <c r="T112" i="3"/>
  <c r="T13" i="3"/>
  <c r="T44" i="3"/>
  <c r="T77" i="3"/>
  <c r="T81" i="3"/>
  <c r="T11" i="3"/>
  <c r="T87" i="3"/>
  <c r="T25" i="3"/>
  <c r="T29" i="3"/>
  <c r="T139" i="3"/>
  <c r="T151" i="3"/>
  <c r="T65" i="3"/>
  <c r="T86" i="3"/>
  <c r="T105" i="3"/>
  <c r="T64" i="3"/>
  <c r="T158" i="3"/>
  <c r="T89" i="3"/>
  <c r="T10" i="3"/>
  <c r="T173" i="3"/>
  <c r="T14" i="3"/>
  <c r="T95" i="3"/>
  <c r="T66" i="3"/>
  <c r="T102" i="3"/>
  <c r="Q111" i="3"/>
  <c r="R144" i="3"/>
  <c r="R69" i="3"/>
  <c r="R34" i="3"/>
  <c r="R121" i="3"/>
  <c r="R53" i="3"/>
  <c r="R96" i="3"/>
  <c r="S68" i="3"/>
  <c r="S133" i="3"/>
  <c r="S43" i="3"/>
  <c r="S153" i="3"/>
  <c r="S3" i="3"/>
  <c r="S49" i="3"/>
  <c r="S117" i="3"/>
  <c r="S50" i="3"/>
  <c r="S155" i="3"/>
  <c r="S94" i="3"/>
  <c r="S9" i="3"/>
  <c r="S150" i="3"/>
  <c r="S40" i="3"/>
  <c r="S159" i="3"/>
  <c r="S145" i="3"/>
  <c r="S125" i="3"/>
  <c r="S124" i="3"/>
  <c r="S33" i="3"/>
  <c r="S51" i="3"/>
  <c r="S20" i="3"/>
  <c r="S110" i="3"/>
  <c r="S41" i="3"/>
  <c r="S138" i="3"/>
  <c r="S74" i="3"/>
  <c r="S157" i="3"/>
  <c r="S61" i="3"/>
  <c r="S171" i="3"/>
  <c r="S52" i="3"/>
  <c r="S23" i="3"/>
  <c r="S160" i="3"/>
  <c r="S42" i="3"/>
  <c r="S140" i="3"/>
  <c r="S84" i="3"/>
  <c r="Q59" i="3"/>
  <c r="Q114" i="3"/>
  <c r="R92" i="3"/>
  <c r="R162" i="3"/>
  <c r="R19" i="3"/>
  <c r="R176" i="3"/>
  <c r="R32" i="3"/>
  <c r="R120" i="3"/>
  <c r="R107" i="3"/>
  <c r="R63" i="3"/>
  <c r="R85" i="3"/>
  <c r="S35" i="3"/>
  <c r="S104" i="3"/>
  <c r="S24" i="3"/>
  <c r="S118" i="3"/>
  <c r="S141" i="3"/>
  <c r="S154" i="3"/>
  <c r="S174" i="3"/>
  <c r="S93" i="3"/>
  <c r="S54" i="3"/>
  <c r="S161" i="3"/>
  <c r="S8" i="3"/>
  <c r="S101" i="3"/>
  <c r="S82" i="3"/>
  <c r="S90" i="3"/>
  <c r="S62" i="3"/>
  <c r="S170" i="3"/>
  <c r="S83" i="3"/>
  <c r="S167" i="3"/>
  <c r="S7" i="3"/>
  <c r="S28" i="3"/>
  <c r="S165" i="3"/>
  <c r="S147" i="3"/>
  <c r="S73" i="3"/>
  <c r="S166" i="3"/>
  <c r="S17" i="3"/>
  <c r="S15" i="3"/>
  <c r="S72" i="3"/>
  <c r="S91" i="3"/>
  <c r="S99" i="3"/>
  <c r="S76" i="3"/>
  <c r="S97" i="3"/>
  <c r="S106" i="3"/>
  <c r="S48" i="3"/>
  <c r="S22" i="3"/>
  <c r="S127" i="3"/>
  <c r="S136" i="3"/>
  <c r="S164" i="3"/>
  <c r="S67" i="3"/>
  <c r="S75" i="3"/>
  <c r="S113" i="3"/>
  <c r="Q88" i="3"/>
  <c r="Q31" i="3"/>
  <c r="Q57" i="3"/>
  <c r="R78" i="3"/>
  <c r="R56" i="3"/>
  <c r="R123" i="3"/>
  <c r="R142" i="3"/>
  <c r="R168" i="3"/>
  <c r="R6" i="3"/>
  <c r="R58" i="3"/>
  <c r="R39" i="3"/>
  <c r="R116" i="3"/>
  <c r="R36" i="3"/>
  <c r="S163" i="3"/>
  <c r="S115" i="3"/>
  <c r="S152" i="3"/>
  <c r="S4" i="3"/>
  <c r="S12" i="3"/>
  <c r="S55" i="3"/>
  <c r="S146" i="3"/>
  <c r="S112" i="3"/>
  <c r="S13" i="3"/>
  <c r="S44" i="3"/>
  <c r="S77" i="3"/>
  <c r="S81" i="3"/>
  <c r="S11" i="3"/>
  <c r="S87" i="3"/>
  <c r="S25" i="3"/>
  <c r="S29" i="3"/>
  <c r="S129" i="3"/>
  <c r="S139" i="3"/>
  <c r="S151" i="3"/>
  <c r="S175" i="3"/>
  <c r="S65" i="3"/>
  <c r="S86" i="3"/>
  <c r="S79" i="3"/>
  <c r="S105" i="3"/>
  <c r="S64" i="3"/>
  <c r="S143" i="3"/>
  <c r="S158" i="3"/>
  <c r="S89" i="3"/>
  <c r="S10" i="3"/>
  <c r="S173" i="3"/>
  <c r="S14" i="3"/>
  <c r="S95" i="3"/>
  <c r="S177" i="3"/>
  <c r="S66" i="3"/>
  <c r="S102" i="3"/>
  <c r="Q69" i="3"/>
  <c r="Q34" i="3"/>
  <c r="Q121" i="3"/>
  <c r="Q53" i="3"/>
  <c r="Q96" i="3"/>
  <c r="Q169" i="3"/>
  <c r="Q130" i="3"/>
  <c r="Q37" i="3"/>
  <c r="Q71" i="3"/>
  <c r="R68" i="3"/>
  <c r="R80" i="3"/>
  <c r="R133" i="3"/>
  <c r="R43" i="3"/>
  <c r="R153" i="3"/>
  <c r="R3" i="3"/>
  <c r="R49" i="3"/>
  <c r="R117" i="3"/>
  <c r="R50" i="3"/>
  <c r="R155" i="3"/>
  <c r="R94" i="3"/>
  <c r="R9" i="3"/>
  <c r="R150" i="3"/>
  <c r="R40" i="3"/>
  <c r="R159" i="3"/>
  <c r="R145" i="3"/>
  <c r="R125" i="3"/>
  <c r="R124" i="3"/>
  <c r="R172" i="3"/>
  <c r="R33" i="3"/>
  <c r="R51" i="3"/>
  <c r="R20" i="3"/>
  <c r="R110" i="3"/>
  <c r="R41" i="3"/>
  <c r="R138" i="3"/>
  <c r="R74" i="3"/>
  <c r="R157" i="3"/>
  <c r="R61" i="3"/>
  <c r="R171" i="3"/>
  <c r="R52" i="3"/>
  <c r="R23" i="3"/>
  <c r="R160" i="3"/>
  <c r="R42" i="3"/>
  <c r="R140" i="3"/>
  <c r="R84" i="3"/>
  <c r="Q126" i="3"/>
  <c r="Q92" i="3"/>
  <c r="Q162" i="3"/>
  <c r="Q19" i="3"/>
  <c r="Q176" i="3"/>
  <c r="Q32" i="3"/>
  <c r="Q120" i="3"/>
  <c r="Q107" i="3"/>
  <c r="Q63" i="3"/>
  <c r="Q85" i="3"/>
  <c r="Q109" i="3"/>
  <c r="Q5" i="3"/>
  <c r="R35" i="3"/>
  <c r="R104" i="3"/>
  <c r="R24" i="3"/>
  <c r="R118" i="3"/>
  <c r="R141" i="3"/>
  <c r="R154" i="3"/>
  <c r="R174" i="3"/>
  <c r="R54" i="3"/>
  <c r="R161" i="3"/>
  <c r="R8" i="3"/>
  <c r="R101" i="3"/>
  <c r="R82" i="3"/>
  <c r="R90" i="3"/>
  <c r="R62" i="3"/>
  <c r="R170" i="3"/>
  <c r="R83" i="3"/>
  <c r="R167" i="3"/>
  <c r="R7" i="3"/>
  <c r="R28" i="3"/>
  <c r="R165" i="3"/>
  <c r="R147" i="3"/>
  <c r="R73" i="3"/>
  <c r="R166" i="3"/>
  <c r="R17" i="3"/>
  <c r="R15" i="3"/>
  <c r="R72" i="3"/>
  <c r="R91" i="3"/>
  <c r="R99" i="3"/>
  <c r="R76" i="3"/>
  <c r="R97" i="3"/>
  <c r="R106" i="3"/>
  <c r="R22" i="3"/>
  <c r="R127" i="3"/>
  <c r="R136" i="3"/>
  <c r="R164" i="3"/>
  <c r="R67" i="3"/>
  <c r="R119" i="3"/>
  <c r="R75" i="3"/>
  <c r="Q78" i="3"/>
  <c r="Q56" i="3"/>
  <c r="Q123" i="3"/>
  <c r="Q142" i="3"/>
  <c r="Q168" i="3"/>
  <c r="Q6" i="3"/>
  <c r="Q58" i="3"/>
  <c r="Q39" i="3"/>
  <c r="Q116" i="3"/>
  <c r="Q36" i="3"/>
  <c r="R163" i="3"/>
  <c r="R115" i="3"/>
  <c r="R152" i="3"/>
  <c r="R4" i="3"/>
  <c r="R12" i="3"/>
  <c r="R55" i="3"/>
  <c r="R146" i="3"/>
  <c r="R112" i="3"/>
  <c r="R13" i="3"/>
  <c r="R44" i="3"/>
  <c r="R77" i="3"/>
  <c r="R81" i="3"/>
  <c r="R11" i="3"/>
  <c r="R87" i="3"/>
  <c r="R25" i="3"/>
  <c r="R29" i="3"/>
  <c r="R129" i="3"/>
  <c r="R139" i="3"/>
  <c r="R151" i="3"/>
  <c r="R175" i="3"/>
  <c r="R65" i="3"/>
  <c r="R86" i="3"/>
  <c r="R79" i="3"/>
  <c r="R105" i="3"/>
  <c r="R64" i="3"/>
  <c r="R143" i="3"/>
  <c r="R158" i="3"/>
  <c r="R89" i="3"/>
  <c r="R135" i="3"/>
  <c r="R10" i="3"/>
  <c r="R173" i="3"/>
  <c r="R14" i="3"/>
  <c r="R95" i="3"/>
  <c r="R177" i="3"/>
  <c r="R66" i="3"/>
  <c r="R102" i="3"/>
  <c r="Q144" i="3"/>
  <c r="Q132" i="3"/>
  <c r="Q68" i="3"/>
  <c r="Q133" i="3"/>
  <c r="Q43" i="3"/>
  <c r="Q153" i="3"/>
  <c r="Q3" i="3"/>
  <c r="Q49" i="3"/>
  <c r="Q117" i="3"/>
  <c r="Q50" i="3"/>
  <c r="Q155" i="3"/>
  <c r="Q94" i="3"/>
  <c r="Q9" i="3"/>
  <c r="Q150" i="3"/>
  <c r="Q40" i="3"/>
  <c r="Q159" i="3"/>
  <c r="Q145" i="3"/>
  <c r="Q125" i="3"/>
  <c r="Q124" i="3"/>
  <c r="Q172" i="3"/>
  <c r="Q33" i="3"/>
  <c r="Q51" i="3"/>
  <c r="Q20" i="3"/>
  <c r="Q46" i="3"/>
  <c r="Q110" i="3"/>
  <c r="Q41" i="3"/>
  <c r="Q138" i="3"/>
  <c r="Q108" i="3"/>
  <c r="Q74" i="3"/>
  <c r="Q61" i="3"/>
  <c r="Q26" i="3"/>
  <c r="Q171" i="3"/>
  <c r="Q23" i="3"/>
  <c r="Q137" i="3"/>
  <c r="Q160" i="3"/>
  <c r="Q140" i="3"/>
  <c r="Q27" i="3"/>
  <c r="Q84" i="3"/>
  <c r="Q35" i="3"/>
  <c r="Q104" i="3"/>
  <c r="Q24" i="3"/>
  <c r="Q118" i="3"/>
  <c r="Q141" i="3"/>
  <c r="Q154" i="3"/>
  <c r="Q174" i="3"/>
  <c r="Q54" i="3"/>
  <c r="Q100" i="3"/>
  <c r="Q161" i="3"/>
  <c r="Q8" i="3"/>
  <c r="Q101" i="3"/>
  <c r="Q82" i="3"/>
  <c r="Q90" i="3"/>
  <c r="Q62" i="3"/>
  <c r="Q170" i="3"/>
  <c r="Q83" i="3"/>
  <c r="Q167" i="3"/>
  <c r="Q7" i="3"/>
  <c r="Q28" i="3"/>
  <c r="Q165" i="3"/>
  <c r="Q147" i="3"/>
  <c r="Q73" i="3"/>
  <c r="Q166" i="3"/>
  <c r="Q17" i="3"/>
  <c r="Q98" i="3"/>
  <c r="Q15" i="3"/>
  <c r="Q72" i="3"/>
  <c r="Q91" i="3"/>
  <c r="Q21" i="3"/>
  <c r="Q99" i="3"/>
  <c r="Q76" i="3"/>
  <c r="Q97" i="3"/>
  <c r="Q106" i="3"/>
  <c r="Q22" i="3"/>
  <c r="Q127" i="3"/>
  <c r="Q136" i="3"/>
  <c r="Q164" i="3"/>
  <c r="Q67" i="3"/>
  <c r="Q119" i="3"/>
  <c r="Q75" i="3"/>
  <c r="Q163" i="3"/>
  <c r="Q115" i="3"/>
  <c r="Q152" i="3"/>
  <c r="Q4" i="3"/>
  <c r="Q12" i="3"/>
  <c r="Q55" i="3"/>
  <c r="Q146" i="3"/>
  <c r="Q112" i="3"/>
  <c r="Q13" i="3"/>
  <c r="Q44" i="3"/>
  <c r="Q77" i="3"/>
  <c r="Q81" i="3"/>
  <c r="Q11" i="3"/>
  <c r="Q87" i="3"/>
  <c r="Q25" i="3"/>
  <c r="Q29" i="3"/>
  <c r="Q129" i="3"/>
  <c r="Q139" i="3"/>
  <c r="Q151" i="3"/>
  <c r="Q175" i="3"/>
  <c r="Q65" i="3"/>
  <c r="Q86" i="3"/>
  <c r="Q79" i="3"/>
  <c r="Q105" i="3"/>
  <c r="Q64" i="3"/>
  <c r="Q143" i="3"/>
  <c r="Q158" i="3"/>
  <c r="Q89" i="3"/>
  <c r="Q135" i="3"/>
  <c r="Q10" i="3"/>
  <c r="Q173" i="3"/>
  <c r="Q14" i="3"/>
  <c r="Q95" i="3"/>
  <c r="Q177" i="3"/>
  <c r="Q66" i="3"/>
  <c r="Q102" i="3"/>
  <c r="T204" i="6"/>
  <c r="O1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T202" i="6"/>
  <c r="T203" i="6"/>
  <c r="T205" i="6"/>
  <c r="T201" i="6"/>
  <c r="M206" i="4"/>
  <c r="N206" i="4" s="1"/>
  <c r="M203" i="4"/>
  <c r="N203" i="4" s="1"/>
  <c r="M204" i="4"/>
  <c r="N204" i="4" s="1"/>
  <c r="M205" i="4"/>
  <c r="N205" i="4" s="1"/>
  <c r="M13" i="3"/>
  <c r="U13" i="3" s="1"/>
  <c r="M4" i="3"/>
  <c r="U4" i="3" s="1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M177" i="4"/>
  <c r="N177" i="4" s="1"/>
  <c r="M178" i="4"/>
  <c r="N178" i="4" s="1"/>
  <c r="M179" i="4"/>
  <c r="N179" i="4" s="1"/>
  <c r="M180" i="4"/>
  <c r="N180" i="4" s="1"/>
  <c r="M181" i="4"/>
  <c r="N181" i="4" s="1"/>
  <c r="M182" i="4"/>
  <c r="N182" i="4" s="1"/>
  <c r="M183" i="4"/>
  <c r="N183" i="4" s="1"/>
  <c r="M184" i="4"/>
  <c r="N184" i="4" s="1"/>
  <c r="M185" i="4"/>
  <c r="N185" i="4" s="1"/>
  <c r="M186" i="4"/>
  <c r="N186" i="4" s="1"/>
  <c r="M187" i="4"/>
  <c r="N187" i="4" s="1"/>
  <c r="M188" i="4"/>
  <c r="N188" i="4" s="1"/>
  <c r="M189" i="4"/>
  <c r="N189" i="4" s="1"/>
  <c r="M190" i="4"/>
  <c r="N190" i="4" s="1"/>
  <c r="M191" i="4"/>
  <c r="N191" i="4" s="1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M202" i="4"/>
  <c r="N202" i="4" s="1"/>
  <c r="M161" i="3"/>
  <c r="U161" i="3" s="1"/>
  <c r="M12" i="3"/>
  <c r="U12" i="3" s="1"/>
  <c r="M132" i="3"/>
  <c r="M88" i="3"/>
  <c r="U88" i="3" s="1"/>
  <c r="M152" i="3"/>
  <c r="U152" i="3" s="1"/>
  <c r="M118" i="3"/>
  <c r="U118" i="3" s="1"/>
  <c r="M123" i="3"/>
  <c r="U123" i="3" s="1"/>
  <c r="M141" i="3"/>
  <c r="U141" i="3" s="1"/>
  <c r="M44" i="3"/>
  <c r="U44" i="3" s="1"/>
  <c r="D73" i="5"/>
  <c r="D74" i="5"/>
  <c r="D75" i="5"/>
  <c r="D76" i="5"/>
  <c r="D77" i="5"/>
  <c r="D78" i="5"/>
  <c r="D79" i="5"/>
  <c r="D80" i="5"/>
  <c r="D81" i="5"/>
  <c r="D82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M101" i="3"/>
  <c r="U101" i="3" s="1"/>
  <c r="M35" i="3"/>
  <c r="U35" i="3" s="1"/>
  <c r="M126" i="3"/>
  <c r="U126" i="3" s="1"/>
  <c r="M174" i="3"/>
  <c r="U174" i="3" s="1"/>
  <c r="M25" i="3"/>
  <c r="U25" i="3" s="1"/>
  <c r="M19" i="3"/>
  <c r="U19" i="3" s="1"/>
  <c r="M54" i="3"/>
  <c r="U54" i="3" s="1"/>
  <c r="M30" i="3"/>
  <c r="U30" i="3" s="1"/>
  <c r="M56" i="3"/>
  <c r="U56" i="3" s="1"/>
  <c r="M68" i="3"/>
  <c r="U68" i="3" s="1"/>
  <c r="M133" i="3"/>
  <c r="U133" i="3" s="1"/>
  <c r="M104" i="3"/>
  <c r="U104" i="3" s="1"/>
  <c r="M121" i="3"/>
  <c r="U121" i="3" s="1"/>
  <c r="M17" i="3"/>
  <c r="U17" i="3" s="1"/>
  <c r="M86" i="3"/>
  <c r="U86" i="3" s="1"/>
  <c r="M3" i="3"/>
  <c r="U3" i="3" s="1"/>
  <c r="M138" i="3"/>
  <c r="U138" i="3" s="1"/>
  <c r="M106" i="3"/>
  <c r="U106" i="3" s="1"/>
  <c r="M6" i="3"/>
  <c r="U6" i="3" s="1"/>
  <c r="M52" i="3"/>
  <c r="U52" i="3" s="1"/>
  <c r="M33" i="3"/>
  <c r="U33" i="3" s="1"/>
  <c r="M21" i="3"/>
  <c r="U21" i="3" s="1"/>
  <c r="M124" i="3"/>
  <c r="U124" i="3" s="1"/>
  <c r="M107" i="3"/>
  <c r="U107" i="3" s="1"/>
  <c r="M46" i="3"/>
  <c r="U46" i="3" s="1"/>
  <c r="M67" i="3"/>
  <c r="U67" i="3" s="1"/>
  <c r="M72" i="3"/>
  <c r="U72" i="3" s="1"/>
  <c r="M98" i="3"/>
  <c r="U98" i="3" s="1"/>
  <c r="M14" i="3"/>
  <c r="U14" i="3" s="1"/>
  <c r="M22" i="3"/>
  <c r="U22" i="3" s="1"/>
  <c r="M76" i="3"/>
  <c r="U76" i="3" s="1"/>
  <c r="M113" i="3"/>
  <c r="U113" i="3" s="1"/>
  <c r="M32" i="3"/>
  <c r="U32" i="3" s="1"/>
  <c r="M144" i="3"/>
  <c r="U144" i="3" s="1"/>
  <c r="M43" i="3"/>
  <c r="U43" i="3" s="1"/>
  <c r="M162" i="3"/>
  <c r="U162" i="3" s="1"/>
  <c r="M70" i="3"/>
  <c r="M42" i="3"/>
  <c r="U42" i="3" s="1"/>
  <c r="M146" i="3"/>
  <c r="U146" i="3" s="1"/>
  <c r="M5" i="3"/>
  <c r="U5" i="3" s="1"/>
  <c r="M139" i="3"/>
  <c r="U139" i="3" s="1"/>
  <c r="M96" i="3"/>
  <c r="U96" i="3" s="1"/>
  <c r="M18" i="3"/>
  <c r="U18" i="3" s="1"/>
  <c r="M40" i="3"/>
  <c r="U40" i="3" s="1"/>
  <c r="M45" i="3"/>
  <c r="M119" i="3"/>
  <c r="U119" i="3" s="1"/>
  <c r="M153" i="3"/>
  <c r="U153" i="3" s="1"/>
  <c r="M94" i="3"/>
  <c r="U94" i="3" s="1"/>
  <c r="M173" i="3"/>
  <c r="U173" i="3" s="1"/>
  <c r="M171" i="3"/>
  <c r="U171" i="3" s="1"/>
  <c r="M85" i="3"/>
  <c r="U85" i="3" s="1"/>
  <c r="M84" i="3"/>
  <c r="U84" i="3" s="1"/>
  <c r="M93" i="3"/>
  <c r="U93" i="3" s="1"/>
  <c r="M37" i="3"/>
  <c r="U37" i="3" s="1"/>
  <c r="M112" i="3"/>
  <c r="U112" i="3" s="1"/>
  <c r="M16" i="3"/>
  <c r="U16" i="3" s="1"/>
  <c r="M29" i="3"/>
  <c r="U29" i="3" s="1"/>
  <c r="M64" i="3"/>
  <c r="U64" i="3" s="1"/>
  <c r="M59" i="3"/>
  <c r="U59" i="3" s="1"/>
  <c r="M27" i="3"/>
  <c r="U27" i="3" s="1"/>
  <c r="M129" i="3"/>
  <c r="U129" i="3" s="1"/>
  <c r="M28" i="3"/>
  <c r="U28" i="3" s="1"/>
  <c r="M142" i="3"/>
  <c r="U142" i="3" s="1"/>
  <c r="M170" i="3"/>
  <c r="U170" i="3" s="1"/>
  <c r="M169" i="3"/>
  <c r="U169" i="3" s="1"/>
  <c r="M176" i="3"/>
  <c r="U176" i="3" s="1"/>
  <c r="M83" i="3"/>
  <c r="U83" i="3" s="1"/>
  <c r="M82" i="3"/>
  <c r="U82" i="3" s="1"/>
  <c r="M147" i="3"/>
  <c r="U147" i="3" s="1"/>
  <c r="M61" i="3"/>
  <c r="U61" i="3" s="1"/>
  <c r="M158" i="3"/>
  <c r="U158" i="3" s="1"/>
  <c r="M91" i="3"/>
  <c r="U91" i="3" s="1"/>
  <c r="M55" i="3"/>
  <c r="U55" i="3" s="1"/>
  <c r="M71" i="3"/>
  <c r="U71" i="3" s="1"/>
  <c r="M136" i="3"/>
  <c r="U136" i="3" s="1"/>
  <c r="M80" i="3"/>
  <c r="U80" i="3" s="1"/>
  <c r="M78" i="3"/>
  <c r="U78" i="3" s="1"/>
  <c r="M157" i="3"/>
  <c r="U157" i="3" s="1"/>
  <c r="M110" i="3"/>
  <c r="U110" i="3" s="1"/>
  <c r="M111" i="3"/>
  <c r="U111" i="3" s="1"/>
  <c r="M140" i="3"/>
  <c r="U140" i="3" s="1"/>
  <c r="M109" i="3"/>
  <c r="U109" i="3" s="1"/>
  <c r="M63" i="3"/>
  <c r="U63" i="3" s="1"/>
  <c r="M11" i="3"/>
  <c r="U11" i="3" s="1"/>
  <c r="M38" i="3"/>
  <c r="U38" i="3" s="1"/>
  <c r="M79" i="3"/>
  <c r="M165" i="3"/>
  <c r="U165" i="3" s="1"/>
  <c r="M81" i="3"/>
  <c r="U81" i="3" s="1"/>
  <c r="M20" i="3"/>
  <c r="U20" i="3" s="1"/>
  <c r="M66" i="3"/>
  <c r="U66" i="3" s="1"/>
  <c r="M74" i="3"/>
  <c r="U74" i="3" s="1"/>
  <c r="M92" i="3"/>
  <c r="U92" i="3" s="1"/>
  <c r="M108" i="3"/>
  <c r="U108" i="3" s="1"/>
  <c r="M100" i="3"/>
  <c r="U100" i="3" s="1"/>
  <c r="M115" i="3"/>
  <c r="U115" i="3" s="1"/>
  <c r="M127" i="3"/>
  <c r="U127" i="3" s="1"/>
  <c r="M90" i="3"/>
  <c r="U90" i="3" s="1"/>
  <c r="M36" i="3"/>
  <c r="U36" i="3" s="1"/>
  <c r="M168" i="3"/>
  <c r="U168" i="3" s="1"/>
  <c r="M8" i="3"/>
  <c r="U8" i="3" s="1"/>
  <c r="M166" i="3"/>
  <c r="U166" i="3" s="1"/>
  <c r="M137" i="3"/>
  <c r="U137" i="3" s="1"/>
  <c r="M26" i="3"/>
  <c r="U26" i="3" s="1"/>
  <c r="M175" i="3"/>
  <c r="U175" i="3" s="1"/>
  <c r="M87" i="3"/>
  <c r="U87" i="3" s="1"/>
  <c r="M116" i="3"/>
  <c r="U116" i="3" s="1"/>
  <c r="M131" i="3"/>
  <c r="U131" i="3" s="1"/>
  <c r="M117" i="3"/>
  <c r="U117" i="3" s="1"/>
  <c r="M154" i="3"/>
  <c r="U154" i="3" s="1"/>
  <c r="M159" i="3"/>
  <c r="U159" i="3" s="1"/>
  <c r="M156" i="3"/>
  <c r="U156" i="3" s="1"/>
  <c r="M164" i="3"/>
  <c r="U164" i="3" s="1"/>
  <c r="M103" i="3"/>
  <c r="M95" i="3"/>
  <c r="U95" i="3" s="1"/>
  <c r="M57" i="3"/>
  <c r="U57" i="3" s="1"/>
  <c r="M105" i="3"/>
  <c r="U105" i="3" s="1"/>
  <c r="M47" i="3"/>
  <c r="M134" i="3"/>
  <c r="U134" i="3" s="1"/>
  <c r="M128" i="3"/>
  <c r="U128" i="3" s="1"/>
  <c r="M172" i="3"/>
  <c r="U172" i="3" s="1"/>
  <c r="M143" i="3"/>
  <c r="M9" i="3"/>
  <c r="U9" i="3" s="1"/>
  <c r="M125" i="3"/>
  <c r="U125" i="3" s="1"/>
  <c r="M97" i="3"/>
  <c r="U97" i="3" s="1"/>
  <c r="M15" i="3"/>
  <c r="U15" i="3" s="1"/>
  <c r="M160" i="3"/>
  <c r="U160" i="3" s="1"/>
  <c r="M163" i="3"/>
  <c r="U163" i="3" s="1"/>
  <c r="M49" i="3"/>
  <c r="U49" i="3" s="1"/>
  <c r="M50" i="3"/>
  <c r="U50" i="3" s="1"/>
  <c r="M122" i="3"/>
  <c r="M102" i="3"/>
  <c r="U102" i="3" s="1"/>
  <c r="M7" i="3"/>
  <c r="U7" i="3" s="1"/>
  <c r="M89" i="3"/>
  <c r="U89" i="3" s="1"/>
  <c r="M41" i="3"/>
  <c r="U41" i="3" s="1"/>
  <c r="M73" i="3"/>
  <c r="U73" i="3" s="1"/>
  <c r="M24" i="3"/>
  <c r="U24" i="3" s="1"/>
  <c r="M135" i="3"/>
  <c r="M145" i="3"/>
  <c r="U145" i="3" s="1"/>
  <c r="M31" i="3"/>
  <c r="U31" i="3" s="1"/>
  <c r="M65" i="3"/>
  <c r="U65" i="3" s="1"/>
  <c r="M62" i="3"/>
  <c r="U62" i="3" s="1"/>
  <c r="M34" i="3"/>
  <c r="U34" i="3" s="1"/>
  <c r="M60" i="3"/>
  <c r="U60" i="3" s="1"/>
  <c r="M130" i="3"/>
  <c r="U130" i="3" s="1"/>
  <c r="M39" i="3"/>
  <c r="U39" i="3" s="1"/>
  <c r="M75" i="3"/>
  <c r="U75" i="3" s="1"/>
  <c r="M99" i="3"/>
  <c r="U99" i="3" s="1"/>
  <c r="M58" i="3"/>
  <c r="U58" i="3" s="1"/>
  <c r="M10" i="3"/>
  <c r="U10" i="3" s="1"/>
  <c r="M148" i="3"/>
  <c r="M77" i="3"/>
  <c r="U77" i="3" s="1"/>
  <c r="M120" i="3"/>
  <c r="U120" i="3" s="1"/>
  <c r="M167" i="3"/>
  <c r="U167" i="3" s="1"/>
  <c r="M51" i="3"/>
  <c r="U51" i="3" s="1"/>
  <c r="M48" i="3"/>
  <c r="U48" i="3" s="1"/>
  <c r="M177" i="3"/>
  <c r="U177" i="3" s="1"/>
  <c r="M150" i="3"/>
  <c r="U150" i="3" s="1"/>
  <c r="M69" i="3"/>
  <c r="U69" i="3" s="1"/>
  <c r="M155" i="3"/>
  <c r="U155" i="3" s="1"/>
  <c r="M114" i="3"/>
  <c r="U114" i="3" s="1"/>
  <c r="M151" i="3"/>
  <c r="U151" i="3" s="1"/>
  <c r="M53" i="3"/>
  <c r="U53" i="3" s="1"/>
  <c r="M23" i="3"/>
  <c r="U23" i="3" s="1"/>
  <c r="M149" i="3"/>
  <c r="U149" i="3" s="1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" i="6"/>
  <c r="M3" i="4"/>
  <c r="N3" i="4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7" i="4"/>
  <c r="N27" i="4" s="1"/>
  <c r="M28" i="4"/>
  <c r="N28" i="4" s="1"/>
  <c r="M29" i="4"/>
  <c r="N29" i="4" s="1"/>
  <c r="M30" i="4"/>
  <c r="N30" i="4" s="1"/>
  <c r="M31" i="4"/>
  <c r="N31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39" i="4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0" i="4"/>
  <c r="N50" i="4" s="1"/>
  <c r="M51" i="4"/>
  <c r="N51" i="4" s="1"/>
  <c r="M52" i="4"/>
  <c r="N52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N78" i="4" s="1"/>
  <c r="M79" i="4"/>
  <c r="N79" i="4" s="1"/>
  <c r="M80" i="4"/>
  <c r="N80" i="4" s="1"/>
  <c r="M81" i="4"/>
  <c r="N81" i="4" s="1"/>
  <c r="M82" i="4"/>
  <c r="N82" i="4" s="1"/>
  <c r="M83" i="4"/>
  <c r="N83" i="4" s="1"/>
  <c r="M84" i="4"/>
  <c r="M85" i="4"/>
  <c r="N85" i="4" s="1"/>
  <c r="M86" i="4"/>
  <c r="N86" i="4" s="1"/>
  <c r="M87" i="4"/>
  <c r="N87" i="4" s="1"/>
  <c r="M88" i="4"/>
  <c r="N88" i="4" s="1"/>
  <c r="M89" i="4"/>
  <c r="N89" i="4" s="1"/>
  <c r="M90" i="4"/>
  <c r="N90" i="4" s="1"/>
  <c r="M91" i="4"/>
  <c r="N91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M130" i="4"/>
  <c r="N130" i="4" s="1"/>
  <c r="M131" i="4"/>
  <c r="N131" i="4" s="1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60" i="4"/>
  <c r="N160" i="4" s="1"/>
  <c r="M161" i="4"/>
  <c r="N161" i="4" s="1"/>
  <c r="M162" i="4"/>
  <c r="N162" i="4" s="1"/>
  <c r="M163" i="4"/>
  <c r="N163" i="4" s="1"/>
  <c r="M164" i="4"/>
  <c r="N164" i="4" s="1"/>
  <c r="M165" i="4"/>
  <c r="N165" i="4" s="1"/>
  <c r="M166" i="4"/>
  <c r="N166" i="4" s="1"/>
  <c r="M167" i="4"/>
  <c r="N167" i="4" s="1"/>
  <c r="M168" i="4"/>
  <c r="N168" i="4" s="1"/>
  <c r="M169" i="4"/>
  <c r="N169" i="4" s="1"/>
  <c r="M170" i="4"/>
  <c r="N170" i="4" s="1"/>
  <c r="M171" i="4"/>
  <c r="N171" i="4" s="1"/>
  <c r="M172" i="4"/>
  <c r="N172" i="4" s="1"/>
  <c r="M173" i="4"/>
  <c r="N173" i="4" s="1"/>
  <c r="M174" i="4"/>
  <c r="N174" i="4" s="1"/>
  <c r="M175" i="4"/>
  <c r="N175" i="4" s="1"/>
  <c r="M176" i="4"/>
  <c r="N176" i="4" s="1"/>
  <c r="M2" i="4"/>
  <c r="N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" i="4"/>
  <c r="B8" i="9" l="1"/>
  <c r="S103" i="3"/>
  <c r="B13" i="9"/>
  <c r="B2" i="9"/>
  <c r="B4" i="9"/>
  <c r="B9" i="9"/>
  <c r="Q103" i="3"/>
  <c r="R103" i="3"/>
  <c r="S135" i="3"/>
  <c r="Q30" i="3"/>
  <c r="R100" i="3"/>
  <c r="Q156" i="3"/>
  <c r="S80" i="3"/>
  <c r="T45" i="3"/>
  <c r="T122" i="3"/>
  <c r="T149" i="3"/>
  <c r="T16" i="3"/>
  <c r="T47" i="3"/>
  <c r="T70" i="3"/>
  <c r="T148" i="3"/>
  <c r="T38" i="3"/>
  <c r="S156" i="3"/>
  <c r="B6" i="9"/>
  <c r="B3" i="9"/>
  <c r="B11" i="9"/>
  <c r="U148" i="3"/>
  <c r="U122" i="3"/>
  <c r="U79" i="3"/>
  <c r="U132" i="3"/>
  <c r="Q42" i="3"/>
  <c r="Q52" i="3"/>
  <c r="Q157" i="3"/>
  <c r="Q80" i="3"/>
  <c r="Q18" i="3"/>
  <c r="R113" i="3"/>
  <c r="R48" i="3"/>
  <c r="R93" i="3"/>
  <c r="R18" i="3"/>
  <c r="S21" i="3"/>
  <c r="S98" i="3"/>
  <c r="R126" i="3"/>
  <c r="S27" i="3"/>
  <c r="S137" i="3"/>
  <c r="S26" i="3"/>
  <c r="S108" i="3"/>
  <c r="S46" i="3"/>
  <c r="S172" i="3"/>
  <c r="S30" i="3"/>
  <c r="S132" i="3"/>
  <c r="T177" i="3"/>
  <c r="T103" i="3"/>
  <c r="T135" i="3"/>
  <c r="T143" i="3"/>
  <c r="T79" i="3"/>
  <c r="T175" i="3"/>
  <c r="T129" i="3"/>
  <c r="F7" i="9" s="1"/>
  <c r="T21" i="3"/>
  <c r="T98" i="3"/>
  <c r="T18" i="3"/>
  <c r="F13" i="9" s="1"/>
  <c r="T156" i="3"/>
  <c r="B10" i="9"/>
  <c r="B7" i="9"/>
  <c r="U135" i="3"/>
  <c r="U143" i="3"/>
  <c r="U47" i="3"/>
  <c r="U103" i="3"/>
  <c r="U45" i="3"/>
  <c r="U70" i="3"/>
  <c r="G7" i="9" s="1"/>
  <c r="Q45" i="3"/>
  <c r="Q122" i="3"/>
  <c r="Q149" i="3"/>
  <c r="Q16" i="3"/>
  <c r="Q47" i="3"/>
  <c r="Q70" i="3"/>
  <c r="Q148" i="3"/>
  <c r="Q38" i="3"/>
  <c r="Q113" i="3"/>
  <c r="Q48" i="3"/>
  <c r="Q93" i="3"/>
  <c r="R45" i="3"/>
  <c r="R122" i="3"/>
  <c r="R149" i="3"/>
  <c r="R16" i="3"/>
  <c r="D4" i="9" s="1"/>
  <c r="R47" i="3"/>
  <c r="R70" i="3"/>
  <c r="R148" i="3"/>
  <c r="R38" i="3"/>
  <c r="R21" i="3"/>
  <c r="R98" i="3"/>
  <c r="R27" i="3"/>
  <c r="R137" i="3"/>
  <c r="R26" i="3"/>
  <c r="R108" i="3"/>
  <c r="R46" i="3"/>
  <c r="R30" i="3"/>
  <c r="R132" i="3"/>
  <c r="S45" i="3"/>
  <c r="S122" i="3"/>
  <c r="S149" i="3"/>
  <c r="S16" i="3"/>
  <c r="E13" i="9" s="1"/>
  <c r="S47" i="3"/>
  <c r="S70" i="3"/>
  <c r="S148" i="3"/>
  <c r="S38" i="3"/>
  <c r="S119" i="3"/>
  <c r="S100" i="3"/>
  <c r="R156" i="3"/>
  <c r="S18" i="3"/>
  <c r="T119" i="3"/>
  <c r="T100" i="3"/>
  <c r="T27" i="3"/>
  <c r="T137" i="3"/>
  <c r="F2" i="9" s="1"/>
  <c r="T26" i="3"/>
  <c r="T108" i="3"/>
  <c r="T46" i="3"/>
  <c r="T172" i="3"/>
  <c r="T30" i="3"/>
  <c r="T132" i="3"/>
  <c r="B12" i="9"/>
  <c r="C8" i="9"/>
  <c r="E6" i="9"/>
  <c r="E5" i="9"/>
  <c r="F9" i="9"/>
  <c r="F12" i="9"/>
  <c r="F4" i="9"/>
  <c r="U53" i="6"/>
  <c r="U84" i="6"/>
  <c r="U92" i="6"/>
  <c r="U88" i="6"/>
  <c r="U81" i="6"/>
  <c r="U157" i="6"/>
  <c r="U135" i="6"/>
  <c r="U173" i="6"/>
  <c r="U165" i="6"/>
  <c r="U154" i="6"/>
  <c r="U1" i="6"/>
  <c r="U121" i="6"/>
  <c r="U70" i="6"/>
  <c r="U62" i="6"/>
  <c r="U54" i="6"/>
  <c r="U14" i="6"/>
  <c r="U2" i="6"/>
  <c r="U200" i="6"/>
  <c r="U196" i="6"/>
  <c r="U192" i="6"/>
  <c r="U188" i="6"/>
  <c r="U184" i="6"/>
  <c r="U180" i="6"/>
  <c r="U176" i="6"/>
  <c r="U4" i="6"/>
  <c r="U164" i="6"/>
  <c r="U149" i="6"/>
  <c r="U141" i="6"/>
  <c r="U138" i="6"/>
  <c r="U119" i="6"/>
  <c r="U103" i="6"/>
  <c r="U95" i="6"/>
  <c r="U57" i="6"/>
  <c r="U9" i="6"/>
  <c r="U167" i="6"/>
  <c r="U148" i="6"/>
  <c r="U144" i="6"/>
  <c r="U133" i="6"/>
  <c r="U125" i="6"/>
  <c r="U68" i="6"/>
  <c r="U64" i="6"/>
  <c r="U52" i="6"/>
  <c r="U36" i="6"/>
  <c r="U32" i="6"/>
  <c r="U28" i="6"/>
  <c r="U24" i="6"/>
  <c r="U20" i="6"/>
  <c r="U16" i="6"/>
  <c r="U170" i="6"/>
  <c r="U151" i="6"/>
  <c r="U132" i="6"/>
  <c r="U78" i="6"/>
  <c r="U74" i="6"/>
  <c r="U47" i="6"/>
  <c r="U39" i="6"/>
  <c r="U175" i="6"/>
  <c r="U169" i="6"/>
  <c r="U166" i="6"/>
  <c r="U163" i="6"/>
  <c r="U159" i="6"/>
  <c r="U153" i="6"/>
  <c r="U150" i="6"/>
  <c r="U147" i="6"/>
  <c r="U143" i="6"/>
  <c r="U137" i="6"/>
  <c r="U134" i="6"/>
  <c r="U131" i="6"/>
  <c r="U127" i="6"/>
  <c r="U124" i="6"/>
  <c r="U118" i="6"/>
  <c r="U114" i="6"/>
  <c r="U110" i="6"/>
  <c r="U106" i="6"/>
  <c r="U102" i="6"/>
  <c r="U98" i="6"/>
  <c r="U94" i="6"/>
  <c r="U87" i="6"/>
  <c r="U63" i="6"/>
  <c r="U60" i="6"/>
  <c r="U56" i="6"/>
  <c r="U50" i="6"/>
  <c r="U46" i="6"/>
  <c r="U42" i="6"/>
  <c r="U38" i="6"/>
  <c r="U31" i="6"/>
  <c r="U23" i="6"/>
  <c r="U15" i="6"/>
  <c r="U12" i="6"/>
  <c r="U8" i="6"/>
  <c r="U172" i="6"/>
  <c r="U168" i="6"/>
  <c r="U162" i="6"/>
  <c r="U156" i="6"/>
  <c r="U152" i="6"/>
  <c r="U146" i="6"/>
  <c r="U140" i="6"/>
  <c r="U136" i="6"/>
  <c r="U130" i="6"/>
  <c r="U123" i="6"/>
  <c r="U120" i="6"/>
  <c r="U113" i="6"/>
  <c r="U105" i="6"/>
  <c r="U97" i="6"/>
  <c r="U90" i="6"/>
  <c r="U86" i="6"/>
  <c r="U79" i="6"/>
  <c r="U76" i="6"/>
  <c r="U72" i="6"/>
  <c r="U66" i="6"/>
  <c r="U55" i="6"/>
  <c r="U49" i="6"/>
  <c r="U41" i="6"/>
  <c r="U34" i="6"/>
  <c r="U30" i="6"/>
  <c r="U26" i="6"/>
  <c r="U22" i="6"/>
  <c r="U18" i="6"/>
  <c r="U7" i="6"/>
  <c r="U174" i="6"/>
  <c r="U171" i="6"/>
  <c r="U161" i="6"/>
  <c r="U158" i="6"/>
  <c r="U155" i="6"/>
  <c r="U145" i="6"/>
  <c r="U142" i="6"/>
  <c r="U139" i="6"/>
  <c r="U126" i="6"/>
  <c r="U122" i="6"/>
  <c r="U116" i="6"/>
  <c r="U112" i="6"/>
  <c r="U108" i="6"/>
  <c r="U104" i="6"/>
  <c r="U100" i="6"/>
  <c r="U96" i="6"/>
  <c r="U89" i="6"/>
  <c r="U82" i="6"/>
  <c r="U71" i="6"/>
  <c r="U65" i="6"/>
  <c r="U58" i="6"/>
  <c r="U48" i="6"/>
  <c r="U44" i="6"/>
  <c r="U40" i="6"/>
  <c r="U33" i="6"/>
  <c r="U25" i="6"/>
  <c r="U6" i="6"/>
  <c r="U117" i="6"/>
  <c r="U129" i="6"/>
  <c r="U17" i="6"/>
  <c r="U115" i="6"/>
  <c r="U80" i="6"/>
  <c r="U10" i="6"/>
  <c r="U160" i="6"/>
  <c r="U128" i="6"/>
  <c r="U111" i="6"/>
  <c r="U73" i="6"/>
  <c r="U204" i="6"/>
  <c r="U201" i="6"/>
  <c r="U107" i="6"/>
  <c r="U99" i="6"/>
  <c r="U91" i="6"/>
  <c r="U83" i="6"/>
  <c r="U75" i="6"/>
  <c r="U67" i="6"/>
  <c r="U59" i="6"/>
  <c r="U51" i="6"/>
  <c r="U43" i="6"/>
  <c r="U35" i="6"/>
  <c r="U27" i="6"/>
  <c r="U19" i="6"/>
  <c r="U11" i="6"/>
  <c r="U3" i="6"/>
  <c r="U199" i="6"/>
  <c r="U195" i="6"/>
  <c r="U191" i="6"/>
  <c r="U187" i="6"/>
  <c r="U183" i="6"/>
  <c r="U179" i="6"/>
  <c r="U203" i="6"/>
  <c r="U109" i="6"/>
  <c r="U101" i="6"/>
  <c r="U93" i="6"/>
  <c r="U85" i="6"/>
  <c r="U77" i="6"/>
  <c r="U69" i="6"/>
  <c r="U61" i="6"/>
  <c r="U45" i="6"/>
  <c r="U37" i="6"/>
  <c r="U29" i="6"/>
  <c r="U21" i="6"/>
  <c r="U13" i="6"/>
  <c r="U5" i="6"/>
  <c r="U198" i="6"/>
  <c r="U194" i="6"/>
  <c r="U190" i="6"/>
  <c r="U186" i="6"/>
  <c r="U182" i="6"/>
  <c r="U178" i="6"/>
  <c r="U197" i="6"/>
  <c r="U193" i="6"/>
  <c r="U189" i="6"/>
  <c r="U185" i="6"/>
  <c r="U181" i="6"/>
  <c r="U177" i="6"/>
  <c r="U202" i="6"/>
  <c r="U205" i="6"/>
  <c r="G12" i="9" l="1"/>
  <c r="G13" i="9"/>
  <c r="G9" i="9"/>
  <c r="G4" i="9"/>
  <c r="C4" i="9"/>
  <c r="F6" i="9"/>
  <c r="F11" i="9"/>
  <c r="G3" i="9"/>
  <c r="E9" i="9"/>
  <c r="E8" i="9"/>
  <c r="D12" i="9"/>
  <c r="F3" i="9"/>
  <c r="G6" i="9"/>
  <c r="G11" i="9"/>
  <c r="F8" i="9"/>
  <c r="F5" i="9"/>
  <c r="G8" i="9"/>
  <c r="G5" i="9"/>
  <c r="E11" i="9"/>
  <c r="D3" i="9"/>
  <c r="F10" i="9"/>
  <c r="G2" i="9"/>
  <c r="G10" i="9"/>
  <c r="E3" i="9"/>
  <c r="E12" i="9"/>
  <c r="D5" i="9"/>
  <c r="D13" i="9"/>
  <c r="C9" i="9"/>
  <c r="C3" i="9"/>
  <c r="D8" i="9"/>
  <c r="E7" i="9"/>
  <c r="E2" i="9"/>
  <c r="E10" i="9"/>
  <c r="D9" i="9"/>
  <c r="E4" i="9"/>
  <c r="C7" i="9"/>
  <c r="D6" i="9"/>
  <c r="C10" i="9"/>
  <c r="D7" i="9"/>
  <c r="D2" i="9"/>
  <c r="D10" i="9"/>
  <c r="C6" i="9"/>
  <c r="C5" i="9"/>
  <c r="D11" i="9"/>
  <c r="C2" i="9"/>
  <c r="C12" i="9"/>
  <c r="C11" i="9"/>
  <c r="C13" i="9"/>
</calcChain>
</file>

<file path=xl/sharedStrings.xml><?xml version="1.0" encoding="utf-8"?>
<sst xmlns="http://schemas.openxmlformats.org/spreadsheetml/2006/main" count="12036" uniqueCount="4976">
  <si>
    <t>Jamie Benn</t>
  </si>
  <si>
    <t>Connor McDavid</t>
  </si>
  <si>
    <t>Patrick Kane</t>
  </si>
  <si>
    <t>Sidney Crosby</t>
  </si>
  <si>
    <t>Tyler Seguin</t>
  </si>
  <si>
    <t>Joe Pavelski</t>
  </si>
  <si>
    <t>John Tavares</t>
  </si>
  <si>
    <t>Johnny Gaudreau</t>
  </si>
  <si>
    <t>Erik Karlsson</t>
  </si>
  <si>
    <t>Vladimir Tarasenko</t>
  </si>
  <si>
    <t>Anze Kopitar</t>
  </si>
  <si>
    <t>Nicklas Backstrom</t>
  </si>
  <si>
    <t>Claude Giroux</t>
  </si>
  <si>
    <t>Steven Stamkos</t>
  </si>
  <si>
    <t>Ryan Getzlaf</t>
  </si>
  <si>
    <t>Aleksander Barkov</t>
  </si>
  <si>
    <t>Blake Wheeler</t>
  </si>
  <si>
    <t>Filip Forsberg</t>
  </si>
  <si>
    <t>Mark Scheifele</t>
  </si>
  <si>
    <t>Artemi Panarin</t>
  </si>
  <si>
    <t>Ryan Johansen</t>
  </si>
  <si>
    <t>Joe Thornton</t>
  </si>
  <si>
    <t>Corey Perry</t>
  </si>
  <si>
    <t>Evgeni Malkin</t>
  </si>
  <si>
    <t>Nikita Kucherov</t>
  </si>
  <si>
    <t>Sean Monahan</t>
  </si>
  <si>
    <t>Evgeny Kuznetsov</t>
  </si>
  <si>
    <t>Jack Eichel</t>
  </si>
  <si>
    <t>Jakub Voracek</t>
  </si>
  <si>
    <t>Max Pacioretty</t>
  </si>
  <si>
    <t>Auston Matthews</t>
  </si>
  <si>
    <t>Jonathan Huberdeau</t>
  </si>
  <si>
    <t>Jordan Eberle</t>
  </si>
  <si>
    <t>Taylor Hall</t>
  </si>
  <si>
    <t>Brent Burns</t>
  </si>
  <si>
    <t>Logan Couture</t>
  </si>
  <si>
    <t>Alexander Radulov</t>
  </si>
  <si>
    <t>Alex Galchenyuk</t>
  </si>
  <si>
    <t>Patrice Bergeron</t>
  </si>
  <si>
    <t>Nathan MacKinnon</t>
  </si>
  <si>
    <t>P.K. Subban</t>
  </si>
  <si>
    <t>David Krejci</t>
  </si>
  <si>
    <t>Jonathan Toews</t>
  </si>
  <si>
    <t>Jason Spezza</t>
  </si>
  <si>
    <t>Ryan O'Reilly</t>
  </si>
  <si>
    <t>Wayne Simmonds</t>
  </si>
  <si>
    <t>Phil Kessel</t>
  </si>
  <si>
    <t>Matt Duchene</t>
  </si>
  <si>
    <t>Mark Stone</t>
  </si>
  <si>
    <t>Henrik Sedin</t>
  </si>
  <si>
    <t>Tyler Toffoli</t>
  </si>
  <si>
    <t>James van Riemsdyk</t>
  </si>
  <si>
    <t>Kyle Okposo</t>
  </si>
  <si>
    <t>Max Domi</t>
  </si>
  <si>
    <t>Kyle Turris</t>
  </si>
  <si>
    <t>Patrik Laine</t>
  </si>
  <si>
    <t>Daniel Sedin</t>
  </si>
  <si>
    <t>Derek Stepan</t>
  </si>
  <si>
    <t>Gabriel Landeskog</t>
  </si>
  <si>
    <t>Jaden Schwartz</t>
  </si>
  <si>
    <t>James Neal</t>
  </si>
  <si>
    <t>Kyle Palmieri</t>
  </si>
  <si>
    <t>Mats Zuccarello</t>
  </si>
  <si>
    <t>Alexander Steen</t>
  </si>
  <si>
    <t>Dylan Larkin</t>
  </si>
  <si>
    <t>Bryan Little</t>
  </si>
  <si>
    <t>Jeff Carter</t>
  </si>
  <si>
    <t>Milan Lucic</t>
  </si>
  <si>
    <t>Mika Zibanejad</t>
  </si>
  <si>
    <t>John Klingberg</t>
  </si>
  <si>
    <t>Mike Hoffman</t>
  </si>
  <si>
    <t>Loui Eriksson</t>
  </si>
  <si>
    <t>Vincent Trocheck</t>
  </si>
  <si>
    <t>Bobby Ryan</t>
  </si>
  <si>
    <t>Derick Brassard</t>
  </si>
  <si>
    <t>Brayden Schenn</t>
  </si>
  <si>
    <t>Dustin Byfuglien</t>
  </si>
  <si>
    <t>Jeff Skinner</t>
  </si>
  <si>
    <t>Brandon Saad</t>
  </si>
  <si>
    <t>Brad Marchand</t>
  </si>
  <si>
    <t>Andrew Ladd</t>
  </si>
  <si>
    <t>Patrick Sharp</t>
  </si>
  <si>
    <t>Mark Giordano</t>
  </si>
  <si>
    <t>Gustav Nyquist</t>
  </si>
  <si>
    <t>Brendan Gallagher</t>
  </si>
  <si>
    <t>T.J. Oshie</t>
  </si>
  <si>
    <t>Cam Atkinson</t>
  </si>
  <si>
    <t>Marcus Johansson</t>
  </si>
  <si>
    <t>Jaromir Jagr</t>
  </si>
  <si>
    <t>Frans Nielsen</t>
  </si>
  <si>
    <t>Shea Weber</t>
  </si>
  <si>
    <t>Victor Hedman</t>
  </si>
  <si>
    <t>Tyler Johnson</t>
  </si>
  <si>
    <t>Jussi Jokinen</t>
  </si>
  <si>
    <t>Carl Soderberg</t>
  </si>
  <si>
    <t>Roman Josi</t>
  </si>
  <si>
    <t>Lepool.com</t>
  </si>
  <si>
    <t>Boone Jenner</t>
  </si>
  <si>
    <t>Adam Henrique</t>
  </si>
  <si>
    <t>Rick Nash</t>
  </si>
  <si>
    <t>Patric Hornqvist</t>
  </si>
  <si>
    <t>Leon Draisaitl</t>
  </si>
  <si>
    <t>Tyson Barrie</t>
  </si>
  <si>
    <t>Drew Doughty</t>
  </si>
  <si>
    <t>Paul Stastny</t>
  </si>
  <si>
    <t>Zach Parise</t>
  </si>
  <si>
    <t>Ondrej Palat</t>
  </si>
  <si>
    <t>Victor Rask</t>
  </si>
  <si>
    <t>Ryan Kesler</t>
  </si>
  <si>
    <t>Mikkel Boedker</t>
  </si>
  <si>
    <t>Martin Hanzal</t>
  </si>
  <si>
    <t>Henrik Zetterberg</t>
  </si>
  <si>
    <t>Mikko Koivu</t>
  </si>
  <si>
    <t>John Carlson</t>
  </si>
  <si>
    <t>Tomas Plekanec</t>
  </si>
  <si>
    <t>Tomas Hertl</t>
  </si>
  <si>
    <t>Thomas Vanek</t>
  </si>
  <si>
    <t>Justin Faulk</t>
  </si>
  <si>
    <t>Eric Staal</t>
  </si>
  <si>
    <t>Jiri Hudler</t>
  </si>
  <si>
    <t>Jordan Staal</t>
  </si>
  <si>
    <t>Scott Hartnell</t>
  </si>
  <si>
    <t>Anthony Duclair</t>
  </si>
  <si>
    <t>Patrick Marleau</t>
  </si>
  <si>
    <t>Justin Williams</t>
  </si>
  <si>
    <t>Nikolaj Ehlers</t>
  </si>
  <si>
    <t>Dylan Strome</t>
  </si>
  <si>
    <t>Ryan Spooner</t>
  </si>
  <si>
    <t>Ryan Suter</t>
  </si>
  <si>
    <t>J.T. Miller</t>
  </si>
  <si>
    <t>Sam Reinhart</t>
  </si>
  <si>
    <t>Rickard Rakell</t>
  </si>
  <si>
    <t>Nazem Kadri</t>
  </si>
  <si>
    <t>Brandon Dubinsky</t>
  </si>
  <si>
    <t>Sean Couturier</t>
  </si>
  <si>
    <t>Jonathan Drouin</t>
  </si>
  <si>
    <t>Duncan Keith</t>
  </si>
  <si>
    <t>Robby Fabbri</t>
  </si>
  <si>
    <t>Chris Kreider</t>
  </si>
  <si>
    <t>Tomas Tatar</t>
  </si>
  <si>
    <t>Sam Bennett</t>
  </si>
  <si>
    <t>Kevin Shattenkirk</t>
  </si>
  <si>
    <t>Alex Pietrangelo</t>
  </si>
  <si>
    <t>Reilly Smith</t>
  </si>
  <si>
    <t>Mikael Backlund</t>
  </si>
  <si>
    <t>Mike Ribeiro</t>
  </si>
  <si>
    <t>Nino Niederreiter</t>
  </si>
  <si>
    <t>Jakob Silfverberg</t>
  </si>
  <si>
    <t>Aaron Ekblad</t>
  </si>
  <si>
    <t>Jason Pominville</t>
  </si>
  <si>
    <t>Nick Foligno</t>
  </si>
  <si>
    <t>Jarome Iginla</t>
  </si>
  <si>
    <t>Rasmus Ristolainen</t>
  </si>
  <si>
    <t>Michael Cammalleri</t>
  </si>
  <si>
    <t>Colonne1</t>
  </si>
  <si>
    <t>HM</t>
  </si>
  <si>
    <t>Pool Pro</t>
  </si>
  <si>
    <t>HN</t>
  </si>
  <si>
    <t>Jamie</t>
  </si>
  <si>
    <t>Benn</t>
  </si>
  <si>
    <t>Connor</t>
  </si>
  <si>
    <t>McDavid</t>
  </si>
  <si>
    <t>Patrick</t>
  </si>
  <si>
    <t>Kane</t>
  </si>
  <si>
    <t>Sidney</t>
  </si>
  <si>
    <t>Crosby</t>
  </si>
  <si>
    <t>Tyler</t>
  </si>
  <si>
    <t>Seguin</t>
  </si>
  <si>
    <t>Joe</t>
  </si>
  <si>
    <t>Pavelski</t>
  </si>
  <si>
    <t>John</t>
  </si>
  <si>
    <t>Tavares</t>
  </si>
  <si>
    <t>Johnny</t>
  </si>
  <si>
    <t>Gaudreau</t>
  </si>
  <si>
    <t>Alexander</t>
  </si>
  <si>
    <t>Ovechkin</t>
  </si>
  <si>
    <t>Erik</t>
  </si>
  <si>
    <t>Karlsson</t>
  </si>
  <si>
    <t>Vladimir</t>
  </si>
  <si>
    <t>Tarasenko</t>
  </si>
  <si>
    <t>Anze</t>
  </si>
  <si>
    <t>Kopitar</t>
  </si>
  <si>
    <t>Nicklas</t>
  </si>
  <si>
    <t>Backstrom</t>
  </si>
  <si>
    <t>Claude</t>
  </si>
  <si>
    <t>Giroux</t>
  </si>
  <si>
    <t>Steven</t>
  </si>
  <si>
    <t>Stamkos</t>
  </si>
  <si>
    <t>Ryan</t>
  </si>
  <si>
    <t>Getzlaf</t>
  </si>
  <si>
    <t>Aleksander</t>
  </si>
  <si>
    <t>Barkov</t>
  </si>
  <si>
    <t>Blake</t>
  </si>
  <si>
    <t>Wheeler</t>
  </si>
  <si>
    <t>Filip</t>
  </si>
  <si>
    <t>Forsberg</t>
  </si>
  <si>
    <t>Mark</t>
  </si>
  <si>
    <t>Scheifele</t>
  </si>
  <si>
    <t>Artemi</t>
  </si>
  <si>
    <t>Panarin</t>
  </si>
  <si>
    <t>Thornton</t>
  </si>
  <si>
    <t>Johansen</t>
  </si>
  <si>
    <t>Evgeni</t>
  </si>
  <si>
    <t>Malkin</t>
  </si>
  <si>
    <t>Corey</t>
  </si>
  <si>
    <t>Perry</t>
  </si>
  <si>
    <t>Evgeny</t>
  </si>
  <si>
    <t>Kuznetsov</t>
  </si>
  <si>
    <t>Nikita</t>
  </si>
  <si>
    <t>Kucherov</t>
  </si>
  <si>
    <t>Sean</t>
  </si>
  <si>
    <t>Monahan</t>
  </si>
  <si>
    <t>Jakub</t>
  </si>
  <si>
    <t>Voracek</t>
  </si>
  <si>
    <t>Jack</t>
  </si>
  <si>
    <t>Eichel</t>
  </si>
  <si>
    <t>Max</t>
  </si>
  <si>
    <t>Pacioretty</t>
  </si>
  <si>
    <t>Jonathan</t>
  </si>
  <si>
    <t>Huberdeau</t>
  </si>
  <si>
    <t>Auston</t>
  </si>
  <si>
    <t>Matthews</t>
  </si>
  <si>
    <t>Brent</t>
  </si>
  <si>
    <t>Burns</t>
  </si>
  <si>
    <t>Taylor</t>
  </si>
  <si>
    <t>Hall</t>
  </si>
  <si>
    <t>Jordan</t>
  </si>
  <si>
    <t>Eberle</t>
  </si>
  <si>
    <t>Logan</t>
  </si>
  <si>
    <t>Couture</t>
  </si>
  <si>
    <t>Radulov</t>
  </si>
  <si>
    <t>David</t>
  </si>
  <si>
    <t>Krejci</t>
  </si>
  <si>
    <t>Alex</t>
  </si>
  <si>
    <t>Galchenyuk</t>
  </si>
  <si>
    <t>Nathan</t>
  </si>
  <si>
    <t>MacKinnon</t>
  </si>
  <si>
    <t>Patrice</t>
  </si>
  <si>
    <t>Bergeron</t>
  </si>
  <si>
    <t>P.K.</t>
  </si>
  <si>
    <t>Subban</t>
  </si>
  <si>
    <t>O'Reilly</t>
  </si>
  <si>
    <t>Toews</t>
  </si>
  <si>
    <t>Jason</t>
  </si>
  <si>
    <t>Spezza</t>
  </si>
  <si>
    <t>Matt</t>
  </si>
  <si>
    <t>Duchene</t>
  </si>
  <si>
    <t>Stone</t>
  </si>
  <si>
    <t>Phil</t>
  </si>
  <si>
    <t>Kessel</t>
  </si>
  <si>
    <t>Wayne</t>
  </si>
  <si>
    <t>Simmonds</t>
  </si>
  <si>
    <t>Henrik</t>
  </si>
  <si>
    <t>Sedin</t>
  </si>
  <si>
    <t>Kyle</t>
  </si>
  <si>
    <t>Turris</t>
  </si>
  <si>
    <t>Toffoli</t>
  </si>
  <si>
    <t>James</t>
  </si>
  <si>
    <t>Okposo</t>
  </si>
  <si>
    <t>Domi</t>
  </si>
  <si>
    <t>Jaden</t>
  </si>
  <si>
    <t>Schwartz</t>
  </si>
  <si>
    <t>Gabriel</t>
  </si>
  <si>
    <t>Landeskog</t>
  </si>
  <si>
    <t>Daniel</t>
  </si>
  <si>
    <t>Derek</t>
  </si>
  <si>
    <t>Stepan</t>
  </si>
  <si>
    <t>Nugent-Hopki…</t>
  </si>
  <si>
    <t>Patrik</t>
  </si>
  <si>
    <t>Laine</t>
  </si>
  <si>
    <t>Kristopher</t>
  </si>
  <si>
    <t>Letang</t>
  </si>
  <si>
    <t>Neal</t>
  </si>
  <si>
    <t>Palmieri</t>
  </si>
  <si>
    <t>Mats</t>
  </si>
  <si>
    <t>Zuccarello</t>
  </si>
  <si>
    <t>Steen</t>
  </si>
  <si>
    <t>Jeff</t>
  </si>
  <si>
    <t>Carter</t>
  </si>
  <si>
    <t>Klingberg</t>
  </si>
  <si>
    <t>Bryan</t>
  </si>
  <si>
    <t>Little</t>
  </si>
  <si>
    <t>Milan</t>
  </si>
  <si>
    <t>Lucic</t>
  </si>
  <si>
    <t>Mika</t>
  </si>
  <si>
    <t>Zibanejad</t>
  </si>
  <si>
    <t>Dylan</t>
  </si>
  <si>
    <t>Larkin</t>
  </si>
  <si>
    <t>Brayden</t>
  </si>
  <si>
    <t>Schenn</t>
  </si>
  <si>
    <t>Mike</t>
  </si>
  <si>
    <t>Hoffman</t>
  </si>
  <si>
    <t>Derick</t>
  </si>
  <si>
    <t>Brassard</t>
  </si>
  <si>
    <t>Vincent</t>
  </si>
  <si>
    <t>Trocheck</t>
  </si>
  <si>
    <t>Oliver</t>
  </si>
  <si>
    <t>Ekman-Lars…</t>
  </si>
  <si>
    <t>Loui</t>
  </si>
  <si>
    <t>Eriksson</t>
  </si>
  <si>
    <t>Dustin</t>
  </si>
  <si>
    <t>Byfuglien</t>
  </si>
  <si>
    <t>Bobby</t>
  </si>
  <si>
    <t>Brandon</t>
  </si>
  <si>
    <t>Saad</t>
  </si>
  <si>
    <t>Skinner</t>
  </si>
  <si>
    <t>Sharp</t>
  </si>
  <si>
    <t>Brad</t>
  </si>
  <si>
    <t>Marchand</t>
  </si>
  <si>
    <t>Giordano</t>
  </si>
  <si>
    <t>Andrew</t>
  </si>
  <si>
    <t>Ladd</t>
  </si>
  <si>
    <t>Brendan</t>
  </si>
  <si>
    <t>Gallagher</t>
  </si>
  <si>
    <t>Gustav</t>
  </si>
  <si>
    <t>Nyquist</t>
  </si>
  <si>
    <t>Johnson</t>
  </si>
  <si>
    <t>Roman</t>
  </si>
  <si>
    <t>Josi</t>
  </si>
  <si>
    <t>T.J.</t>
  </si>
  <si>
    <t>Oshie</t>
  </si>
  <si>
    <t>Jaromir</t>
  </si>
  <si>
    <t>Jagr</t>
  </si>
  <si>
    <t>Jussi</t>
  </si>
  <si>
    <t>Jokinen</t>
  </si>
  <si>
    <t>Shea</t>
  </si>
  <si>
    <t>Weber</t>
  </si>
  <si>
    <t>Victor</t>
  </si>
  <si>
    <t>Hedman</t>
  </si>
  <si>
    <t>Cam</t>
  </si>
  <si>
    <t>Atkinson</t>
  </si>
  <si>
    <t>Frans</t>
  </si>
  <si>
    <t>Nielsen</t>
  </si>
  <si>
    <t>Carl</t>
  </si>
  <si>
    <t>Soderberg</t>
  </si>
  <si>
    <t>Marcus</t>
  </si>
  <si>
    <t>Johansson</t>
  </si>
  <si>
    <t>Leon</t>
  </si>
  <si>
    <t>Draisaitl</t>
  </si>
  <si>
    <t>Adam</t>
  </si>
  <si>
    <t>Henrique</t>
  </si>
  <si>
    <t>Paul</t>
  </si>
  <si>
    <t>Stastny</t>
  </si>
  <si>
    <t>Boone</t>
  </si>
  <si>
    <t>Jenner</t>
  </si>
  <si>
    <t>Rick</t>
  </si>
  <si>
    <t>Nash</t>
  </si>
  <si>
    <t>Tyson</t>
  </si>
  <si>
    <t>Barrie</t>
  </si>
  <si>
    <t>Drew</t>
  </si>
  <si>
    <t>Doughty</t>
  </si>
  <si>
    <t>Patric</t>
  </si>
  <si>
    <t>Hornqvist</t>
  </si>
  <si>
    <t>Zach</t>
  </si>
  <si>
    <t>Parise</t>
  </si>
  <si>
    <t>Carlson</t>
  </si>
  <si>
    <t>Ondrej</t>
  </si>
  <si>
    <t>Palat</t>
  </si>
  <si>
    <t>Mikkel</t>
  </si>
  <si>
    <t>Boedker</t>
  </si>
  <si>
    <t>Mikko</t>
  </si>
  <si>
    <t>Koivu</t>
  </si>
  <si>
    <t>Rask</t>
  </si>
  <si>
    <t>Kesler</t>
  </si>
  <si>
    <t>Zetterberg</t>
  </si>
  <si>
    <t>Tomas</t>
  </si>
  <si>
    <t>Plekanec</t>
  </si>
  <si>
    <t>Martin</t>
  </si>
  <si>
    <t>Hanzal</t>
  </si>
  <si>
    <t>Hertl</t>
  </si>
  <si>
    <t>Wennberg</t>
  </si>
  <si>
    <t>Shayne</t>
  </si>
  <si>
    <t>Gostisbehe…</t>
  </si>
  <si>
    <t>Staal</t>
  </si>
  <si>
    <t>Justin</t>
  </si>
  <si>
    <t>Faulk</t>
  </si>
  <si>
    <t>Thomas</t>
  </si>
  <si>
    <t>Vanek</t>
  </si>
  <si>
    <t>Eric</t>
  </si>
  <si>
    <t>Jesse</t>
  </si>
  <si>
    <t>Puljujarvi</t>
  </si>
  <si>
    <t>Jiri</t>
  </si>
  <si>
    <t>Hudler</t>
  </si>
  <si>
    <t>Nikolaj</t>
  </si>
  <si>
    <t>Ehlers</t>
  </si>
  <si>
    <t>Williams</t>
  </si>
  <si>
    <t>Mikael</t>
  </si>
  <si>
    <t>Granlund</t>
  </si>
  <si>
    <t>Spooner</t>
  </si>
  <si>
    <t>Suter</t>
  </si>
  <si>
    <t>Anthony</t>
  </si>
  <si>
    <t>Duclair</t>
  </si>
  <si>
    <t>Scott</t>
  </si>
  <si>
    <t>Hartnell</t>
  </si>
  <si>
    <t>Marleau</t>
  </si>
  <si>
    <t>Strome</t>
  </si>
  <si>
    <t>Drouin</t>
  </si>
  <si>
    <t>Sam</t>
  </si>
  <si>
    <t>Reinhart</t>
  </si>
  <si>
    <t>Rickard</t>
  </si>
  <si>
    <t>Rakell</t>
  </si>
  <si>
    <t>Duncan</t>
  </si>
  <si>
    <t>Keith</t>
  </si>
  <si>
    <t>Couturier</t>
  </si>
  <si>
    <t>Nazem</t>
  </si>
  <si>
    <t>Kadri</t>
  </si>
  <si>
    <t>Dubinsky</t>
  </si>
  <si>
    <t>Charlie</t>
  </si>
  <si>
    <t>Coyle</t>
  </si>
  <si>
    <t>Brock</t>
  </si>
  <si>
    <t>Nelson</t>
  </si>
  <si>
    <t>Bo</t>
  </si>
  <si>
    <t>Horvat</t>
  </si>
  <si>
    <t>J.T.</t>
  </si>
  <si>
    <t>Miller</t>
  </si>
  <si>
    <t>Robby</t>
  </si>
  <si>
    <t>Fabbri</t>
  </si>
  <si>
    <t>Tatar</t>
  </si>
  <si>
    <t>Pietrangelo</t>
  </si>
  <si>
    <t>Chris</t>
  </si>
  <si>
    <t>Kreider</t>
  </si>
  <si>
    <t>Bennett</t>
  </si>
  <si>
    <t>Pierre-A</t>
  </si>
  <si>
    <t>Parenteau</t>
  </si>
  <si>
    <t>Travis</t>
  </si>
  <si>
    <t>Zajac</t>
  </si>
  <si>
    <t>Kevin</t>
  </si>
  <si>
    <t>Shattenkirk</t>
  </si>
  <si>
    <t>Reilly</t>
  </si>
  <si>
    <t>Smith</t>
  </si>
  <si>
    <t>Backlund</t>
  </si>
  <si>
    <t>Nick</t>
  </si>
  <si>
    <t>Bjugstad</t>
  </si>
  <si>
    <t>Teuvo</t>
  </si>
  <si>
    <t>Teravainen</t>
  </si>
  <si>
    <t>Ribeiro</t>
  </si>
  <si>
    <t>Aaron</t>
  </si>
  <si>
    <t>Ekblad</t>
  </si>
  <si>
    <t>Nino</t>
  </si>
  <si>
    <t>Niederreiter</t>
  </si>
  <si>
    <t>Pavel</t>
  </si>
  <si>
    <t>Zacha</t>
  </si>
  <si>
    <t>Jakob</t>
  </si>
  <si>
    <t>Silfverberg</t>
  </si>
  <si>
    <t>Pominville</t>
  </si>
  <si>
    <t>Teddy</t>
  </si>
  <si>
    <t>Purcell</t>
  </si>
  <si>
    <t>Perron</t>
  </si>
  <si>
    <t>Foligno</t>
  </si>
  <si>
    <t>Jarome</t>
  </si>
  <si>
    <t>Iginla</t>
  </si>
  <si>
    <t>Hayes</t>
  </si>
  <si>
    <t>Colborne</t>
  </si>
  <si>
    <t>Rasmus</t>
  </si>
  <si>
    <t>Ristolainen</t>
  </si>
  <si>
    <t>Artem</t>
  </si>
  <si>
    <t>Anisimov</t>
  </si>
  <si>
    <t>Michael</t>
  </si>
  <si>
    <t>Cammalleri</t>
  </si>
  <si>
    <t>Vladislav</t>
  </si>
  <si>
    <t>Namestn…</t>
  </si>
  <si>
    <t>Colonne32</t>
  </si>
  <si>
    <t>Evander Kane</t>
  </si>
  <si>
    <t>David Pastrnak</t>
  </si>
  <si>
    <t>Jimmy Vesey</t>
  </si>
  <si>
    <r>
      <t>Jamie Benn</t>
    </r>
    <r>
      <rPr>
        <sz val="8"/>
        <color rgb="FF000000"/>
        <rFont val="Verdana"/>
        <family val="2"/>
      </rPr>
      <t>*, Dal LW  </t>
    </r>
    <r>
      <rPr>
        <b/>
        <sz val="8"/>
        <color rgb="FFFF0000"/>
        <rFont val="Verdana"/>
        <family val="2"/>
      </rPr>
      <t>O</t>
    </r>
  </si>
  <si>
    <t>Patrick Kane, Chi RW</t>
  </si>
  <si>
    <r>
      <t>Sidney Crosby</t>
    </r>
    <r>
      <rPr>
        <sz val="8"/>
        <color rgb="FF000000"/>
        <rFont val="Verdana"/>
        <family val="2"/>
      </rPr>
      <t>, Pit C</t>
    </r>
  </si>
  <si>
    <t>Joe Pavelski, SJ C</t>
  </si>
  <si>
    <t>Erik Karlsson, Ott D</t>
  </si>
  <si>
    <t>Vladimir Tarasenko, StL RW</t>
  </si>
  <si>
    <t>Alex Ovechkin, Wsh RW</t>
  </si>
  <si>
    <t>Connor McDavid, Edm C</t>
  </si>
  <si>
    <t>Brent Burns, SJ D</t>
  </si>
  <si>
    <t>Johnny Gaudreau, Cgy LW</t>
  </si>
  <si>
    <t>John Tavares, NYI C</t>
  </si>
  <si>
    <t>Artemi Panarin, Chi C</t>
  </si>
  <si>
    <r>
      <t>Tyler Seguin</t>
    </r>
    <r>
      <rPr>
        <sz val="8"/>
        <color rgb="FF000000"/>
        <rFont val="Verdana"/>
        <family val="2"/>
      </rPr>
      <t>*, Dal C  </t>
    </r>
    <r>
      <rPr>
        <b/>
        <sz val="8"/>
        <color rgb="FFFF0000"/>
        <rFont val="Verdana"/>
        <family val="2"/>
      </rPr>
      <t>O</t>
    </r>
  </si>
  <si>
    <r>
      <t>Nikita Kucherov</t>
    </r>
    <r>
      <rPr>
        <sz val="8"/>
        <color rgb="FF000000"/>
        <rFont val="Verdana"/>
        <family val="2"/>
      </rPr>
      <t>, TB RW</t>
    </r>
  </si>
  <si>
    <t>Nicklas Backstrom, Wsh C</t>
  </si>
  <si>
    <t>Patrice Bergeron, Bos C</t>
  </si>
  <si>
    <t>Evgeni Malkin, Pit C</t>
  </si>
  <si>
    <r>
      <t>Dustin Byfuglien</t>
    </r>
    <r>
      <rPr>
        <sz val="8"/>
        <color rgb="FF000000"/>
        <rFont val="Verdana"/>
        <family val="2"/>
      </rPr>
      <t>, Wpg D</t>
    </r>
  </si>
  <si>
    <t>Blake Wheeler, Wpg RW</t>
  </si>
  <si>
    <t>Steven Stamkos, TB C</t>
  </si>
  <si>
    <t>Anze Kopitar, LA C</t>
  </si>
  <si>
    <t>Joe Thornton, SJ C</t>
  </si>
  <si>
    <t>Evgeny Kuznetsov, Wsh C</t>
  </si>
  <si>
    <t>Corey Perry, Ana RW</t>
  </si>
  <si>
    <t>Phil Kessel*, Pit RW  O</t>
  </si>
  <si>
    <t>Wayne Simmonds, Phi LW</t>
  </si>
  <si>
    <t>Oliver Ekman-Larsson, Ari D</t>
  </si>
  <si>
    <t>P.K. Subban*, Nsh D  O</t>
  </si>
  <si>
    <t>Claude Giroux, Phi C</t>
  </si>
  <si>
    <t>Tyler Toffoli, LA RW</t>
  </si>
  <si>
    <t>Ryan Getzlaf, Ana C</t>
  </si>
  <si>
    <t>Drew Doughty, LA D</t>
  </si>
  <si>
    <t>Kris Letang, Pit D</t>
  </si>
  <si>
    <t>Roman Josi, Nsh D</t>
  </si>
  <si>
    <t>Max Pacioretty, Mon LW</t>
  </si>
  <si>
    <t>Mark Giordano, Cgy D</t>
  </si>
  <si>
    <t>Daniel Sedin, Van LW</t>
  </si>
  <si>
    <t>Jonathan Toews, Chi C</t>
  </si>
  <si>
    <t>Shea Weber, Mon D</t>
  </si>
  <si>
    <r>
      <t>Brad Marchand</t>
    </r>
    <r>
      <rPr>
        <sz val="8"/>
        <color rgb="FF000000"/>
        <rFont val="Verdana"/>
        <family val="2"/>
      </rPr>
      <t>, Bos LW</t>
    </r>
  </si>
  <si>
    <t>Filip Forsberg, Nsh C</t>
  </si>
  <si>
    <t>John Klingberg, Dal D</t>
  </si>
  <si>
    <t>James Neal, Nsh LW</t>
  </si>
  <si>
    <t>Jakub Voracek, Phi RW</t>
  </si>
  <si>
    <t>Jack Eichel, Buf C</t>
  </si>
  <si>
    <t>Ryan Kesler, Ana C</t>
  </si>
  <si>
    <t>Jonathan Huberdeau, Fla LW</t>
  </si>
  <si>
    <t>Jeff Carter*, LA RW  O</t>
  </si>
  <si>
    <t>T.J. Oshie, Wsh RW</t>
  </si>
  <si>
    <t>Shayne Gostisbehere, Phi D</t>
  </si>
  <si>
    <t>David Backes, Bos C</t>
  </si>
  <si>
    <t>Max Domi, Ari C</t>
  </si>
  <si>
    <t>Mark Stone, Ott RW</t>
  </si>
  <si>
    <t>Taylor Hall, NJ LW</t>
  </si>
  <si>
    <t>Chris Kreider, NYR LW</t>
  </si>
  <si>
    <r>
      <t>Sean Monahan</t>
    </r>
    <r>
      <rPr>
        <sz val="8"/>
        <color rgb="FF000000"/>
        <rFont val="Verdana"/>
        <family val="2"/>
      </rPr>
      <t>*, Cgy C  </t>
    </r>
    <r>
      <rPr>
        <b/>
        <sz val="8"/>
        <color rgb="FFFF0000"/>
        <rFont val="Verdana"/>
        <family val="2"/>
      </rPr>
      <t>O</t>
    </r>
  </si>
  <si>
    <t>Kyle Palmieri, NJ RW</t>
  </si>
  <si>
    <r>
      <t>Alexander Steen</t>
    </r>
    <r>
      <rPr>
        <sz val="8"/>
        <color rgb="FF000000"/>
        <rFont val="Verdana"/>
        <family val="2"/>
      </rPr>
      <t>*, StL LW  </t>
    </r>
    <r>
      <rPr>
        <b/>
        <sz val="8"/>
        <color rgb="FFFF0000"/>
        <rFont val="Verdana"/>
        <family val="2"/>
      </rPr>
      <t>O</t>
    </r>
  </si>
  <si>
    <t>Patric Hornqvist, Pit RW</t>
  </si>
  <si>
    <t>Mark Scheifele, Wpg C</t>
  </si>
  <si>
    <t>Henrik Zetterberg*, Det C  O</t>
  </si>
  <si>
    <r>
      <t>Duncan Keith</t>
    </r>
    <r>
      <rPr>
        <sz val="8"/>
        <color rgb="FF000000"/>
        <rFont val="Verdana"/>
        <family val="2"/>
      </rPr>
      <t>*, Chi D  </t>
    </r>
    <r>
      <rPr>
        <b/>
        <sz val="8"/>
        <color rgb="FFFF0000"/>
        <rFont val="Verdana"/>
        <family val="2"/>
      </rPr>
      <t>O</t>
    </r>
  </si>
  <si>
    <t>Milan Lucic, Edm LW</t>
  </si>
  <si>
    <t>Dylan Larkin, Det C</t>
  </si>
  <si>
    <t>Patrick Sharp, Dal LW</t>
  </si>
  <si>
    <t>Zach Parise, Min LW</t>
  </si>
  <si>
    <t>Mike Hoffman, Ott LW</t>
  </si>
  <si>
    <t>Kevin Shattenkirk, StL D</t>
  </si>
  <si>
    <t>Bobby Ryan, Ott RW</t>
  </si>
  <si>
    <t>Adam Henrique, NJ C</t>
  </si>
  <si>
    <t>Logan Couture, SJ C</t>
  </si>
  <si>
    <t>Ryan Johansen, Nsh C</t>
  </si>
  <si>
    <t>Gabriel Landeskog, Col LW</t>
  </si>
  <si>
    <t>Andrei Markov, Mon D</t>
  </si>
  <si>
    <t>Auston Matthews, Tor C</t>
  </si>
  <si>
    <t>Ryan Suter, Min D</t>
  </si>
  <si>
    <t>Tomas Plekanec, Mon C</t>
  </si>
  <si>
    <t>Jason Spezza, Dal C</t>
  </si>
  <si>
    <t>Henrik Sedin, Van C</t>
  </si>
  <si>
    <t>Torey Krug*, Bos D  O</t>
  </si>
  <si>
    <r>
      <t>Tyler Johnson</t>
    </r>
    <r>
      <rPr>
        <sz val="8"/>
        <color rgb="FF000000"/>
        <rFont val="Verdana"/>
        <family val="2"/>
      </rPr>
      <t>, TB C</t>
    </r>
  </si>
  <si>
    <t>Aleksander Barkov, Fla C</t>
  </si>
  <si>
    <t>Nathan MacKinnon, Col C</t>
  </si>
  <si>
    <t>Derek Stepan, NYR C</t>
  </si>
  <si>
    <t>Victor Hedman, TB D</t>
  </si>
  <si>
    <t>Mats Zuccarello, NYR RW</t>
  </si>
  <si>
    <t>Loui Eriksson, Van LW</t>
  </si>
  <si>
    <t>Kyle Okposo, Buf RW</t>
  </si>
  <si>
    <t>Derick Brassard, Ott C</t>
  </si>
  <si>
    <t>James van Riemsdyk, Tor LW</t>
  </si>
  <si>
    <t>Andrew Ladd, NYI LW</t>
  </si>
  <si>
    <t>Scott Hartnell, Cls LW</t>
  </si>
  <si>
    <t>Jake Muzzin, LA D</t>
  </si>
  <si>
    <t>Aaron Ekblad, Fla D</t>
  </si>
  <si>
    <t>Mikko Koivu, Min C</t>
  </si>
  <si>
    <t>Eric Staal, Min C</t>
  </si>
  <si>
    <t>Justin Abdelkader, Det LW</t>
  </si>
  <si>
    <t>Sami Vatanen, Ana D</t>
  </si>
  <si>
    <t>Craig Smith, Nsh RW</t>
  </si>
  <si>
    <t>Justin Williams, Wsh RW</t>
  </si>
  <si>
    <t>John Carlson, Wsh D</t>
  </si>
  <si>
    <t>Anthony Duclair, Ari LW</t>
  </si>
  <si>
    <t>Keith Yandle, Fla D</t>
  </si>
  <si>
    <t>Alex Pietrangelo, StL D</t>
  </si>
  <si>
    <t>Brayden Schenn, Phi C  DTD</t>
  </si>
  <si>
    <t>Nick Foligno, Cls LW</t>
  </si>
  <si>
    <t>Marian Hossa, Chi RW</t>
  </si>
  <si>
    <t>David Krejci*, Bos C  O</t>
  </si>
  <si>
    <t>Rick Nash, NYR LW</t>
  </si>
  <si>
    <t>P.A. Parenteau, NYI RW</t>
  </si>
  <si>
    <r>
      <t>Matt Duchene</t>
    </r>
    <r>
      <rPr>
        <sz val="8"/>
        <color rgb="FF000000"/>
        <rFont val="Verdana"/>
        <family val="2"/>
      </rPr>
      <t>, Col C</t>
    </r>
  </si>
  <si>
    <t>Tyson Barrie, Col D</t>
  </si>
  <si>
    <t>Colton Parayko, StL D</t>
  </si>
  <si>
    <t>Brendan Gallagher, Mon RW</t>
  </si>
  <si>
    <t>Jeff Skinner, Car LW</t>
  </si>
  <si>
    <t>Jaromir Jagr, Fla RW</t>
  </si>
  <si>
    <t>Brandon Saad, Cls LW</t>
  </si>
  <si>
    <t>Tomas Tatar, Det LW</t>
  </si>
  <si>
    <t>Tomas Hertl*, SJ LW  O</t>
  </si>
  <si>
    <t>Zdeno Chara, Bos D</t>
  </si>
  <si>
    <t>Brent Seabrook, Chi D</t>
  </si>
  <si>
    <t>Shane Doan, Ari RW</t>
  </si>
  <si>
    <t>Jussi Jokinen, Fla LW</t>
  </si>
  <si>
    <t>Brandon Dubinsky, Cls C</t>
  </si>
  <si>
    <t>Alexander Radulov, Mon RW</t>
  </si>
  <si>
    <t>Michael Cammalleri, NJ LW</t>
  </si>
  <si>
    <t>Ondrej Palat, TB LW</t>
  </si>
  <si>
    <r>
      <t>Ryan O'Reilly</t>
    </r>
    <r>
      <rPr>
        <sz val="8"/>
        <color rgb="FF000000"/>
        <rFont val="Verdana"/>
        <family val="2"/>
      </rPr>
      <t>, Buf RW</t>
    </r>
  </si>
  <si>
    <t>Jordan Eberle, Edm RW</t>
  </si>
  <si>
    <t>Jonathan Drouin, TB LW</t>
  </si>
  <si>
    <r>
      <t>Rickard Rakell</t>
    </r>
    <r>
      <rPr>
        <sz val="8"/>
        <color rgb="FF000000"/>
        <rFont val="Verdana"/>
        <family val="2"/>
      </rPr>
      <t>*, Ana C  </t>
    </r>
    <r>
      <rPr>
        <b/>
        <sz val="8"/>
        <color rgb="FFFF0000"/>
        <rFont val="Verdana"/>
        <family val="2"/>
      </rPr>
      <t>O</t>
    </r>
  </si>
  <si>
    <t>Hampus Lindholm, Ana D</t>
  </si>
  <si>
    <t>Anton Stralman, TB D</t>
  </si>
  <si>
    <r>
      <t>Rasmus Ristolainen</t>
    </r>
    <r>
      <rPr>
        <sz val="8"/>
        <color rgb="FF000000"/>
        <rFont val="Verdana"/>
        <family val="2"/>
      </rPr>
      <t>, Buf D</t>
    </r>
  </si>
  <si>
    <t>Kyle Turris*, Ott C  O</t>
  </si>
  <si>
    <t>Marc-Edouard Vlasic, SJ D</t>
  </si>
  <si>
    <t>Patrick Marleau, SJ LW</t>
  </si>
  <si>
    <t>Ryan McDonagh, NYR D</t>
  </si>
  <si>
    <t>Nikolaj Ehlers, Wpg LW</t>
  </si>
  <si>
    <t>Justin Faulk, Car D</t>
  </si>
  <si>
    <t>Jordan Staal, Car C</t>
  </si>
  <si>
    <t>Dougie Hamilton, Cgy D</t>
  </si>
  <si>
    <t>Jaden Schwartz, StL LW</t>
  </si>
  <si>
    <t>Mikkel Boedker, SJ LW</t>
  </si>
  <si>
    <t>Mikael Backlund, Cgy C</t>
  </si>
  <si>
    <t>Boone Jenner, Cls RW</t>
  </si>
  <si>
    <t>Leon Draisaitl, Edm C</t>
  </si>
  <si>
    <t>Paul Stastny, StL C</t>
  </si>
  <si>
    <t>Bryan Little*, Wpg C  O</t>
  </si>
  <si>
    <t>Carl Soderberg, Col C</t>
  </si>
  <si>
    <t>Gustav Nyquist, Det RW</t>
  </si>
  <si>
    <t>Jakob Silfverberg, Ana RW</t>
  </si>
  <si>
    <t>Carl Hagelin, Pit LW</t>
  </si>
  <si>
    <t>Mike Ribeiro, Nsh C</t>
  </si>
  <si>
    <t>Reilly Smith, Fla RW</t>
  </si>
  <si>
    <t>Jason Pominville, Min RW</t>
  </si>
  <si>
    <t>Frans Nielsen, Det C</t>
  </si>
  <si>
    <t>Alex Galchenyuk, Mon LW</t>
  </si>
  <si>
    <t>T.J. Brodie, Cgy D</t>
  </si>
  <si>
    <t>Robby Fabbri, StL C</t>
  </si>
  <si>
    <t>Seth Jones, Cls D</t>
  </si>
  <si>
    <t>Mike Green, Det D</t>
  </si>
  <si>
    <t>Vincent Trocheck, Fla C</t>
  </si>
  <si>
    <t>Victor Rask, Car C</t>
  </si>
  <si>
    <t>Mattias Ekholm, Nsh D</t>
  </si>
  <si>
    <t>Sam Bennett, Cgy C</t>
  </si>
  <si>
    <t>Jori Lehtera, StL C</t>
  </si>
  <si>
    <t>Cam Atkinson, Cls RW</t>
  </si>
  <si>
    <t>Jiri Hudler, Fla RW</t>
  </si>
  <si>
    <t>Nazem Kadri, Tor C</t>
  </si>
  <si>
    <t>Ryan Nugent-Hopkins, Edm C</t>
  </si>
  <si>
    <t>Mika Zibanejad, NYR RW</t>
  </si>
  <si>
    <t>Ryan Spooner, Bos C</t>
  </si>
  <si>
    <t>Evander Kane, Buf LW</t>
  </si>
  <si>
    <t>Patrik Laine, Wpg RW</t>
  </si>
  <si>
    <t>William Nylander, Tor RW</t>
  </si>
  <si>
    <t>Dion Phaneuf*, Ott D  O</t>
  </si>
  <si>
    <t>Sean Couturier, Phi C</t>
  </si>
  <si>
    <t>Dylan Strome, Ari C</t>
  </si>
  <si>
    <t>Matt Niskanen, Wsh D</t>
  </si>
  <si>
    <t>Alex Goligoski, Ari D</t>
  </si>
  <si>
    <t>Mark Streit, Phi D</t>
  </si>
  <si>
    <t>Martin Hanzal, Ari C</t>
  </si>
  <si>
    <t>David Pastrnak, Bos LW</t>
  </si>
  <si>
    <t>Brian Campbell, Chi D</t>
  </si>
  <si>
    <t>Anders Lee, NYI C</t>
  </si>
  <si>
    <t>Jarome Iginla, Col RW</t>
  </si>
  <si>
    <t>Johnny Boychuk, NYI D</t>
  </si>
  <si>
    <t>Ryan Ellis, Nsh D</t>
  </si>
  <si>
    <t>Frank Vatrano, Bos C</t>
  </si>
  <si>
    <t>Tom Wilson, Wsh RW</t>
  </si>
  <si>
    <t>Thomas Vanek*, Det LW  O</t>
  </si>
  <si>
    <t>Nino Niederreiter, Min RW</t>
  </si>
  <si>
    <t>Leo Komarov, Tor LW</t>
  </si>
  <si>
    <t>Nick Leddy, NYI D</t>
  </si>
  <si>
    <t>Alex Killorn, TB LW</t>
  </si>
  <si>
    <t>J.T. Miller, NYR C</t>
  </si>
  <si>
    <t>Sam Reinhart, Buf C</t>
  </si>
  <si>
    <t>Marcus Johansson, Wsh LW</t>
  </si>
  <si>
    <t>Andrew Shaw, Mon C</t>
  </si>
  <si>
    <t>Alex Ovechkin</t>
  </si>
  <si>
    <t>Oliver Ekman-Larsson</t>
  </si>
  <si>
    <t>Kris Letang</t>
  </si>
  <si>
    <t>Shayne Gostisbehere</t>
  </si>
  <si>
    <t>David Backes</t>
  </si>
  <si>
    <t>Andrei Markov</t>
  </si>
  <si>
    <t>Jake Muzzin</t>
  </si>
  <si>
    <t>Justin Abdelkader</t>
  </si>
  <si>
    <t>Sami Vatanen</t>
  </si>
  <si>
    <t>Craig Smith</t>
  </si>
  <si>
    <t>Keith Yandle</t>
  </si>
  <si>
    <t>Marian Hossa</t>
  </si>
  <si>
    <t>P.A. Parenteau</t>
  </si>
  <si>
    <t>Colton Parayko</t>
  </si>
  <si>
    <t>Zdeno Chara</t>
  </si>
  <si>
    <t>Brent Seabrook</t>
  </si>
  <si>
    <t>Shane Doan</t>
  </si>
  <si>
    <t>Hampus Lindholm</t>
  </si>
  <si>
    <t>Anton Stralman</t>
  </si>
  <si>
    <t>Marc-Edouard Vlasic</t>
  </si>
  <si>
    <t>Ryan McDonagh</t>
  </si>
  <si>
    <t>Dougie Hamilton</t>
  </si>
  <si>
    <t>Carl Hagelin</t>
  </si>
  <si>
    <t>T.J. Brodie</t>
  </si>
  <si>
    <t>Seth Jones</t>
  </si>
  <si>
    <t>Mike Green</t>
  </si>
  <si>
    <t>Mattias Ekholm</t>
  </si>
  <si>
    <t>Jori Lehtera</t>
  </si>
  <si>
    <t>Ryan Nugent-Hopkins</t>
  </si>
  <si>
    <t>William Nylander</t>
  </si>
  <si>
    <t>Matt Niskanen</t>
  </si>
  <si>
    <t>Alex Goligoski</t>
  </si>
  <si>
    <t>Mark Streit</t>
  </si>
  <si>
    <t>Brian Campbell</t>
  </si>
  <si>
    <t>Anders Lee</t>
  </si>
  <si>
    <t>Johnny Boychuk</t>
  </si>
  <si>
    <t>Ryan Ellis</t>
  </si>
  <si>
    <t>Frank Vatrano</t>
  </si>
  <si>
    <t>Tom Wilson</t>
  </si>
  <si>
    <t>Leo Komarov</t>
  </si>
  <si>
    <t>Nick Leddy</t>
  </si>
  <si>
    <t>Alex Killorn</t>
  </si>
  <si>
    <t>Andrew Shaw</t>
  </si>
  <si>
    <t>Torey Krug</t>
  </si>
  <si>
    <t>Dion Phaneuf</t>
  </si>
  <si>
    <t>van Riemsdyk</t>
  </si>
  <si>
    <t>Prenom</t>
  </si>
  <si>
    <t>Nom</t>
  </si>
  <si>
    <t>Moyenne</t>
  </si>
  <si>
    <t>ESPN</t>
  </si>
  <si>
    <t>Evgeni Malkin, PIT</t>
  </si>
  <si>
    <t>Sidney Crosby, PIT</t>
  </si>
  <si>
    <t>Tyler Seguin, DAL</t>
  </si>
  <si>
    <t>Steven Stamkos, TB</t>
  </si>
  <si>
    <t>Patrice Bergeron, BOS</t>
  </si>
  <si>
    <t>Joe Pavelski, SJ</t>
  </si>
  <si>
    <t>Jason Spezza, DAL</t>
  </si>
  <si>
    <t>John Tavares, NYI</t>
  </si>
  <si>
    <t>Nicklas Backstrom, WAS</t>
  </si>
  <si>
    <t>Ryan Getzlaf, ANA</t>
  </si>
  <si>
    <t>Anze Kopitar, LA</t>
  </si>
  <si>
    <t>Claude Giroux, PHI</t>
  </si>
  <si>
    <t>Jonathan Toews, CHI</t>
  </si>
  <si>
    <t>Jeff Carter, LA</t>
  </si>
  <si>
    <t>David Krejci, BOS</t>
  </si>
  <si>
    <t>Evgeny Kuznetsov, WAS</t>
  </si>
  <si>
    <t>Joe Thornton, SJ</t>
  </si>
  <si>
    <t>Logan Couture, SJ</t>
  </si>
  <si>
    <t>Ryan Johansen, NSH</t>
  </si>
  <si>
    <t>Mark Scheifele, WPG</t>
  </si>
  <si>
    <t>Ryan Kesler, ANA</t>
  </si>
  <si>
    <t>Tyler Johnson, TB</t>
  </si>
  <si>
    <t>Derick Brassard, OTT</t>
  </si>
  <si>
    <t>Derek Stepan, NYR</t>
  </si>
  <si>
    <t>Connor McDavid, EDM</t>
  </si>
  <si>
    <t>Brayden Schenn, PHI</t>
  </si>
  <si>
    <t>Alex Galchenyuk, MON</t>
  </si>
  <si>
    <t>Antoine Vermette, ANA</t>
  </si>
  <si>
    <t>Matt Duchene, COL</t>
  </si>
  <si>
    <t>Sean Monahan, CGY</t>
  </si>
  <si>
    <t>Mika Zibanejad, NYR</t>
  </si>
  <si>
    <t>Aleksander Barkov, FLA</t>
  </si>
  <si>
    <t>Tomas Plekanec, MON</t>
  </si>
  <si>
    <t>Nathan MacKinnon, COL</t>
  </si>
  <si>
    <t>Rickard Rakell, ANA</t>
  </si>
  <si>
    <t>Nazem Kadri, TOR</t>
  </si>
  <si>
    <t>Henrik Sedin, VAN</t>
  </si>
  <si>
    <t>Bryan Little, WPG</t>
  </si>
  <si>
    <t>Paul Stastny, STL</t>
  </si>
  <si>
    <t>Ryan Spooner, BOS</t>
  </si>
  <si>
    <t>Nick Bonino, PIT</t>
  </si>
  <si>
    <t>Artem Anisimov, CHI</t>
  </si>
  <si>
    <t>Vincent Trocheck, FLA</t>
  </si>
  <si>
    <t>Dylan Larkin, DET</t>
  </si>
  <si>
    <t>Adam Henrique, NJ</t>
  </si>
  <si>
    <t>Mike Ribeiro, NSH</t>
  </si>
  <si>
    <t>Zack Smith, OTT</t>
  </si>
  <si>
    <t>Robby Fabbri, STL</t>
  </si>
  <si>
    <t>J.T. Miller, NYR</t>
  </si>
  <si>
    <t>Mathieu Perreault, WPG</t>
  </si>
  <si>
    <t>Sean Couturier, PHI</t>
  </si>
  <si>
    <t>Brandon Dubinsky, CLB</t>
  </si>
  <si>
    <t>Brandon Pirri, NYR</t>
  </si>
  <si>
    <t>Jean-Gabriel Pageau, OTT</t>
  </si>
  <si>
    <t>Mikko Koivu, MIN</t>
  </si>
  <si>
    <t>Frans Nielsen, DET</t>
  </si>
  <si>
    <t>Ryan O'Reilly, BUF</t>
  </si>
  <si>
    <t>Max Domi, ARI</t>
  </si>
  <si>
    <t>Mikael Backlund, CGY</t>
  </si>
  <si>
    <t>Victor Rask, CAR</t>
  </si>
  <si>
    <t>William Nylander, TOR</t>
  </si>
  <si>
    <t>Martin Hanzal, ARI</t>
  </si>
  <si>
    <t>Kyle Turris, OTT</t>
  </si>
  <si>
    <t>Cody Eakin, DAL</t>
  </si>
  <si>
    <t>Riley Nash, BOS</t>
  </si>
  <si>
    <t>Lars Eller, WAS</t>
  </si>
  <si>
    <t>Carl Soderberg, COL</t>
  </si>
  <si>
    <t>Leon Draisaitl, EDM</t>
  </si>
  <si>
    <t>Seth Griffith, BOS</t>
  </si>
  <si>
    <t>Tyler Bozak, TOR</t>
  </si>
  <si>
    <t>Brock Nelson, NYI</t>
  </si>
  <si>
    <t>Jack Eichel, BUF</t>
  </si>
  <si>
    <t>Nick Bjugstad, FLA</t>
  </si>
  <si>
    <t>Travis Zajac, NJ</t>
  </si>
  <si>
    <t>Jordan Staal, CAR</t>
  </si>
  <si>
    <t>Matt Cullen, PIT</t>
  </si>
  <si>
    <t>Valtteri Filppula, TB</t>
  </si>
  <si>
    <t>Mattias Janmark, DAL</t>
  </si>
  <si>
    <t>Vladislav Namestnikov, TB</t>
  </si>
  <si>
    <t>Joe Colborne, COL</t>
  </si>
  <si>
    <t>Ryan Nugent-Hopkins, EDM</t>
  </si>
  <si>
    <t>Bo Horvat, VAN</t>
  </si>
  <si>
    <t>Frank Vatrano, BOS</t>
  </si>
  <si>
    <t>Tyler Ennis, BUF</t>
  </si>
  <si>
    <t>Alexander Wennberg, CLB</t>
  </si>
  <si>
    <t>Brian Boyle, TB</t>
  </si>
  <si>
    <t>Jori Lehtera, STL</t>
  </si>
  <si>
    <t>Radek Faksa, DAL</t>
  </si>
  <si>
    <t>Patrik Berglund, STL</t>
  </si>
  <si>
    <t>Mike Fisher, NSH</t>
  </si>
  <si>
    <t>Linden Vey, CGY</t>
  </si>
  <si>
    <t>Eric Staal, MIN</t>
  </si>
  <si>
    <t>David Desharnais, MON</t>
  </si>
  <si>
    <t>Jay Beagle, WAS</t>
  </si>
  <si>
    <t>Calle Jarnkrok, NSH</t>
  </si>
  <si>
    <t>Chris Wagner, ANA</t>
  </si>
  <si>
    <t>Mikael Granlund, MIN</t>
  </si>
  <si>
    <t>Darren Helm, DET</t>
  </si>
  <si>
    <t>Charlie Coyle, MIN</t>
  </si>
  <si>
    <t>Brandon Sutter, VAN</t>
  </si>
  <si>
    <t>Chris Kelly, OTT</t>
  </si>
  <si>
    <t>Melker Karlsson, SJ</t>
  </si>
  <si>
    <t>Paul Byron, MON</t>
  </si>
  <si>
    <t>Pavel Zacha, NJ</t>
  </si>
  <si>
    <t>Sam Reinhart, BUF</t>
  </si>
  <si>
    <t>Jared McCann, FLA</t>
  </si>
  <si>
    <t>Shawn Matthias, WPG</t>
  </si>
  <si>
    <t>Auston Matthews, TOR</t>
  </si>
  <si>
    <t>Mitchell Marner, TOR</t>
  </si>
  <si>
    <t>Joseph Blandisi, NJ</t>
  </si>
  <si>
    <t>Erik Haula, MIN</t>
  </si>
  <si>
    <t>Jonathan Marchessault, FLA</t>
  </si>
  <si>
    <t>Tyler Graovac, MIN</t>
  </si>
  <si>
    <t>Dylan Strome, ARI</t>
  </si>
  <si>
    <t>Trevor Lewis, LA</t>
  </si>
  <si>
    <t>John Mitchell, COL</t>
  </si>
  <si>
    <t>Riley Sheahan, DET</t>
  </si>
  <si>
    <t>Scott Laughton, PHI</t>
  </si>
  <si>
    <t>Chris Tierney, SJ</t>
  </si>
  <si>
    <t>Mikhail Grigorenko, COL</t>
  </si>
  <si>
    <t>Brad Richardson, ARI</t>
  </si>
  <si>
    <t>Dennis Rasmussen, CHI</t>
  </si>
  <si>
    <t>Cedric Paquette, TB</t>
  </si>
  <si>
    <t>Andrew Desjardins, CHI</t>
  </si>
  <si>
    <t>Colton Sissons, NSH</t>
  </si>
  <si>
    <t>Sam Gagner, CLB</t>
  </si>
  <si>
    <t>Luke Glendening, DET</t>
  </si>
  <si>
    <t>Andy Andreoff, LA</t>
  </si>
  <si>
    <t>Marcus Kruger, CHI</t>
  </si>
  <si>
    <t>Joakim Nordstrom, CAR</t>
  </si>
  <si>
    <t>Phillip Danault, MON</t>
  </si>
  <si>
    <t>Laurent Dauphin, ARI</t>
  </si>
  <si>
    <t>Mark Letestu, EDM</t>
  </si>
  <si>
    <t>Stephen Gionta, NYI</t>
  </si>
  <si>
    <t>Nick Shore, LA</t>
  </si>
  <si>
    <t>Brian Flynn, MON</t>
  </si>
  <si>
    <t>Marko Dano, WPG</t>
  </si>
  <si>
    <t>Kyle Brodziak, STL</t>
  </si>
  <si>
    <t>Jacob Josefson, NJ</t>
  </si>
  <si>
    <t>Teuvo Teravainen, CAR</t>
  </si>
  <si>
    <t>Chris VandeVelde, PHI</t>
  </si>
  <si>
    <t>William Karlsson, CLB</t>
  </si>
  <si>
    <t>Sergey Kalinin, NJ</t>
  </si>
  <si>
    <t>Markus Granlund, VAN</t>
  </si>
  <si>
    <t>Derek MacKenzie, FLA</t>
  </si>
  <si>
    <t>Ryan Carter, MIN</t>
  </si>
  <si>
    <t>Steve Ott, DET</t>
  </si>
  <si>
    <t>Boyd Gordon, PHI</t>
  </si>
  <si>
    <t>Zemgus Girgensons, BUF</t>
  </si>
  <si>
    <t>Dave Bolland, ARI</t>
  </si>
  <si>
    <t>Jay McClement, CAR</t>
  </si>
  <si>
    <t>Brooks Laich, TOR</t>
  </si>
  <si>
    <t>Patrick Kane, CHI</t>
  </si>
  <si>
    <t>Nikita Kucherov, TB</t>
  </si>
  <si>
    <t>Phil Kessel, PIT</t>
  </si>
  <si>
    <t>Vladimir Tarasenko, STL</t>
  </si>
  <si>
    <t>Corey Perry, ANA</t>
  </si>
  <si>
    <t>James Neal, NSH</t>
  </si>
  <si>
    <t>Wayne Simmonds, PHI</t>
  </si>
  <si>
    <t>Blake Wheeler, WPG</t>
  </si>
  <si>
    <t>Patric Hornqvist, PIT</t>
  </si>
  <si>
    <t>Mark Stone, OTT</t>
  </si>
  <si>
    <t>Jakub Voracek, PHI</t>
  </si>
  <si>
    <t>Brendan Gallagher, MON</t>
  </si>
  <si>
    <t>T.J. Oshie, WAS</t>
  </si>
  <si>
    <t>Mats Zuccarello, NYR</t>
  </si>
  <si>
    <t>Marian Hossa, CHI</t>
  </si>
  <si>
    <t>Tyler Toffoli, LA</t>
  </si>
  <si>
    <t>P.A. Parenteau, NYI</t>
  </si>
  <si>
    <t>Jiri Hudler, DAL</t>
  </si>
  <si>
    <t>Justin Williams, WAS</t>
  </si>
  <si>
    <t>David Backes, BOS</t>
  </si>
  <si>
    <t>Kyle Palmieri, NJ</t>
  </si>
  <si>
    <t>Bobby Ryan, OTT</t>
  </si>
  <si>
    <t>Nick Schmaltz, CHI</t>
  </si>
  <si>
    <t>Shane Doan, ARI</t>
  </si>
  <si>
    <t>Jakob Silfverberg, ANA</t>
  </si>
  <si>
    <t>Jaromir Jagr, FLA</t>
  </si>
  <si>
    <t>Teddy Purcell, LA</t>
  </si>
  <si>
    <t>Ryan Hartman, CHI</t>
  </si>
  <si>
    <t>David Pastrnak, BOS</t>
  </si>
  <si>
    <t>Jordan Eberle, EDM</t>
  </si>
  <si>
    <t>Cam Atkinson, CLB</t>
  </si>
  <si>
    <t>Joel Ward, SJ</t>
  </si>
  <si>
    <t>Ales Hemsky, DAL</t>
  </si>
  <si>
    <t>Reilly Smith, FLA</t>
  </si>
  <si>
    <t>Jarome Iginla, COL</t>
  </si>
  <si>
    <t>Loui Eriksson, VAN</t>
  </si>
  <si>
    <t>Andrew Shaw, MON</t>
  </si>
  <si>
    <t>Craig Smith, NSH</t>
  </si>
  <si>
    <t>Jannik Hansen, VAN</t>
  </si>
  <si>
    <t>Lee Stempniak, CAR</t>
  </si>
  <si>
    <t>Gustav Nyquist, DET</t>
  </si>
  <si>
    <t>Alexander Radulov, MON</t>
  </si>
  <si>
    <t>Kyle Okposo, BUF</t>
  </si>
  <si>
    <t>Kevin Hayes, NYR</t>
  </si>
  <si>
    <t>Marian Gaborik, LA</t>
  </si>
  <si>
    <t>Bryan Rust, PIT</t>
  </si>
  <si>
    <t>Jimmy Hayes, BOS</t>
  </si>
  <si>
    <t>Drew Stafford, WPG</t>
  </si>
  <si>
    <t>Joonas Donskoi, SJ</t>
  </si>
  <si>
    <t>Troy Brouwer, CGY</t>
  </si>
  <si>
    <t>Nino Niederreiter, MIN</t>
  </si>
  <si>
    <t>Jason Pominville, MIN</t>
  </si>
  <si>
    <t>Nikita Soshnikov, TOR</t>
  </si>
  <si>
    <t>Tom Wilson, WAS</t>
  </si>
  <si>
    <t>Radim Vrbata, ARI</t>
  </si>
  <si>
    <t>Jordin Tootoo, CHI</t>
  </si>
  <si>
    <t>J.T. Brown, TB</t>
  </si>
  <si>
    <t>Dustin Brown, LA</t>
  </si>
  <si>
    <t>Richard Panik, CHI</t>
  </si>
  <si>
    <t>Eric Fehr, PIT</t>
  </si>
  <si>
    <t>Tom Kuhnhackl, PIT</t>
  </si>
  <si>
    <t>Oliver Bjorkstrand, CLB</t>
  </si>
  <si>
    <t>Ryan Strome, NYI</t>
  </si>
  <si>
    <t>Elias Lindholm, CAR</t>
  </si>
  <si>
    <t>Dale Weise, PHI</t>
  </si>
  <si>
    <t>Michael Grabner, NYR</t>
  </si>
  <si>
    <t>Patrik Laine, WPG</t>
  </si>
  <si>
    <t>Torrey Mitchell, MON</t>
  </si>
  <si>
    <t>Tyler Randell, BOS</t>
  </si>
  <si>
    <t>Jesper Fast, NYR</t>
  </si>
  <si>
    <t>Jared Boll, ANA</t>
  </si>
  <si>
    <t>Matt Read, PHI</t>
  </si>
  <si>
    <t>Tommy Wingels, SJ</t>
  </si>
  <si>
    <t>Anthony Mantha, DET</t>
  </si>
  <si>
    <t>Derek Dorsett, VAN</t>
  </si>
  <si>
    <t>Alex Burrows, VAN</t>
  </si>
  <si>
    <t>Cal Clutterbuck, NYI</t>
  </si>
  <si>
    <t>Chris Stewart, MIN</t>
  </si>
  <si>
    <t>Chris Neil, OTT</t>
  </si>
  <si>
    <t>Curtis Lazar, OTT</t>
  </si>
  <si>
    <t>Jake Virtanen, VAN</t>
  </si>
  <si>
    <t>Nikolay Kulemin, NYI</t>
  </si>
  <si>
    <t>Nail Yakupov, EDM</t>
  </si>
  <si>
    <t>Jesse Puljujarvi, EDM</t>
  </si>
  <si>
    <t>Erik Condra, TB</t>
  </si>
  <si>
    <t>Ryan Garbutt, ANA</t>
  </si>
  <si>
    <t>Dmitrij Jaskin, STL</t>
  </si>
  <si>
    <t>Miikka Salomaki, NSH</t>
  </si>
  <si>
    <t>Zack Kassian, EDM</t>
  </si>
  <si>
    <t>Colton Sceviour, FLA</t>
  </si>
  <si>
    <t>Brian Gionta, BUF</t>
  </si>
  <si>
    <t>Emerson Etem, VAN</t>
  </si>
  <si>
    <t>Mikko Rantanen, COL</t>
  </si>
  <si>
    <t>Stanislav Galiev, WAS</t>
  </si>
  <si>
    <t>Joel Armia, WPG</t>
  </si>
  <si>
    <t>David Clarkson, CLB</t>
  </si>
  <si>
    <t>Alex Chiasson, CGY</t>
  </si>
  <si>
    <t>Chris Thorburn, WPG</t>
  </si>
  <si>
    <t>Beau Bennett, NJ</t>
  </si>
  <si>
    <t>Jamie Benn, DAL</t>
  </si>
  <si>
    <t>Alex Ovechkin, WAS</t>
  </si>
  <si>
    <t>Artemi Panarin, CHI</t>
  </si>
  <si>
    <t>Brad Marchand, BOS</t>
  </si>
  <si>
    <t>Max Pacioretty, MON</t>
  </si>
  <si>
    <t>Johnny Gaudreau, CGY</t>
  </si>
  <si>
    <t>Filip Forsberg, NSH</t>
  </si>
  <si>
    <t>Patrick Sharp, DAL</t>
  </si>
  <si>
    <t>Mike Hoffman, OTT</t>
  </si>
  <si>
    <t>Daniel Sedin, VAN</t>
  </si>
  <si>
    <t>Alexander Steen, STL</t>
  </si>
  <si>
    <t>Mikkel Boedker, SJ</t>
  </si>
  <si>
    <t>Michael Cammalleri, NJ</t>
  </si>
  <si>
    <t>Jonathan Drouin, TB</t>
  </si>
  <si>
    <t>Rick Nash, NYR</t>
  </si>
  <si>
    <t>Taylor Hall, NJ</t>
  </si>
  <si>
    <t>Carl Hagelin, PIT</t>
  </si>
  <si>
    <t>Zach Parise, MIN</t>
  </si>
  <si>
    <t>Ondrej Palat, TB</t>
  </si>
  <si>
    <t>Chris Kunitz, PIT</t>
  </si>
  <si>
    <t>Gabriel Landeskog, COL</t>
  </si>
  <si>
    <t>Marcus Johansson, WAS</t>
  </si>
  <si>
    <t>Andrew Ladd, NYI</t>
  </si>
  <si>
    <t>Patrick Marleau, SJ</t>
  </si>
  <si>
    <t>Chris Kreider, NYR</t>
  </si>
  <si>
    <t>Alex Killorn, TB</t>
  </si>
  <si>
    <t>James van Riemsdyk, TOR</t>
  </si>
  <si>
    <t>Tomas Hertl, SJ</t>
  </si>
  <si>
    <t>Daniel Carr, MON</t>
  </si>
  <si>
    <t>Brandon Saad, CLB</t>
  </si>
  <si>
    <t>Jonathan Huberdeau, FLA</t>
  </si>
  <si>
    <t>Boone Jenner, CLB</t>
  </si>
  <si>
    <t>Jeff Skinner, CAR</t>
  </si>
  <si>
    <t>Henrik Zetterberg, DET</t>
  </si>
  <si>
    <t>Matt Beleskey, BOS</t>
  </si>
  <si>
    <t>Curtis McKenzie, DAL</t>
  </si>
  <si>
    <t>Scott Hartnell, CLB</t>
  </si>
  <si>
    <t>Justin Abdelkader, DET</t>
  </si>
  <si>
    <t>Jussi Jokinen, FLA</t>
  </si>
  <si>
    <t>Evander Kane, BUF</t>
  </si>
  <si>
    <t>Tomas Tatar, DET</t>
  </si>
  <si>
    <t>Benoit Pouliot, EDM</t>
  </si>
  <si>
    <t>Jimmy Vesey, NYR</t>
  </si>
  <si>
    <t>Jaden Schwartz, STL</t>
  </si>
  <si>
    <t>Leo Komarov, TOR</t>
  </si>
  <si>
    <t>Antoine Roussel, DAL</t>
  </si>
  <si>
    <t>David Perron, STL</t>
  </si>
  <si>
    <t>Michael Frolik, CGY</t>
  </si>
  <si>
    <t>Anders Lee, NYI</t>
  </si>
  <si>
    <t>Kevin Fiala, NSH</t>
  </si>
  <si>
    <t>Colin Wilson, NSH</t>
  </si>
  <si>
    <t>Andre Burakovsky, WAS</t>
  </si>
  <si>
    <t>Nikolaj Ehlers, WPG</t>
  </si>
  <si>
    <t>Tanner Pearson, LA</t>
  </si>
  <si>
    <t>Daniel Winnik, WAS</t>
  </si>
  <si>
    <t>Thomas Vanek, DET</t>
  </si>
  <si>
    <t>Sam Bennett, CGY</t>
  </si>
  <si>
    <t>Nick Foligno, CLB</t>
  </si>
  <si>
    <t>Andrew Cogliano, ANA</t>
  </si>
  <si>
    <t>Anthony Duclair, ARI</t>
  </si>
  <si>
    <t>Conor Sheary, PIT</t>
  </si>
  <si>
    <t>Blake Comeau, COL</t>
  </si>
  <si>
    <t>Matthew Tkachuk, CGY</t>
  </si>
  <si>
    <t>Clarke MacArthur, OTT</t>
  </si>
  <si>
    <t>Valeri Nichushkin, DAL</t>
  </si>
  <si>
    <t>Milan Lucic, EDM</t>
  </si>
  <si>
    <t>Reid Boucher, NJ</t>
  </si>
  <si>
    <t>Viktor Arvidsson, NSH</t>
  </si>
  <si>
    <t>Jason Chimera, NYI</t>
  </si>
  <si>
    <t>Michael Raffl, PHI</t>
  </si>
  <si>
    <t>Shane Prince, NYI</t>
  </si>
  <si>
    <t>Sven Baertschi, VAN</t>
  </si>
  <si>
    <t>Josh Bailey, NYI</t>
  </si>
  <si>
    <t>Joffrey Lupul, TOR</t>
  </si>
  <si>
    <t>Jamie McGinn, ARI</t>
  </si>
  <si>
    <t>Christian Dvorak, ARI</t>
  </si>
  <si>
    <t>Mason Raymond, ANA</t>
  </si>
  <si>
    <t>Matt Nieto, SJ</t>
  </si>
  <si>
    <t>Dwight King, LA</t>
  </si>
  <si>
    <t>Matt Calvert, CLB</t>
  </si>
  <si>
    <t>Jason Zucker, MIN</t>
  </si>
  <si>
    <t>Cody McLeod, COL</t>
  </si>
  <si>
    <t>Nick Ritchie, ANA</t>
  </si>
  <si>
    <t>Scottie Upshall, STL</t>
  </si>
  <si>
    <t>Milan Michalek, TOR</t>
  </si>
  <si>
    <t>Kyle Clifford, LA</t>
  </si>
  <si>
    <t>Brandon Bollig, CGY</t>
  </si>
  <si>
    <t>Patrick Maroon, EDM</t>
  </si>
  <si>
    <t>Phil Di Giuseppe, CAR</t>
  </si>
  <si>
    <t>Micheal Ferland, CGY</t>
  </si>
  <si>
    <t>Pierre-Edouard Bellemare, PHI</t>
  </si>
  <si>
    <t>Marcus Foligno, BUF</t>
  </si>
  <si>
    <t>Jordan Martinook, ARI</t>
  </si>
  <si>
    <t>Lance Bouma, CGY</t>
  </si>
  <si>
    <t>Matt Martin, TOR</t>
  </si>
  <si>
    <t>Adam Lowry, WPG</t>
  </si>
  <si>
    <t>Matt Hendricks, EDM</t>
  </si>
  <si>
    <t>Nick Paul, OTT</t>
  </si>
  <si>
    <t>Johan Larsson, BUF</t>
  </si>
  <si>
    <t>Viktor Stalberg, CAR</t>
  </si>
  <si>
    <t>Matt Moulson, BUF</t>
  </si>
  <si>
    <t>Shawn Thornton, FLA</t>
  </si>
  <si>
    <t>Nicolas Deslauriers, BUF</t>
  </si>
  <si>
    <t>Bryan Bickell, CAR</t>
  </si>
  <si>
    <t>Brent Burns, SJ</t>
  </si>
  <si>
    <t>Kris Letang, PIT</t>
  </si>
  <si>
    <t>Erik Karlsson, OTT</t>
  </si>
  <si>
    <t>P.K. Subban, NSH</t>
  </si>
  <si>
    <t>John Carlson, WAS</t>
  </si>
  <si>
    <t>Roman Josi, NSH</t>
  </si>
  <si>
    <t>Duncan Keith, CHI</t>
  </si>
  <si>
    <t>John Klingberg, DAL</t>
  </si>
  <si>
    <t>Dustin Byfuglien, WPG</t>
  </si>
  <si>
    <t>Victor Hedman, TB</t>
  </si>
  <si>
    <t>Shea Weber, MON</t>
  </si>
  <si>
    <t>Brent Seabrook, CHI</t>
  </si>
  <si>
    <t>Oliver Ekman-Larsson, ARI</t>
  </si>
  <si>
    <t>Shayne Gostisbehere, PHI</t>
  </si>
  <si>
    <t>Drew Doughty, LA</t>
  </si>
  <si>
    <t>Mark Giordano, CGY</t>
  </si>
  <si>
    <t>Torey Krug, BOS</t>
  </si>
  <si>
    <t>Kevin Shattenkirk, STL</t>
  </si>
  <si>
    <t>Dion Phaneuf, OTT</t>
  </si>
  <si>
    <t>Marc-Edouard Vlasic, SJ</t>
  </si>
  <si>
    <t>Jake Muzzin, LA</t>
  </si>
  <si>
    <t>Zdeno Chara, BOS</t>
  </si>
  <si>
    <t>Tyson Barrie, COL</t>
  </si>
  <si>
    <t>Anton Stralman, TB</t>
  </si>
  <si>
    <t>Justin Faulk, CAR</t>
  </si>
  <si>
    <t>Andrei Markov, MON</t>
  </si>
  <si>
    <t>Ryan McDonagh, NYR</t>
  </si>
  <si>
    <t>Alex Pietrangelo, STL</t>
  </si>
  <si>
    <t>Mattias Ekholm, NSH</t>
  </si>
  <si>
    <t>Cam Fowler, ANA</t>
  </si>
  <si>
    <t>Dougie Hamilton, CGY</t>
  </si>
  <si>
    <t>Ryan Ellis, NSH</t>
  </si>
  <si>
    <t>Dan Hamhuis, DAL</t>
  </si>
  <si>
    <t>David Schlemko, SJ</t>
  </si>
  <si>
    <t>Trevor Daley, PIT</t>
  </si>
  <si>
    <t>Ryan Suter, MIN</t>
  </si>
  <si>
    <t>Hampus Lindholm, ANA</t>
  </si>
  <si>
    <t>Matt Niskanen, WAS</t>
  </si>
  <si>
    <t>Olli Maatta, PIT</t>
  </si>
  <si>
    <t>Mike Green, DET</t>
  </si>
  <si>
    <t>Colton Parayko, STL</t>
  </si>
  <si>
    <t>Brian Campbell, CHI</t>
  </si>
  <si>
    <t>Keith Yandle, FLA</t>
  </si>
  <si>
    <t>Alec Martinez, LA</t>
  </si>
  <si>
    <t>Nick Leddy, NYI</t>
  </si>
  <si>
    <t>T.J. Brodie, CGY</t>
  </si>
  <si>
    <t>John-Michael Liles, BOS</t>
  </si>
  <si>
    <t>Tyler Myers, WPG</t>
  </si>
  <si>
    <t>Mark Streit, PHI</t>
  </si>
  <si>
    <t>Erik Johnson, COL</t>
  </si>
  <si>
    <t>Kevin Bieksa, ANA</t>
  </si>
  <si>
    <t>Johnny Boychuk, NYI</t>
  </si>
  <si>
    <t>Francois Beauchemin, COL</t>
  </si>
  <si>
    <t>Ryan Pulock, NYI</t>
  </si>
  <si>
    <t>Yannick Weber, NSH</t>
  </si>
  <si>
    <t>Kevin Klein, NYR</t>
  </si>
  <si>
    <t>Morgan Rielly, TOR</t>
  </si>
  <si>
    <t>Aaron Ekblad, FLA</t>
  </si>
  <si>
    <t>Michael Stone, ARI</t>
  </si>
  <si>
    <t>Niklas Hjalmarsson, CHI</t>
  </si>
  <si>
    <t>Cody Ceci, OTT</t>
  </si>
  <si>
    <t>Nick Holden, NYR</t>
  </si>
  <si>
    <t>David Warsofsky, PIT</t>
  </si>
  <si>
    <t>Derrick Pouliot, PIT</t>
  </si>
  <si>
    <t>Kevan Miller, BOS</t>
  </si>
  <si>
    <t>Brian Dumoulin, PIT</t>
  </si>
  <si>
    <t>Niklas Kronwall, DET</t>
  </si>
  <si>
    <t>Jake Gardiner, TOR</t>
  </si>
  <si>
    <t>David Savard, CLB</t>
  </si>
  <si>
    <t>Rasmus Ristolainen, BUF</t>
  </si>
  <si>
    <t>Justin Braun, SJ</t>
  </si>
  <si>
    <t>Brooks Orpik, WAS</t>
  </si>
  <si>
    <t>Jason Demers, FLA</t>
  </si>
  <si>
    <t>Johnny Oduya, DAL</t>
  </si>
  <si>
    <t>Jared Spurgeon, MIN</t>
  </si>
  <si>
    <t>Ian Cole, PIT</t>
  </si>
  <si>
    <t>Jason Garrison, TB</t>
  </si>
  <si>
    <t>Travis Hamonic, NYI</t>
  </si>
  <si>
    <t>Michal Rozsival, CHI</t>
  </si>
  <si>
    <t>Andrej Sustr, TB</t>
  </si>
  <si>
    <t>Jacob Trouba, WPG</t>
  </si>
  <si>
    <t>Radko Gudas, PHI</t>
  </si>
  <si>
    <t>Jay Bouwmeester, STL</t>
  </si>
  <si>
    <t>Chris Wideman, OTT</t>
  </si>
  <si>
    <t>Seth Jones, CLB</t>
  </si>
  <si>
    <t>Andrej Sekera, EDM</t>
  </si>
  <si>
    <t>Thomas Hickey, NYI</t>
  </si>
  <si>
    <t>Matt Dumba, MIN</t>
  </si>
  <si>
    <t>Trevor van Riemsdyk, CHI</t>
  </si>
  <si>
    <t>Zach Trotman, LA</t>
  </si>
  <si>
    <t>Jordie Benn, DAL</t>
  </si>
  <si>
    <t>Ben Hutton, VAN</t>
  </si>
  <si>
    <t>Brendan Smith, DET</t>
  </si>
  <si>
    <t>Adam McQuaid, BOS</t>
  </si>
  <si>
    <t>Marc Methot, OTT</t>
  </si>
  <si>
    <t>Brayden McNabb, LA</t>
  </si>
  <si>
    <t>Alex Petrovic, FLA</t>
  </si>
  <si>
    <t>Danny DeKeyser, DET</t>
  </si>
  <si>
    <t>Braydon Coburn, TB</t>
  </si>
  <si>
    <t>Dan Girardi, NYR</t>
  </si>
  <si>
    <t>Andrew MacDonald, PHI</t>
  </si>
  <si>
    <t>Paul Martin, SJ</t>
  </si>
  <si>
    <t>Brandon Manning, PHI</t>
  </si>
  <si>
    <t>Ryan Murray, CLB</t>
  </si>
  <si>
    <t>Alexei Emelin, MON</t>
  </si>
  <si>
    <t>Marc Staal, NYR</t>
  </si>
  <si>
    <t>Marco Scandella, MIN</t>
  </si>
  <si>
    <t>Brenden Dillon, SJ</t>
  </si>
  <si>
    <t>Deryk Engelland, CGY</t>
  </si>
  <si>
    <t>Joe Morrow, BOS</t>
  </si>
  <si>
    <t>Stephen Johns, DAL</t>
  </si>
  <si>
    <t>Calvin de Haan, NYI</t>
  </si>
  <si>
    <t>Alex Goligoski, ARI</t>
  </si>
  <si>
    <t>Anthony Bitetto, NSH</t>
  </si>
  <si>
    <t>Rob Scuderi, LA</t>
  </si>
  <si>
    <t>Jonathan Ericsson, DET</t>
  </si>
  <si>
    <t>Carl Gunnarsson, STL</t>
  </si>
  <si>
    <t>Toby Enstrom, WPG</t>
  </si>
  <si>
    <t>Dylan DeMelo, SJ</t>
  </si>
  <si>
    <t>Mark Pysyk, FLA</t>
  </si>
  <si>
    <t>Taylor Chorney, WAS</t>
  </si>
  <si>
    <t>Noah Hanifin, CAR</t>
  </si>
  <si>
    <t>Jakub Kindl, FLA</t>
  </si>
  <si>
    <t>John Moore, NJ</t>
  </si>
  <si>
    <t>Dalton Prout, CLB</t>
  </si>
  <si>
    <t>Frank Corrado, TOR</t>
  </si>
  <si>
    <t>Connor Murphy, ARI</t>
  </si>
  <si>
    <t>Adam Larsson, EDM</t>
  </si>
  <si>
    <t>Chris Tanev, VAN</t>
  </si>
  <si>
    <t>Simon Despres, ANA</t>
  </si>
  <si>
    <t>Ron Hainsey, CAR</t>
  </si>
  <si>
    <t>Jaccob Slavin, CAR</t>
  </si>
  <si>
    <t>Chris Bigras, COL</t>
  </si>
  <si>
    <t>Nick Schultz, PHI</t>
  </si>
  <si>
    <t>Matt Hunwick, TOR</t>
  </si>
  <si>
    <t>Alex Biega, VAN</t>
  </si>
  <si>
    <t>Brett Pesce, CAR</t>
  </si>
  <si>
    <t>Andy Greene, NJ</t>
  </si>
  <si>
    <t>Ben Chiarot, WPG</t>
  </si>
  <si>
    <t>Alexei Marchenko, DET</t>
  </si>
  <si>
    <t>Nikita Zadorov, COL</t>
  </si>
  <si>
    <t>Steven Kampfer, FLA</t>
  </si>
  <si>
    <t>Martin Marincin, TOR</t>
  </si>
  <si>
    <t>Petter Granberg, NSH</t>
  </si>
  <si>
    <t>Roman Polak, TOR</t>
  </si>
  <si>
    <t>Paul Postma, WPG</t>
  </si>
  <si>
    <t>Zbynek Michalek, ARI</t>
  </si>
  <si>
    <t>Jonas Brodin, MIN</t>
  </si>
  <si>
    <t>Jake McCabe, BUF</t>
  </si>
  <si>
    <t>Jyrki Jokipakka, CGY</t>
  </si>
  <si>
    <t>Mark Stuart, WPG</t>
  </si>
  <si>
    <t>Josh Gorges, BUF</t>
  </si>
  <si>
    <t>Ben Lovejoy, NJ</t>
  </si>
  <si>
    <t>Dmitry Kulikov, BUF</t>
  </si>
  <si>
    <t>Mark Fayne, EDM</t>
  </si>
  <si>
    <t>Erik Gudbranson, VAN</t>
  </si>
  <si>
    <t> NYI</t>
  </si>
  <si>
    <t> CHI</t>
  </si>
  <si>
    <t>Antoine</t>
  </si>
  <si>
    <t>Vermette</t>
  </si>
  <si>
    <t> TOR</t>
  </si>
  <si>
    <t>Bonino</t>
  </si>
  <si>
    <t>Zack</t>
  </si>
  <si>
    <t>Mathieu</t>
  </si>
  <si>
    <t>Perreault</t>
  </si>
  <si>
    <t>Pirri</t>
  </si>
  <si>
    <t>Jean-Gabriel</t>
  </si>
  <si>
    <t>Pageau</t>
  </si>
  <si>
    <t> CAR</t>
  </si>
  <si>
    <t>William</t>
  </si>
  <si>
    <t>Nylander</t>
  </si>
  <si>
    <t>Cody</t>
  </si>
  <si>
    <t>Eakin</t>
  </si>
  <si>
    <t>Riley</t>
  </si>
  <si>
    <t>Lars</t>
  </si>
  <si>
    <t>Eller</t>
  </si>
  <si>
    <t>Seth</t>
  </si>
  <si>
    <t>Griffith</t>
  </si>
  <si>
    <t>Bozak</t>
  </si>
  <si>
    <t>Cullen</t>
  </si>
  <si>
    <t>Valtteri</t>
  </si>
  <si>
    <t>Filppula</t>
  </si>
  <si>
    <t>Mattias</t>
  </si>
  <si>
    <t>Janmark</t>
  </si>
  <si>
    <t>Namestnikov</t>
  </si>
  <si>
    <t>Nugent-Hopkins</t>
  </si>
  <si>
    <t>Frank</t>
  </si>
  <si>
    <t>Vatrano</t>
  </si>
  <si>
    <t>Ennis</t>
  </si>
  <si>
    <t>Brian</t>
  </si>
  <si>
    <t>Boyle</t>
  </si>
  <si>
    <t>Jori</t>
  </si>
  <si>
    <t>Lehtera</t>
  </si>
  <si>
    <t>Radek</t>
  </si>
  <si>
    <t>Faksa</t>
  </si>
  <si>
    <t>Berglund</t>
  </si>
  <si>
    <t>Fisher</t>
  </si>
  <si>
    <t>Linden</t>
  </si>
  <si>
    <t>Vey</t>
  </si>
  <si>
    <t>Desharnais</t>
  </si>
  <si>
    <t>Jay</t>
  </si>
  <si>
    <t>Beagle</t>
  </si>
  <si>
    <t>Calle</t>
  </si>
  <si>
    <t>Jarnkrok</t>
  </si>
  <si>
    <t>Wagner</t>
  </si>
  <si>
    <t>Darren</t>
  </si>
  <si>
    <t>Helm</t>
  </si>
  <si>
    <t>Sutter</t>
  </si>
  <si>
    <t>Kelly</t>
  </si>
  <si>
    <t>Melker</t>
  </si>
  <si>
    <t>Byron</t>
  </si>
  <si>
    <t>Jared</t>
  </si>
  <si>
    <t>McCann</t>
  </si>
  <si>
    <t>Shawn</t>
  </si>
  <si>
    <t>Matthias</t>
  </si>
  <si>
    <t>Mitchell</t>
  </si>
  <si>
    <t>Marner</t>
  </si>
  <si>
    <t>Joseph</t>
  </si>
  <si>
    <t>Blandisi</t>
  </si>
  <si>
    <t>Haula</t>
  </si>
  <si>
    <t>Marchessault</t>
  </si>
  <si>
    <t>Graovac</t>
  </si>
  <si>
    <t>Trevor</t>
  </si>
  <si>
    <t>Lewis</t>
  </si>
  <si>
    <t>Sheahan</t>
  </si>
  <si>
    <t>Laughton</t>
  </si>
  <si>
    <t>Tierney</t>
  </si>
  <si>
    <t>Mikhail</t>
  </si>
  <si>
    <t>Grigorenko</t>
  </si>
  <si>
    <t>Richardson</t>
  </si>
  <si>
    <t>Dennis</t>
  </si>
  <si>
    <t>Rasmussen</t>
  </si>
  <si>
    <t>Cedric</t>
  </si>
  <si>
    <t>Paquette</t>
  </si>
  <si>
    <t>Desjardins</t>
  </si>
  <si>
    <t>Colton</t>
  </si>
  <si>
    <t>Sissons</t>
  </si>
  <si>
    <t>Gagner</t>
  </si>
  <si>
    <t>Luke</t>
  </si>
  <si>
    <t>Glendening</t>
  </si>
  <si>
    <t>Andy</t>
  </si>
  <si>
    <t>Andreoff</t>
  </si>
  <si>
    <t>Kruger</t>
  </si>
  <si>
    <t>Joakim</t>
  </si>
  <si>
    <t>Nordstrom</t>
  </si>
  <si>
    <t>Phillip</t>
  </si>
  <si>
    <t>Danault</t>
  </si>
  <si>
    <t>Laurent</t>
  </si>
  <si>
    <t>Dauphin</t>
  </si>
  <si>
    <t>Letestu</t>
  </si>
  <si>
    <t>Stephen</t>
  </si>
  <si>
    <t>Gionta</t>
  </si>
  <si>
    <t>Shore</t>
  </si>
  <si>
    <t>Flynn</t>
  </si>
  <si>
    <t>Marko</t>
  </si>
  <si>
    <t>Dano</t>
  </si>
  <si>
    <t>Brodziak</t>
  </si>
  <si>
    <t>Jacob</t>
  </si>
  <si>
    <t>Josefson</t>
  </si>
  <si>
    <t>VandeVelde</t>
  </si>
  <si>
    <t>Sergey</t>
  </si>
  <si>
    <t>Kalinin</t>
  </si>
  <si>
    <t>Markus</t>
  </si>
  <si>
    <t>MacKenzie</t>
  </si>
  <si>
    <t>Steve</t>
  </si>
  <si>
    <t>Ott</t>
  </si>
  <si>
    <t>Boyd</t>
  </si>
  <si>
    <t>Gordon</t>
  </si>
  <si>
    <t>Zemgus</t>
  </si>
  <si>
    <t>Girgensons</t>
  </si>
  <si>
    <t>Dave</t>
  </si>
  <si>
    <t>Bolland</t>
  </si>
  <si>
    <t>McClement</t>
  </si>
  <si>
    <t>Brooks</t>
  </si>
  <si>
    <t>Laich</t>
  </si>
  <si>
    <t>Marian</t>
  </si>
  <si>
    <t>Hossa</t>
  </si>
  <si>
    <t>P.A.</t>
  </si>
  <si>
    <t>Backes</t>
  </si>
  <si>
    <t>Schmaltz</t>
  </si>
  <si>
    <t>Shane</t>
  </si>
  <si>
    <t>Doan</t>
  </si>
  <si>
    <t>Hartman</t>
  </si>
  <si>
    <t>Pastrnak</t>
  </si>
  <si>
    <t>Joel</t>
  </si>
  <si>
    <t>Ward</t>
  </si>
  <si>
    <t>Ales</t>
  </si>
  <si>
    <t>Hemsky</t>
  </si>
  <si>
    <t>Shaw</t>
  </si>
  <si>
    <t>Craig</t>
  </si>
  <si>
    <t>Jannik</t>
  </si>
  <si>
    <t>Hansen</t>
  </si>
  <si>
    <t>Lee</t>
  </si>
  <si>
    <t>Stempniak</t>
  </si>
  <si>
    <t>Gaborik</t>
  </si>
  <si>
    <t>Rust</t>
  </si>
  <si>
    <t>Jimmy</t>
  </si>
  <si>
    <t>Stafford</t>
  </si>
  <si>
    <t>Joonas</t>
  </si>
  <si>
    <t>Donskoi</t>
  </si>
  <si>
    <t>Troy</t>
  </si>
  <si>
    <t>Brouwer</t>
  </si>
  <si>
    <t>Soshnikov</t>
  </si>
  <si>
    <t>Tom</t>
  </si>
  <si>
    <t>Wilson</t>
  </si>
  <si>
    <t>Radim</t>
  </si>
  <si>
    <t>Vrbata</t>
  </si>
  <si>
    <t>Jordin</t>
  </si>
  <si>
    <t>Tootoo</t>
  </si>
  <si>
    <t>Brown</t>
  </si>
  <si>
    <t>Richard</t>
  </si>
  <si>
    <t>Panik</t>
  </si>
  <si>
    <t>Fehr</t>
  </si>
  <si>
    <t>Kuhnhackl</t>
  </si>
  <si>
    <t>Bjorkstrand</t>
  </si>
  <si>
    <t>Elias</t>
  </si>
  <si>
    <t>Lindholm</t>
  </si>
  <si>
    <t>Dale</t>
  </si>
  <si>
    <t>Weise</t>
  </si>
  <si>
    <t>Grabner</t>
  </si>
  <si>
    <t>Torrey</t>
  </si>
  <si>
    <t>Randell</t>
  </si>
  <si>
    <t>Jesper</t>
  </si>
  <si>
    <t>Fast</t>
  </si>
  <si>
    <t>Boll</t>
  </si>
  <si>
    <t>Read</t>
  </si>
  <si>
    <t>Tommy</t>
  </si>
  <si>
    <t>Wingels</t>
  </si>
  <si>
    <t>Mantha</t>
  </si>
  <si>
    <t>Dorsett</t>
  </si>
  <si>
    <t>Burrows</t>
  </si>
  <si>
    <t>Cal</t>
  </si>
  <si>
    <t>Clutterbuck</t>
  </si>
  <si>
    <t>Stewart</t>
  </si>
  <si>
    <t>Neil</t>
  </si>
  <si>
    <t>Curtis</t>
  </si>
  <si>
    <t>Lazar</t>
  </si>
  <si>
    <t>Jake</t>
  </si>
  <si>
    <t>Virtanen</t>
  </si>
  <si>
    <t>Nikolay</t>
  </si>
  <si>
    <t>Kulemin</t>
  </si>
  <si>
    <t>Nail</t>
  </si>
  <si>
    <t>Yakupov</t>
  </si>
  <si>
    <t>Condra</t>
  </si>
  <si>
    <t>Garbutt</t>
  </si>
  <si>
    <t>Dmitrij</t>
  </si>
  <si>
    <t>Jaskin</t>
  </si>
  <si>
    <t>Miikka</t>
  </si>
  <si>
    <t>Salomaki</t>
  </si>
  <si>
    <t>Kassian</t>
  </si>
  <si>
    <t>Sceviour</t>
  </si>
  <si>
    <t>Emerson</t>
  </si>
  <si>
    <t>Etem</t>
  </si>
  <si>
    <t>Rantanen</t>
  </si>
  <si>
    <t>Stanislav</t>
  </si>
  <si>
    <t>Galiev</t>
  </si>
  <si>
    <t>Armia</t>
  </si>
  <si>
    <t>Clarkson</t>
  </si>
  <si>
    <t>Chiasson</t>
  </si>
  <si>
    <t>Thorburn</t>
  </si>
  <si>
    <t>Beau</t>
  </si>
  <si>
    <t>Hagelin</t>
  </si>
  <si>
    <t>Kunitz</t>
  </si>
  <si>
    <t>Killorn</t>
  </si>
  <si>
    <t>van</t>
  </si>
  <si>
    <t>Carr</t>
  </si>
  <si>
    <t>Beleskey</t>
  </si>
  <si>
    <t>McKenzie</t>
  </si>
  <si>
    <t>Abdelkader</t>
  </si>
  <si>
    <t>Evander</t>
  </si>
  <si>
    <t>Benoit</t>
  </si>
  <si>
    <t>Pouliot</t>
  </si>
  <si>
    <t>Vesey</t>
  </si>
  <si>
    <t>Leo</t>
  </si>
  <si>
    <t>Komarov</t>
  </si>
  <si>
    <t>Roussel</t>
  </si>
  <si>
    <t>Frolik</t>
  </si>
  <si>
    <t>Anders</t>
  </si>
  <si>
    <t>Fiala</t>
  </si>
  <si>
    <t>Colin</t>
  </si>
  <si>
    <t>Andre</t>
  </si>
  <si>
    <t>Burakovsky</t>
  </si>
  <si>
    <t>Tanner</t>
  </si>
  <si>
    <t>Pearson</t>
  </si>
  <si>
    <t>Winnik</t>
  </si>
  <si>
    <t>Cogliano</t>
  </si>
  <si>
    <t>Conor</t>
  </si>
  <si>
    <t>Sheary</t>
  </si>
  <si>
    <t>Comeau</t>
  </si>
  <si>
    <t>Matthew</t>
  </si>
  <si>
    <t>Tkachuk</t>
  </si>
  <si>
    <t>Clarke</t>
  </si>
  <si>
    <t>MacArthur</t>
  </si>
  <si>
    <t>Valeri</t>
  </si>
  <si>
    <t>Nichushkin</t>
  </si>
  <si>
    <t>Reid</t>
  </si>
  <si>
    <t>Boucher</t>
  </si>
  <si>
    <t>Viktor</t>
  </si>
  <si>
    <t>Arvidsson</t>
  </si>
  <si>
    <t>Chimera</t>
  </si>
  <si>
    <t>Raffl</t>
  </si>
  <si>
    <t>Prince</t>
  </si>
  <si>
    <t>Sven</t>
  </si>
  <si>
    <t>Baertschi</t>
  </si>
  <si>
    <t>Josh</t>
  </si>
  <si>
    <t>Bailey</t>
  </si>
  <si>
    <t>Joffrey</t>
  </si>
  <si>
    <t>Lupul</t>
  </si>
  <si>
    <t>McGinn</t>
  </si>
  <si>
    <t>Christian</t>
  </si>
  <si>
    <t>Dvorak</t>
  </si>
  <si>
    <t>Mason</t>
  </si>
  <si>
    <t>Raymond</t>
  </si>
  <si>
    <t>Nieto</t>
  </si>
  <si>
    <t>Dwight</t>
  </si>
  <si>
    <t>King</t>
  </si>
  <si>
    <t>Calvert</t>
  </si>
  <si>
    <t>Zucker</t>
  </si>
  <si>
    <t>McLeod</t>
  </si>
  <si>
    <t>Ritchie</t>
  </si>
  <si>
    <t>Scottie</t>
  </si>
  <si>
    <t>Upshall</t>
  </si>
  <si>
    <t>Michalek</t>
  </si>
  <si>
    <t>Clifford</t>
  </si>
  <si>
    <t>Bollig</t>
  </si>
  <si>
    <t>Maroon</t>
  </si>
  <si>
    <t>Di</t>
  </si>
  <si>
    <t>Micheal</t>
  </si>
  <si>
    <t>Ferland</t>
  </si>
  <si>
    <t>Pierre-Edouard</t>
  </si>
  <si>
    <t>Bellemare</t>
  </si>
  <si>
    <t>Martinook</t>
  </si>
  <si>
    <t>Lance</t>
  </si>
  <si>
    <t>Bouma</t>
  </si>
  <si>
    <t>Lowry</t>
  </si>
  <si>
    <t>Hendricks</t>
  </si>
  <si>
    <t>Johan</t>
  </si>
  <si>
    <t>Larsson</t>
  </si>
  <si>
    <t>Stalberg</t>
  </si>
  <si>
    <t>Moulson</t>
  </si>
  <si>
    <t>Nicolas</t>
  </si>
  <si>
    <t>Deslauriers</t>
  </si>
  <si>
    <t>Bickell</t>
  </si>
  <si>
    <t>Kris</t>
  </si>
  <si>
    <t>Seabrook</t>
  </si>
  <si>
    <t>Ekman-Larsson</t>
  </si>
  <si>
    <t>Gostisbehere</t>
  </si>
  <si>
    <t>Torey</t>
  </si>
  <si>
    <t>Krug</t>
  </si>
  <si>
    <t>Dion</t>
  </si>
  <si>
    <t>Phaneuf</t>
  </si>
  <si>
    <t>Marc-Edouard</t>
  </si>
  <si>
    <t>Vlasic</t>
  </si>
  <si>
    <t>Muzzin</t>
  </si>
  <si>
    <t>Zdeno</t>
  </si>
  <si>
    <t>Chara</t>
  </si>
  <si>
    <t>Anton</t>
  </si>
  <si>
    <t>Stralman</t>
  </si>
  <si>
    <t>Andrei</t>
  </si>
  <si>
    <t>Markov</t>
  </si>
  <si>
    <t>McDonagh</t>
  </si>
  <si>
    <t>Ekholm</t>
  </si>
  <si>
    <t>Fowler</t>
  </si>
  <si>
    <t>Dougie</t>
  </si>
  <si>
    <t>Hamilton</t>
  </si>
  <si>
    <t>Ellis</t>
  </si>
  <si>
    <t>Dan</t>
  </si>
  <si>
    <t>Hamhuis</t>
  </si>
  <si>
    <t>Schlemko</t>
  </si>
  <si>
    <t>Daley</t>
  </si>
  <si>
    <t>Hampus</t>
  </si>
  <si>
    <t>Niskanen</t>
  </si>
  <si>
    <t>Olli</t>
  </si>
  <si>
    <t>Maatta</t>
  </si>
  <si>
    <t>Green</t>
  </si>
  <si>
    <t>Parayko</t>
  </si>
  <si>
    <t>Campbell</t>
  </si>
  <si>
    <t>Yandle</t>
  </si>
  <si>
    <t>Alec</t>
  </si>
  <si>
    <t>Martinez</t>
  </si>
  <si>
    <t>Leddy</t>
  </si>
  <si>
    <t>Brodie</t>
  </si>
  <si>
    <t>John-Michael</t>
  </si>
  <si>
    <t>Liles</t>
  </si>
  <si>
    <t>Myers</t>
  </si>
  <si>
    <t>Streit</t>
  </si>
  <si>
    <t>Bieksa</t>
  </si>
  <si>
    <t>Boychuk</t>
  </si>
  <si>
    <t>Francois</t>
  </si>
  <si>
    <t>Beauchemin</t>
  </si>
  <si>
    <t>Pulock</t>
  </si>
  <si>
    <t>Yannick</t>
  </si>
  <si>
    <t>Klein</t>
  </si>
  <si>
    <t>Morgan</t>
  </si>
  <si>
    <t>Rielly</t>
  </si>
  <si>
    <t>Niklas</t>
  </si>
  <si>
    <t>Hjalmarsson</t>
  </si>
  <si>
    <t>Ceci</t>
  </si>
  <si>
    <t>Holden</t>
  </si>
  <si>
    <t>Warsofsky</t>
  </si>
  <si>
    <t>Derrick</t>
  </si>
  <si>
    <t>Kevan</t>
  </si>
  <si>
    <t>Dumoulin</t>
  </si>
  <si>
    <t>Kronwall</t>
  </si>
  <si>
    <t>Gardiner</t>
  </si>
  <si>
    <t>Savard</t>
  </si>
  <si>
    <t>Braun</t>
  </si>
  <si>
    <t>Orpik</t>
  </si>
  <si>
    <t>Demers</t>
  </si>
  <si>
    <t>Oduya</t>
  </si>
  <si>
    <t>Spurgeon</t>
  </si>
  <si>
    <t>Ian</t>
  </si>
  <si>
    <t>Cole</t>
  </si>
  <si>
    <t>Garrison</t>
  </si>
  <si>
    <t>Hamonic</t>
  </si>
  <si>
    <t>Michal</t>
  </si>
  <si>
    <t>Rozsival</t>
  </si>
  <si>
    <t>Andrej</t>
  </si>
  <si>
    <t>Sustr</t>
  </si>
  <si>
    <t>Trouba</t>
  </si>
  <si>
    <t>Radko</t>
  </si>
  <si>
    <t>Gudas</t>
  </si>
  <si>
    <t>Bouwmeester</t>
  </si>
  <si>
    <t>Wideman</t>
  </si>
  <si>
    <t>Jones</t>
  </si>
  <si>
    <t>Sekera</t>
  </si>
  <si>
    <t>Hickey</t>
  </si>
  <si>
    <t>Dumba</t>
  </si>
  <si>
    <t>Trotman</t>
  </si>
  <si>
    <t>Jordie</t>
  </si>
  <si>
    <t>Ben</t>
  </si>
  <si>
    <t>Hutton</t>
  </si>
  <si>
    <t>McQuaid</t>
  </si>
  <si>
    <t>Marc</t>
  </si>
  <si>
    <t>Methot</t>
  </si>
  <si>
    <t>McNabb</t>
  </si>
  <si>
    <t>Petrovic</t>
  </si>
  <si>
    <t>Danny</t>
  </si>
  <si>
    <t>DeKeyser</t>
  </si>
  <si>
    <t>Braydon</t>
  </si>
  <si>
    <t>Coburn</t>
  </si>
  <si>
    <t>Girardi</t>
  </si>
  <si>
    <t>MacDonald</t>
  </si>
  <si>
    <t>Manning</t>
  </si>
  <si>
    <t>Murray</t>
  </si>
  <si>
    <t>Alexei</t>
  </si>
  <si>
    <t>Emelin</t>
  </si>
  <si>
    <t>Marco</t>
  </si>
  <si>
    <t>Scandella</t>
  </si>
  <si>
    <t>Brenden</t>
  </si>
  <si>
    <t>Dillon</t>
  </si>
  <si>
    <t>Deryk</t>
  </si>
  <si>
    <t>Engelland</t>
  </si>
  <si>
    <t>Morrow</t>
  </si>
  <si>
    <t>Johns</t>
  </si>
  <si>
    <t>Calvin</t>
  </si>
  <si>
    <t>de</t>
  </si>
  <si>
    <t>Goligoski</t>
  </si>
  <si>
    <t>Bitetto</t>
  </si>
  <si>
    <t>Rob</t>
  </si>
  <si>
    <t>Scuderi</t>
  </si>
  <si>
    <t>Ericsson</t>
  </si>
  <si>
    <t>Gunnarsson</t>
  </si>
  <si>
    <t>Toby</t>
  </si>
  <si>
    <t>Enstrom</t>
  </si>
  <si>
    <t>DeMelo</t>
  </si>
  <si>
    <t>Pysyk</t>
  </si>
  <si>
    <t>Chorney</t>
  </si>
  <si>
    <t>Noah</t>
  </si>
  <si>
    <t>Hanifin</t>
  </si>
  <si>
    <t>Kindl</t>
  </si>
  <si>
    <t>Moore</t>
  </si>
  <si>
    <t>Dalton</t>
  </si>
  <si>
    <t>Prout</t>
  </si>
  <si>
    <t>Corrado</t>
  </si>
  <si>
    <t>Murphy</t>
  </si>
  <si>
    <t>Tanev</t>
  </si>
  <si>
    <t>Simon</t>
  </si>
  <si>
    <t>Despres</t>
  </si>
  <si>
    <t>Ron</t>
  </si>
  <si>
    <t>Hainsey</t>
  </si>
  <si>
    <t>Jaccob</t>
  </si>
  <si>
    <t>Slavin</t>
  </si>
  <si>
    <t>Bigras</t>
  </si>
  <si>
    <t>Schultz</t>
  </si>
  <si>
    <t>Hunwick</t>
  </si>
  <si>
    <t>Biega</t>
  </si>
  <si>
    <t>Brett</t>
  </si>
  <si>
    <t>Pesce</t>
  </si>
  <si>
    <t>Greene</t>
  </si>
  <si>
    <t>Chiarot</t>
  </si>
  <si>
    <t>Marchenko</t>
  </si>
  <si>
    <t>Zadorov</t>
  </si>
  <si>
    <t>Kampfer</t>
  </si>
  <si>
    <t>Marincin</t>
  </si>
  <si>
    <t>Petter</t>
  </si>
  <si>
    <t>Granberg</t>
  </si>
  <si>
    <t>Polak</t>
  </si>
  <si>
    <t>Postma</t>
  </si>
  <si>
    <t>Zbynek</t>
  </si>
  <si>
    <t>Jonas</t>
  </si>
  <si>
    <t>Brodin</t>
  </si>
  <si>
    <t>McCabe</t>
  </si>
  <si>
    <t>Jyrki</t>
  </si>
  <si>
    <t>Jokipakka</t>
  </si>
  <si>
    <t>Stuart</t>
  </si>
  <si>
    <t>Gorges</t>
  </si>
  <si>
    <t>Lovejoy</t>
  </si>
  <si>
    <t>Dmitry</t>
  </si>
  <si>
    <t>Kulikov</t>
  </si>
  <si>
    <t>Fayne</t>
  </si>
  <si>
    <t>Gudbranson</t>
  </si>
  <si>
    <t>CBS</t>
  </si>
  <si>
    <t>Rieder</t>
  </si>
  <si>
    <t>Sifverberg</t>
  </si>
  <si>
    <t>Tobias</t>
  </si>
  <si>
    <t>PoolPro</t>
  </si>
  <si>
    <t>Colonne2</t>
  </si>
  <si>
    <t>Colonne3</t>
  </si>
  <si>
    <t>TJ</t>
  </si>
  <si>
    <t>Mitch</t>
  </si>
  <si>
    <t>NHL Scoring Leaders</t>
  </si>
  <si>
    <t>Player</t>
  </si>
  <si>
    <t>Team</t>
  </si>
  <si>
    <t>Pos</t>
  </si>
  <si>
    <t>GP</t>
  </si>
  <si>
    <t>Goals</t>
  </si>
  <si>
    <t>Assists</t>
  </si>
  <si>
    <t>Points</t>
  </si>
  <si>
    <t>Points Per Game</t>
  </si>
  <si>
    <t>EDM</t>
  </si>
  <si>
    <t>C</t>
  </si>
  <si>
    <t>1.22</t>
  </si>
  <si>
    <t>PIT</t>
  </si>
  <si>
    <t>1.19</t>
  </si>
  <si>
    <t>CHI</t>
  </si>
  <si>
    <t>RW</t>
  </si>
  <si>
    <t>1.09</t>
  </si>
  <si>
    <t>WAS</t>
  </si>
  <si>
    <t>1.05</t>
  </si>
  <si>
    <t>BOS</t>
  </si>
  <si>
    <t>LW</t>
  </si>
  <si>
    <t>1.06</t>
  </si>
  <si>
    <t>TB</t>
  </si>
  <si>
    <t>1.15</t>
  </si>
  <si>
    <t>WPG</t>
  </si>
  <si>
    <t>1.04</t>
  </si>
  <si>
    <t>0.94</t>
  </si>
  <si>
    <t>SJ</t>
  </si>
  <si>
    <t>D</t>
  </si>
  <si>
    <t>0.93</t>
  </si>
  <si>
    <t>STL</t>
  </si>
  <si>
    <t>0.91</t>
  </si>
  <si>
    <t>0.90</t>
  </si>
  <si>
    <t>ANH</t>
  </si>
  <si>
    <t>0.99</t>
  </si>
  <si>
    <t>DAL</t>
  </si>
  <si>
    <t>0.88</t>
  </si>
  <si>
    <t>1.16</t>
  </si>
  <si>
    <t>OTT</t>
  </si>
  <si>
    <t>0.92</t>
  </si>
  <si>
    <t>0.85</t>
  </si>
  <si>
    <t>TOR</t>
  </si>
  <si>
    <t>0.84</t>
  </si>
  <si>
    <t>Mikael Granlund</t>
  </si>
  <si>
    <t>MIN</t>
  </si>
  <si>
    <t>DET</t>
  </si>
  <si>
    <t>0.83</t>
  </si>
  <si>
    <t>MON</t>
  </si>
  <si>
    <t>NYI</t>
  </si>
  <si>
    <t>0.86</t>
  </si>
  <si>
    <t>LA</t>
  </si>
  <si>
    <t>0.80</t>
  </si>
  <si>
    <t>0.79</t>
  </si>
  <si>
    <t>0.78</t>
  </si>
  <si>
    <t>CAR</t>
  </si>
  <si>
    <t>CLS</t>
  </si>
  <si>
    <t>0.76</t>
  </si>
  <si>
    <t>PHI</t>
  </si>
  <si>
    <t>0.74</t>
  </si>
  <si>
    <t>Viktor Arvidsson</t>
  </si>
  <si>
    <t>NSH</t>
  </si>
  <si>
    <t>CGY</t>
  </si>
  <si>
    <t>0.82</t>
  </si>
  <si>
    <t>Mitchell Marner</t>
  </si>
  <si>
    <t>0.75</t>
  </si>
  <si>
    <t>0.72</t>
  </si>
  <si>
    <t>NYR</t>
  </si>
  <si>
    <t>Alexander Wennberg</t>
  </si>
  <si>
    <t>0.81</t>
  </si>
  <si>
    <t>0.71</t>
  </si>
  <si>
    <t>0.73</t>
  </si>
  <si>
    <t>0.70</t>
  </si>
  <si>
    <t>BUF</t>
  </si>
  <si>
    <t>Charlie Coyle</t>
  </si>
  <si>
    <t>0.68</t>
  </si>
  <si>
    <t>Josh Bailey</t>
  </si>
  <si>
    <t>Radim Vrbata</t>
  </si>
  <si>
    <t>ARI</t>
  </si>
  <si>
    <t>Tyler Bozak</t>
  </si>
  <si>
    <t>0.66</t>
  </si>
  <si>
    <t>FLA</t>
  </si>
  <si>
    <t>NJ</t>
  </si>
  <si>
    <t>0.65</t>
  </si>
  <si>
    <t>COL</t>
  </si>
  <si>
    <t>Conor Sheary</t>
  </si>
  <si>
    <t>0.87</t>
  </si>
  <si>
    <t>0.67</t>
  </si>
  <si>
    <t>Bo Horvat</t>
  </si>
  <si>
    <t>VAN</t>
  </si>
  <si>
    <t>0.64</t>
  </si>
  <si>
    <t>0.69</t>
  </si>
  <si>
    <t>Jonathan Marchessault</t>
  </si>
  <si>
    <t>0.63</t>
  </si>
  <si>
    <t>0.62</t>
  </si>
  <si>
    <t>Patrick Eaves</t>
  </si>
  <si>
    <t>Justin Schultz</t>
  </si>
  <si>
    <t>Sam Gagner</t>
  </si>
  <si>
    <t>0.61</t>
  </si>
  <si>
    <t>Sebastian Aho</t>
  </si>
  <si>
    <t>0.60</t>
  </si>
  <si>
    <t>Kevin Hayes</t>
  </si>
  <si>
    <t>Matthew Tkachuk</t>
  </si>
  <si>
    <t>0.59</t>
  </si>
  <si>
    <t>Zach Werenski</t>
  </si>
  <si>
    <t>Jason Zucker</t>
  </si>
  <si>
    <t>0.56</t>
  </si>
  <si>
    <t>David Perron</t>
  </si>
  <si>
    <t>0.57</t>
  </si>
  <si>
    <t>Brock Nelson</t>
  </si>
  <si>
    <t>Mathieu Perreault</t>
  </si>
  <si>
    <t>0.55</t>
  </si>
  <si>
    <t>Elias Lindholm</t>
  </si>
  <si>
    <t>Artem Anisimov</t>
  </si>
  <si>
    <t>Travis Zajac</t>
  </si>
  <si>
    <t>Richard Panik</t>
  </si>
  <si>
    <t>0.54</t>
  </si>
  <si>
    <t>Michael Frolik</t>
  </si>
  <si>
    <t>Tanner Pearson</t>
  </si>
  <si>
    <t>Jake Gardiner</t>
  </si>
  <si>
    <t>0.52</t>
  </si>
  <si>
    <t>Paul Byron</t>
  </si>
  <si>
    <t>0.53</t>
  </si>
  <si>
    <t>Patrick Maroon</t>
  </si>
  <si>
    <t>Valtteri Filppula</t>
  </si>
  <si>
    <t>Teuvo Teravainen</t>
  </si>
  <si>
    <t>Mike Fisher</t>
  </si>
  <si>
    <t>0.58</t>
  </si>
  <si>
    <t>0.51</t>
  </si>
  <si>
    <t>0.50</t>
  </si>
  <si>
    <t>Lee Stempniak</t>
  </si>
  <si>
    <t>0.49</t>
  </si>
  <si>
    <t>Michael Grabner</t>
  </si>
  <si>
    <t>Phillip Danault</t>
  </si>
  <si>
    <t>Brayden Point</t>
  </si>
  <si>
    <t>Mikko Rantanen</t>
  </si>
  <si>
    <t>0.48</t>
  </si>
  <si>
    <t>Alec Martinez</t>
  </si>
  <si>
    <t>Cam Fowler</t>
  </si>
  <si>
    <t>Brady Skjei</t>
  </si>
  <si>
    <t>Jared Spurgeon</t>
  </si>
  <si>
    <t>Oscar Klefbom</t>
  </si>
  <si>
    <t>0.46</t>
  </si>
  <si>
    <t>Kris Versteeg</t>
  </si>
  <si>
    <t>0.47</t>
  </si>
  <si>
    <t>Nick Bonino</t>
  </si>
  <si>
    <t>0.44</t>
  </si>
  <si>
    <t>Connor Brown</t>
  </si>
  <si>
    <t>Dustin Brown</t>
  </si>
  <si>
    <t>0.45</t>
  </si>
  <si>
    <t>Nikita Zaitsev</t>
  </si>
  <si>
    <t>Anthony Mantha</t>
  </si>
  <si>
    <t>Andre Burakovsky</t>
  </si>
  <si>
    <t>Andrej Sekera</t>
  </si>
  <si>
    <t>0.43</t>
  </si>
  <si>
    <t>Sven Baertschi</t>
  </si>
  <si>
    <t>Colin Wilson</t>
  </si>
  <si>
    <t>Andrew Cogliano</t>
  </si>
  <si>
    <t>Brian Gionta</t>
  </si>
  <si>
    <t>Mark Letestu</t>
  </si>
  <si>
    <t>Matt Dumba</t>
  </si>
  <si>
    <t>0.41</t>
  </si>
  <si>
    <t>Brandon Sutter</t>
  </si>
  <si>
    <t>0.42</t>
  </si>
  <si>
    <t>Nick Holden</t>
  </si>
  <si>
    <t>Tobias Rieder</t>
  </si>
  <si>
    <t>Patrik Berglund</t>
  </si>
  <si>
    <t>Jaccob Slavin</t>
  </si>
  <si>
    <t>Jacob Trouba</t>
  </si>
  <si>
    <t>Jean-Gabriel Pageau</t>
  </si>
  <si>
    <t>0.40</t>
  </si>
  <si>
    <t>Radek Faksa</t>
  </si>
  <si>
    <t>Dmitry Orlov</t>
  </si>
  <si>
    <t>Christian Dvorak</t>
  </si>
  <si>
    <t>Devin Shore</t>
  </si>
  <si>
    <t>Jake Guentzel</t>
  </si>
  <si>
    <t>Jason Chimera</t>
  </si>
  <si>
    <t>Zack Smith</t>
  </si>
  <si>
    <t>Matt Moulson</t>
  </si>
  <si>
    <t>0.39</t>
  </si>
  <si>
    <t>Markus Granlund</t>
  </si>
  <si>
    <t>Ryan Dzingel</t>
  </si>
  <si>
    <t>Alexandre Burrows</t>
  </si>
  <si>
    <t>Matt Cullen</t>
  </si>
  <si>
    <t>Ryan Hartman</t>
  </si>
  <si>
    <t>Damon Severson</t>
  </si>
  <si>
    <t>Calle Jarnkrok</t>
  </si>
  <si>
    <t>0.38</t>
  </si>
  <si>
    <t>Ryan Strome</t>
  </si>
  <si>
    <t>Jay Beagle</t>
  </si>
  <si>
    <t>0.37</t>
  </si>
  <si>
    <t>Ivan Provorov</t>
  </si>
  <si>
    <t>Joel Ward</t>
  </si>
  <si>
    <t>Josh Anderson</t>
  </si>
  <si>
    <t>Chris Kunitz</t>
  </si>
  <si>
    <t>Derek Ryan</t>
  </si>
  <si>
    <t>Adam Lowry</t>
  </si>
  <si>
    <t>0.35</t>
  </si>
  <si>
    <t>Andreas Athanasiou</t>
  </si>
  <si>
    <t>Noah Hanifin</t>
  </si>
  <si>
    <t>0.36</t>
  </si>
  <si>
    <t>Artturi Lehkonen</t>
  </si>
  <si>
    <t>Jason Demers</t>
  </si>
  <si>
    <t>Antoine Vermette</t>
  </si>
  <si>
    <t>Bryan Rust</t>
  </si>
  <si>
    <t>Nick Schmaltz</t>
  </si>
  <si>
    <t>Travis Konecny</t>
  </si>
  <si>
    <t>Nathan Beaulieu</t>
  </si>
  <si>
    <t>0.34</t>
  </si>
  <si>
    <t>Vladislav Namestnikov</t>
  </si>
  <si>
    <t>Zach Hyman</t>
  </si>
  <si>
    <t>Nick Ritchie</t>
  </si>
  <si>
    <t>Jeff Petry</t>
  </si>
  <si>
    <t>Antoine Roussel</t>
  </si>
  <si>
    <t>Morgan Rielly</t>
  </si>
  <si>
    <t>Erik Haula</t>
  </si>
  <si>
    <t>Ian Cole</t>
  </si>
  <si>
    <t>0.32</t>
  </si>
  <si>
    <t>Paul Martin</t>
  </si>
  <si>
    <t>Scott Wilson</t>
  </si>
  <si>
    <t>0.33</t>
  </si>
  <si>
    <t>Dominic Moore</t>
  </si>
  <si>
    <t>0.30</t>
  </si>
  <si>
    <t>Micheal Ferland</t>
  </si>
  <si>
    <t>Daniel Winnik</t>
  </si>
  <si>
    <t>Lars Eller</t>
  </si>
  <si>
    <t>0.31</t>
  </si>
  <si>
    <t>Jonas Brodin</t>
  </si>
  <si>
    <t>Casey Cizikas</t>
  </si>
  <si>
    <t>Calvin de Haan</t>
  </si>
  <si>
    <t>Jordan Martinook</t>
  </si>
  <si>
    <t>William Karlsson</t>
  </si>
  <si>
    <t>Troy Brouwer</t>
  </si>
  <si>
    <t>Brian Boyle</t>
  </si>
  <si>
    <t>Brett Ritchie</t>
  </si>
  <si>
    <t>Alexander Ovechkin</t>
  </si>
  <si>
    <t>Final</t>
  </si>
  <si>
    <t>Différence</t>
  </si>
  <si>
    <t>Lepool.com2</t>
  </si>
  <si>
    <t>HM2</t>
  </si>
  <si>
    <t>Pool Pro2</t>
  </si>
  <si>
    <t>ESPN2</t>
  </si>
  <si>
    <t>CBS2</t>
  </si>
  <si>
    <t>Moyenne2</t>
  </si>
  <si>
    <t>Lepool</t>
  </si>
  <si>
    <t>Zack Kassian</t>
  </si>
  <si>
    <t>Colton Sceviour</t>
  </si>
  <si>
    <t>Trevor Lewis</t>
  </si>
  <si>
    <t>0.29</t>
  </si>
  <si>
    <t>Anthony Beauvillier</t>
  </si>
  <si>
    <t>Troy Stecher</t>
  </si>
  <si>
    <t>Alex Chiasson</t>
  </si>
  <si>
    <t>Pavel Zacha</t>
  </si>
  <si>
    <t>Radko Gudas</t>
  </si>
  <si>
    <t>David Savard</t>
  </si>
  <si>
    <t>Mikhail Grigorenko</t>
  </si>
  <si>
    <t>Nikolay Kulemin</t>
  </si>
  <si>
    <t>Sven Andrighetto</t>
  </si>
  <si>
    <t>Marcus Foligno</t>
  </si>
  <si>
    <t>Matt Stajan</t>
  </si>
  <si>
    <t>0.28</t>
  </si>
  <si>
    <t>Chris Tierney</t>
  </si>
  <si>
    <t>Brett Connolly</t>
  </si>
  <si>
    <t>Jack Johnson</t>
  </si>
  <si>
    <t>Tom Pyatt</t>
  </si>
  <si>
    <t>Nic Dowd</t>
  </si>
  <si>
    <t>Dennis Seidenberg</t>
  </si>
  <si>
    <t>Melker Karlsson</t>
  </si>
  <si>
    <t>John Moore</t>
  </si>
  <si>
    <t>Alexander Edler</t>
  </si>
  <si>
    <t>Jesper Fast</t>
  </si>
  <si>
    <t>Drew Stafford</t>
  </si>
  <si>
    <t>Chris Stewart</t>
  </si>
  <si>
    <t>0.27</t>
  </si>
  <si>
    <t>Marian Gaborik</t>
  </si>
  <si>
    <t>Brendan Perlini</t>
  </si>
  <si>
    <t>Jannik Hansen</t>
  </si>
  <si>
    <t>Kevin Labanc</t>
  </si>
  <si>
    <t>Jake McCabe</t>
  </si>
  <si>
    <t>0.26</t>
  </si>
  <si>
    <t>1.18</t>
  </si>
  <si>
    <t>Cal Clutterbuck</t>
  </si>
  <si>
    <t>Brett Pesce</t>
  </si>
  <si>
    <t>0.24</t>
  </si>
  <si>
    <t>Lauri Korpikoski</t>
  </si>
  <si>
    <t>Pavel Buchnevich</t>
  </si>
  <si>
    <t>Josh Morrissey</t>
  </si>
  <si>
    <t>Oscar Lindberg</t>
  </si>
  <si>
    <t>Jakob Chychrun</t>
  </si>
  <si>
    <t>Blake Comeau</t>
  </si>
  <si>
    <t>Thomas Hickey</t>
  </si>
  <si>
    <t>Adam Larsson</t>
  </si>
  <si>
    <t>0.23</t>
  </si>
  <si>
    <t>Joel Armia</t>
  </si>
  <si>
    <t>Ben Hutton</t>
  </si>
  <si>
    <t>Matt Hunwick</t>
  </si>
  <si>
    <t>Matt Read</t>
  </si>
  <si>
    <t>Trevor Daley</t>
  </si>
  <si>
    <t>Cody Franson</t>
  </si>
  <si>
    <t>Beau Bennett</t>
  </si>
  <si>
    <t>Esa Lindell</t>
  </si>
  <si>
    <t>0.25</t>
  </si>
  <si>
    <t>Francois Beauchemin</t>
  </si>
  <si>
    <t>0.22</t>
  </si>
  <si>
    <t>Dennis Wideman</t>
  </si>
  <si>
    <t>Scottie Upshall</t>
  </si>
  <si>
    <t>Rene Bourque</t>
  </si>
  <si>
    <t>Andrew MacDonald</t>
  </si>
  <si>
    <t>David Schlemko</t>
  </si>
  <si>
    <t>Michael Del Zotto</t>
  </si>
  <si>
    <t>Derek Forbort</t>
  </si>
  <si>
    <t>Shane Prince</t>
  </si>
  <si>
    <t>Niklas Hjalmarsson</t>
  </si>
  <si>
    <t>Drake Caggiula</t>
  </si>
  <si>
    <t>Alan Quine</t>
  </si>
  <si>
    <t>Brandon Pirri</t>
  </si>
  <si>
    <t>Nate Schmidt</t>
  </si>
  <si>
    <t>Jordie Benn</t>
  </si>
  <si>
    <t>Ron Hainsey</t>
  </si>
  <si>
    <t>Erik Johnson</t>
  </si>
  <si>
    <t>Jamie McGinn</t>
  </si>
  <si>
    <t>Josh Manson</t>
  </si>
  <si>
    <t>0.21</t>
  </si>
  <si>
    <t>Marcus Kruger</t>
  </si>
  <si>
    <t>Riley Nash</t>
  </si>
  <si>
    <t>Cody Ceci</t>
  </si>
  <si>
    <t>Miles Wood</t>
  </si>
  <si>
    <t>Darren Helm</t>
  </si>
  <si>
    <t>Chris Wideman</t>
  </si>
  <si>
    <t>Joonas Donskoi</t>
  </si>
  <si>
    <t>Andrew Copp</t>
  </si>
  <si>
    <t>Michael Matheson</t>
  </si>
  <si>
    <t>Connor Murphy</t>
  </si>
  <si>
    <t>Torrey Mitchell</t>
  </si>
  <si>
    <t>Austin Watson</t>
  </si>
  <si>
    <t>Nick Shore</t>
  </si>
  <si>
    <t>Nikita Nesterov</t>
  </si>
  <si>
    <t>Mark Pysyk</t>
  </si>
  <si>
    <t>Dwight King</t>
  </si>
  <si>
    <t>0.20</t>
  </si>
  <si>
    <t>Derek MacKenzie</t>
  </si>
  <si>
    <t>Deryk Engelland</t>
  </si>
  <si>
    <t>Curtis McKenzie</t>
  </si>
  <si>
    <t>Brock McGinn</t>
  </si>
  <si>
    <t>Zemgus Girgensons</t>
  </si>
  <si>
    <t>Adam Cracknell</t>
  </si>
  <si>
    <t>Brandon Carlo</t>
  </si>
  <si>
    <t>Alex Burmistrov</t>
  </si>
  <si>
    <t>Viktor Stalberg</t>
  </si>
  <si>
    <t>Nick Cousins</t>
  </si>
  <si>
    <t>Tom Kuhnhackl</t>
  </si>
  <si>
    <t>Dan Hamhuis</t>
  </si>
  <si>
    <t>Tanner Kero</t>
  </si>
  <si>
    <t>Ryan White</t>
  </si>
  <si>
    <t>Trevor van Riemsdyk</t>
  </si>
  <si>
    <t>Kevin Fiala</t>
  </si>
  <si>
    <t>Michael Stone</t>
  </si>
  <si>
    <t>Kyle Quincey</t>
  </si>
  <si>
    <t>Jay Bouwmeester</t>
  </si>
  <si>
    <t>0.19</t>
  </si>
  <si>
    <t>Kyle Brodziak</t>
  </si>
  <si>
    <t>Chris VandeVelde</t>
  </si>
  <si>
    <t>Joel Edmundson</t>
  </si>
  <si>
    <t>Ondrej Kase</t>
  </si>
  <si>
    <t>Matt Calvert</t>
  </si>
  <si>
    <t>Dan Girardi</t>
  </si>
  <si>
    <t>Brian Dumoulin</t>
  </si>
  <si>
    <t>Dale Weise</t>
  </si>
  <si>
    <t>Matt Benning</t>
  </si>
  <si>
    <t>Kevin Bieksa</t>
  </si>
  <si>
    <t>0.17</t>
  </si>
  <si>
    <t>Anthony DeAngelo</t>
  </si>
  <si>
    <t>Travis Hamonic</t>
  </si>
  <si>
    <t>Brooks Orpik</t>
  </si>
  <si>
    <t>0.18</t>
  </si>
  <si>
    <t>Alex Petrovic</t>
  </si>
  <si>
    <t>Luke Glendening</t>
  </si>
  <si>
    <t>Benoit Pouliot</t>
  </si>
  <si>
    <t>Matt Irwin</t>
  </si>
  <si>
    <t>Paul Postma</t>
  </si>
  <si>
    <t>Andrej Sustr</t>
  </si>
  <si>
    <t>Kevin Klein</t>
  </si>
  <si>
    <t>Nick Bjugstad</t>
  </si>
  <si>
    <t>Toby Enstrom</t>
  </si>
  <si>
    <t>David Desharnais</t>
  </si>
  <si>
    <t>Vinnie Hinostroza</t>
  </si>
  <si>
    <t>Tim Schaller</t>
  </si>
  <si>
    <t>Karl Alzner</t>
  </si>
  <si>
    <t>0.16</t>
  </si>
  <si>
    <t>Lukas Sedlak</t>
  </si>
  <si>
    <t>Oliver Bjorkstrand</t>
  </si>
  <si>
    <t>Andy Greene</t>
  </si>
  <si>
    <t>Kevan Miller</t>
  </si>
  <si>
    <t>Fedor Tyutin</t>
  </si>
  <si>
    <t>Magnus Paajarvi</t>
  </si>
  <si>
    <t>Ryan Reaves</t>
  </si>
  <si>
    <t>Mark Barberio</t>
  </si>
  <si>
    <t>Nick Jensen</t>
  </si>
  <si>
    <t>Matt Nieto</t>
  </si>
  <si>
    <t>Colin Miller</t>
  </si>
  <si>
    <t>Justin Braun</t>
  </si>
  <si>
    <t>Jordan Schroeder</t>
  </si>
  <si>
    <t>Luca Sbisa</t>
  </si>
  <si>
    <t>Nic Petan</t>
  </si>
  <si>
    <t>Kris Russell</t>
  </si>
  <si>
    <t>Tyler Ennis</t>
  </si>
  <si>
    <t>Marco Scandella</t>
  </si>
  <si>
    <t>Austin Czarnik</t>
  </si>
  <si>
    <t>Riley Sheahan</t>
  </si>
  <si>
    <t>Niklas Kronwall</t>
  </si>
  <si>
    <t>Lawson Crouse</t>
  </si>
  <si>
    <t>Jordan Weal</t>
  </si>
  <si>
    <t>Brandon Manning</t>
  </si>
  <si>
    <t>Patrick Wiercioch</t>
  </si>
  <si>
    <t>Kyle Clifford</t>
  </si>
  <si>
    <t>Marc Methot</t>
  </si>
  <si>
    <t>Joakim Nordstrom</t>
  </si>
  <si>
    <t>0.15</t>
  </si>
  <si>
    <t>Devin Setoguchi</t>
  </si>
  <si>
    <t>Peter Holland</t>
  </si>
  <si>
    <t>Xavier Ouellet</t>
  </si>
  <si>
    <t>Micheal Haley</t>
  </si>
  <si>
    <t>Braydon Coburn</t>
  </si>
  <si>
    <t>Shawn Matthias</t>
  </si>
  <si>
    <t>Cody Eakin</t>
  </si>
  <si>
    <t>Ivan Barbashev</t>
  </si>
  <si>
    <t>Ben Chiarot</t>
  </si>
  <si>
    <t>Chris Kelly</t>
  </si>
  <si>
    <t>Danny DeKeyser</t>
  </si>
  <si>
    <t>Tommy Wingels</t>
  </si>
  <si>
    <t>Josh Jooris</t>
  </si>
  <si>
    <t>Adam Clendening</t>
  </si>
  <si>
    <t>Marko Dano</t>
  </si>
  <si>
    <t>Dmitrij Jaskin</t>
  </si>
  <si>
    <t>Zach Bogosian</t>
  </si>
  <si>
    <t>Tyler Pitlick</t>
  </si>
  <si>
    <t>Roman Polak</t>
  </si>
  <si>
    <t>Fredrik Claesson</t>
  </si>
  <si>
    <t>Darnell Nurse</t>
  </si>
  <si>
    <t>Jake Dotchin</t>
  </si>
  <si>
    <t>Michael Raffl</t>
  </si>
  <si>
    <t>Johan Larsson</t>
  </si>
  <si>
    <t>Eric Fehr</t>
  </si>
  <si>
    <t>Ryan Murray</t>
  </si>
  <si>
    <t>Anton Slepyshev</t>
  </si>
  <si>
    <t>Brenden Dillon</t>
  </si>
  <si>
    <t>0.12</t>
  </si>
  <si>
    <t>Chad Ruhwedel</t>
  </si>
  <si>
    <t>Colton Sissons</t>
  </si>
  <si>
    <t>Reid Boucher</t>
  </si>
  <si>
    <t>Marc Staal</t>
  </si>
  <si>
    <t>0.14</t>
  </si>
  <si>
    <t>Joshua Ho-Sang</t>
  </si>
  <si>
    <t>Joseph Cramarossa</t>
  </si>
  <si>
    <t>Jacob Josefson</t>
  </si>
  <si>
    <t>Brian Flynn</t>
  </si>
  <si>
    <t>Stefan Noesen</t>
  </si>
  <si>
    <t>Cedric Paquette</t>
  </si>
  <si>
    <t>Adam Pelech</t>
  </si>
  <si>
    <t>Logan Shaw</t>
  </si>
  <si>
    <t>Adam McQuaid</t>
  </si>
  <si>
    <t>0.13</t>
  </si>
  <si>
    <t>Christopher Tanev</t>
  </si>
  <si>
    <t>Nikita Zadorov</t>
  </si>
  <si>
    <t>Alexei Emelin</t>
  </si>
  <si>
    <t>Denis Malgin</t>
  </si>
  <si>
    <t>Josh Leivo</t>
  </si>
  <si>
    <t>0.77</t>
  </si>
  <si>
    <t>Stephen Johns</t>
  </si>
  <si>
    <t>Matt Martin</t>
  </si>
  <si>
    <t>0.11</t>
  </si>
  <si>
    <t>Scott Mayfield</t>
  </si>
  <si>
    <t>Jason Garrison</t>
  </si>
  <si>
    <t>Johnny Oduya</t>
  </si>
  <si>
    <t>Shea Theodore</t>
  </si>
  <si>
    <t>Nail Yakupov</t>
  </si>
  <si>
    <t>Jack Skille</t>
  </si>
  <si>
    <t>Jonathan Ericsson</t>
  </si>
  <si>
    <t>Brendan Smith</t>
  </si>
  <si>
    <t>Greg Pateryn</t>
  </si>
  <si>
    <t>Devante Smith-Pelly</t>
  </si>
  <si>
    <t>Nikita Tryamkin</t>
  </si>
  <si>
    <t>Nikita Soshnikov</t>
  </si>
  <si>
    <t>Matt Puempel</t>
  </si>
  <si>
    <t>Tyler Graovac</t>
  </si>
  <si>
    <t>Joseph Blandisi</t>
  </si>
  <si>
    <t>Daniel Carr</t>
  </si>
  <si>
    <t>Brad Richardson</t>
  </si>
  <si>
    <t>Michael Sgarbossa</t>
  </si>
  <si>
    <t>Paul LaDue</t>
  </si>
  <si>
    <t>William Carrier</t>
  </si>
  <si>
    <t>Yanni Gourde</t>
  </si>
  <si>
    <t>Christian Folin</t>
  </si>
  <si>
    <t>Jordan Nolan</t>
  </si>
  <si>
    <t>Justin Falk</t>
  </si>
  <si>
    <t>Connor Carrick</t>
  </si>
  <si>
    <t>Zach Sanford</t>
  </si>
  <si>
    <t>Luke Schenn</t>
  </si>
  <si>
    <t>0.10</t>
  </si>
  <si>
    <t>Michael Chaput</t>
  </si>
  <si>
    <t>Matt Beleskey</t>
  </si>
  <si>
    <t>Jesse Puljujarvi</t>
  </si>
  <si>
    <t>Dennis Rasmussen</t>
  </si>
  <si>
    <t>Dylan DeMelo</t>
  </si>
  <si>
    <t>Pierre-Edouard Bellemare</t>
  </si>
  <si>
    <t>Jayson Megna</t>
  </si>
  <si>
    <t>Joe Colborne</t>
  </si>
  <si>
    <t>Michal Kempny</t>
  </si>
  <si>
    <t>Jay McClement</t>
  </si>
  <si>
    <t>Alexey Marchenko</t>
  </si>
  <si>
    <t>Yannick Weber</t>
  </si>
  <si>
    <t>Phillip Di Giuseppe</t>
  </si>
  <si>
    <t>Greg McKegg</t>
  </si>
  <si>
    <t>Ben Lovejoy</t>
  </si>
  <si>
    <t>0.09</t>
  </si>
  <si>
    <t>Andreas Martinsen</t>
  </si>
  <si>
    <t>Steve Ott</t>
  </si>
  <si>
    <t>Markus Nutivaara</t>
  </si>
  <si>
    <t>Drew Miller</t>
  </si>
  <si>
    <t>Kevin Gravel</t>
  </si>
  <si>
    <t>Lance Bouma</t>
  </si>
  <si>
    <t>Korbinian Holzer</t>
  </si>
  <si>
    <t>Taylor Fedun</t>
  </si>
  <si>
    <t>Joel Eriksson Ek</t>
  </si>
  <si>
    <t>Jared McCann</t>
  </si>
  <si>
    <t>Ales Hemsky</t>
  </si>
  <si>
    <t>Anthony Bitetto</t>
  </si>
  <si>
    <t>Jamie Oleksiak</t>
  </si>
  <si>
    <t>Carter Rowney</t>
  </si>
  <si>
    <t>Olli Maatta</t>
  </si>
  <si>
    <t>Martin Marincin</t>
  </si>
  <si>
    <t>Matt Hendricks</t>
  </si>
  <si>
    <t>Ryan Sproul</t>
  </si>
  <si>
    <t>Remi Elie</t>
  </si>
  <si>
    <t>Steven Santini</t>
  </si>
  <si>
    <t>Chris Wagner</t>
  </si>
  <si>
    <t>Nate Prosser</t>
  </si>
  <si>
    <t>John Mitchell</t>
  </si>
  <si>
    <t>Tyler Motte</t>
  </si>
  <si>
    <t>Nick Lappin</t>
  </si>
  <si>
    <t>Jakub Vrana</t>
  </si>
  <si>
    <t>Brad Hunt</t>
  </si>
  <si>
    <t>Josh Gorges</t>
  </si>
  <si>
    <t>Eric Gryba</t>
  </si>
  <si>
    <t>Dalton Prout</t>
  </si>
  <si>
    <t>Brandon Montour</t>
  </si>
  <si>
    <t>Erik Gudbranson</t>
  </si>
  <si>
    <t>Jon Merrill</t>
  </si>
  <si>
    <t>Cody McLeod</t>
  </si>
  <si>
    <t>Adrian Kempe</t>
  </si>
  <si>
    <t>J.T. Brown</t>
  </si>
  <si>
    <t>Philip Larsen</t>
  </si>
  <si>
    <t>Matt Tennyson</t>
  </si>
  <si>
    <t>Gemel Smith</t>
  </si>
  <si>
    <t>Roman Lyubimov</t>
  </si>
  <si>
    <t>Jyrki Jokipakka</t>
  </si>
  <si>
    <t>Klas Dahlbeck</t>
  </si>
  <si>
    <t>Carl Gunnarsson</t>
  </si>
  <si>
    <t>Stephen Gionta</t>
  </si>
  <si>
    <t>Evan Rodrigues</t>
  </si>
  <si>
    <t>Timo Meier</t>
  </si>
  <si>
    <t>John-Michael Liles</t>
  </si>
  <si>
    <t>Julius Honka</t>
  </si>
  <si>
    <t>Garnet Hathaway</t>
  </si>
  <si>
    <t>Michael McCarron</t>
  </si>
  <si>
    <t>Tom Gilbert</t>
  </si>
  <si>
    <t>Seth Griffith</t>
  </si>
  <si>
    <t>Kyle Connor</t>
  </si>
  <si>
    <t>Jimmy Hayes</t>
  </si>
  <si>
    <t>Noel Acciari</t>
  </si>
  <si>
    <t>Brock Boeser</t>
  </si>
  <si>
    <t>Dmitry Kulikov</t>
  </si>
  <si>
    <t>J.T. Compher</t>
  </si>
  <si>
    <t>Tyler Myers</t>
  </si>
  <si>
    <t>Gustav Forsling</t>
  </si>
  <si>
    <t>Brendan Gaunce</t>
  </si>
  <si>
    <t>Zach Redmond</t>
  </si>
  <si>
    <t>Cody Goloubef</t>
  </si>
  <si>
    <t>Andrej Nestrasil</t>
  </si>
  <si>
    <t>Taylor Chorney</t>
  </si>
  <si>
    <t>Derek Dorsett</t>
  </si>
  <si>
    <t>Ryan Carpenter</t>
  </si>
  <si>
    <t>Robert Bortuzzo</t>
  </si>
  <si>
    <t>Brayden McNabb</t>
  </si>
  <si>
    <t>0.08</t>
  </si>
  <si>
    <t>Yohann Auvitu</t>
  </si>
  <si>
    <t>Cory Conacher</t>
  </si>
  <si>
    <t>Slater Koekkoek</t>
  </si>
  <si>
    <t>Vernon Fiddler</t>
  </si>
  <si>
    <t>0.07</t>
  </si>
  <si>
    <t>Brandon Tanev</t>
  </si>
  <si>
    <t>Ryan Callahan</t>
  </si>
  <si>
    <t>Sergey Kalinin</t>
  </si>
  <si>
    <t>Harry Zolnierczyk</t>
  </si>
  <si>
    <t>Anton Lander</t>
  </si>
  <si>
    <t>Derek Grant</t>
  </si>
  <si>
    <t>Ben Smith</t>
  </si>
  <si>
    <t>Jakub Kindl</t>
  </si>
  <si>
    <t>John Quenneville</t>
  </si>
  <si>
    <t>Nicholas Baptiste</t>
  </si>
  <si>
    <t>Shawn Thornton</t>
  </si>
  <si>
    <t>Marcus Sorensen</t>
  </si>
  <si>
    <t>Iiro Pakarinen</t>
  </si>
  <si>
    <t>Chris Terry</t>
  </si>
  <si>
    <t>Mark Stuart</t>
  </si>
  <si>
    <t>Chris Neil</t>
  </si>
  <si>
    <t>John Hayden</t>
  </si>
  <si>
    <t>Cameron Gaunce</t>
  </si>
  <si>
    <t>Gabriel Dumont</t>
  </si>
  <si>
    <t>Curtis Lazar</t>
  </si>
  <si>
    <t>Luke Witkowski</t>
  </si>
  <si>
    <t>Nick Schultz</t>
  </si>
  <si>
    <t>Chris Thorburn</t>
  </si>
  <si>
    <t>0.06</t>
  </si>
  <si>
    <t>Justin Bailey</t>
  </si>
  <si>
    <t>Frederik Gauthier</t>
  </si>
  <si>
    <t>Ryan Garbutt</t>
  </si>
  <si>
    <t>Kenny Agostino</t>
  </si>
  <si>
    <t>Alex Biega</t>
  </si>
  <si>
    <t>Kyle Rau</t>
  </si>
  <si>
    <t>Michael Bournival</t>
  </si>
  <si>
    <t>Karl Stollery</t>
  </si>
  <si>
    <t>Christian Fischer</t>
  </si>
  <si>
    <t>Brandon Davidson</t>
  </si>
  <si>
    <t>Jordin Tootoo</t>
  </si>
  <si>
    <t>Adam Erne</t>
  </si>
  <si>
    <t>Michal Rozsival</t>
  </si>
  <si>
    <t>Patrik Nemeth</t>
  </si>
  <si>
    <t>Nikolay Goldobin</t>
  </si>
  <si>
    <t>Mark Borowiecki</t>
  </si>
  <si>
    <t>0.04</t>
  </si>
  <si>
    <t>Josh Archibald</t>
  </si>
  <si>
    <t>Laurent Dauphin</t>
  </si>
  <si>
    <t>Paul Thompson</t>
  </si>
  <si>
    <t>Clayton Stoner</t>
  </si>
  <si>
    <t>Joel Vermin</t>
  </si>
  <si>
    <t>Brett Kulak</t>
  </si>
  <si>
    <t>Shane Harper</t>
  </si>
  <si>
    <t>Gustav Olofsson</t>
  </si>
  <si>
    <t>Scott Harrington</t>
  </si>
  <si>
    <t>Zac Dalpe</t>
  </si>
  <si>
    <t>Jared Boll</t>
  </si>
  <si>
    <t>Charles Hudon</t>
  </si>
  <si>
    <t>Steven Kampfer</t>
  </si>
  <si>
    <t>Teddy Purcell</t>
  </si>
  <si>
    <t>Marek Hrivik</t>
  </si>
  <si>
    <t>Peter Cehlarik</t>
  </si>
  <si>
    <t>Lucas Wallmark</t>
  </si>
  <si>
    <t>Matt Greene</t>
  </si>
  <si>
    <t>Matt Murray</t>
  </si>
  <si>
    <t>G</t>
  </si>
  <si>
    <t>Jason Dickinson</t>
  </si>
  <si>
    <t>Jonny Brodzinski</t>
  </si>
  <si>
    <t>Julian Melchiori</t>
  </si>
  <si>
    <t>Ryan Murphy</t>
  </si>
  <si>
    <t>Drew Shore</t>
  </si>
  <si>
    <t>Milan Michalek</t>
  </si>
  <si>
    <t>Andrei Vasilevskiy</t>
  </si>
  <si>
    <t>Al Montoya</t>
  </si>
  <si>
    <t>Tuukka Rask</t>
  </si>
  <si>
    <t>0.03</t>
  </si>
  <si>
    <t>Calvin Pickard</t>
  </si>
  <si>
    <t>Jordan Schmaltz</t>
  </si>
  <si>
    <t>Clayton Keller</t>
  </si>
  <si>
    <t>Teemu Pulkkinen</t>
  </si>
  <si>
    <t>Anton Blidh</t>
  </si>
  <si>
    <t>Nicolas Deslauriers</t>
  </si>
  <si>
    <t>0.05</t>
  </si>
  <si>
    <t>Blake Coleman</t>
  </si>
  <si>
    <t>Matt Bartkowski</t>
  </si>
  <si>
    <t>Tanner Glass</t>
  </si>
  <si>
    <t>Matthew Peca</t>
  </si>
  <si>
    <t>Andy Andreoff</t>
  </si>
  <si>
    <t>Brian Strait</t>
  </si>
  <si>
    <t>Tom Sestito</t>
  </si>
  <si>
    <t>Nate Thompson</t>
  </si>
  <si>
    <t>Markus Hannikainen</t>
  </si>
  <si>
    <t>Freddie Hamilton</t>
  </si>
  <si>
    <t>Mirco Mueller</t>
  </si>
  <si>
    <t>Mark Fayne</t>
  </si>
  <si>
    <t>Taylor Leier</t>
  </si>
  <si>
    <t>Justin Dowling</t>
  </si>
  <si>
    <t>Pontus Aberg</t>
  </si>
  <si>
    <t>Ty Rattie</t>
  </si>
  <si>
    <t>Eric Gelinas</t>
  </si>
  <si>
    <t>Sergey Tolchinsky</t>
  </si>
  <si>
    <t>Rocco Grimaldi</t>
  </si>
  <si>
    <t>Marek Mazanec</t>
  </si>
  <si>
    <t>Tomas Jurco</t>
  </si>
  <si>
    <t>Anton Rodin</t>
  </si>
  <si>
    <t>Hunter Shinkaruk</t>
  </si>
  <si>
    <t>Peter Budaj</t>
  </si>
  <si>
    <t>0.02</t>
  </si>
  <si>
    <t>Robin Lehner</t>
  </si>
  <si>
    <t>Michael Leighton</t>
  </si>
  <si>
    <t>Jaroslav Halak</t>
  </si>
  <si>
    <t>Steve Mason</t>
  </si>
  <si>
    <t>Matt Lorito</t>
  </si>
  <si>
    <t>Kari Lehtonen</t>
  </si>
  <si>
    <t>John Gibson</t>
  </si>
  <si>
    <t>Roberto Luongo</t>
  </si>
  <si>
    <t>Cole Schneider</t>
  </si>
  <si>
    <t>Darcy Kuemper</t>
  </si>
  <si>
    <t>David Warsofsky</t>
  </si>
  <si>
    <t>Mike Reilly</t>
  </si>
  <si>
    <t>Kasperi Kapanen</t>
  </si>
  <si>
    <t>Samuel Henley</t>
  </si>
  <si>
    <t>1.00</t>
  </si>
  <si>
    <t>Ryan Miller</t>
  </si>
  <si>
    <t>Keith Kinkaid</t>
  </si>
  <si>
    <t>Daniel O'Regan</t>
  </si>
  <si>
    <t>Carey Price</t>
  </si>
  <si>
    <t>Juuse Saros</t>
  </si>
  <si>
    <t>Ian McCoshen</t>
  </si>
  <si>
    <t>Jake Allen</t>
  </si>
  <si>
    <t>Vladimir Sobotka</t>
  </si>
  <si>
    <t>Nikita Scherbak</t>
  </si>
  <si>
    <t>Barclay Goodrow</t>
  </si>
  <si>
    <t>A.J. Greer</t>
  </si>
  <si>
    <t>Cam Ward</t>
  </si>
  <si>
    <t>Thomas Greiss</t>
  </si>
  <si>
    <t>Valentin Zykov</t>
  </si>
  <si>
    <t>Boyd Gordon</t>
  </si>
  <si>
    <t>Dominik Simon</t>
  </si>
  <si>
    <t>Cal O'Reilly</t>
  </si>
  <si>
    <t>Gabriel Carlsson</t>
  </si>
  <si>
    <t>Frederik Andersen</t>
  </si>
  <si>
    <t>Dylan McIlrath</t>
  </si>
  <si>
    <t>Anton Khudobin</t>
  </si>
  <si>
    <t>Seth Helgeson</t>
  </si>
  <si>
    <t>Tomas Nosek</t>
  </si>
  <si>
    <t>Tyler Gaudet</t>
  </si>
  <si>
    <t>Kevin Connauton</t>
  </si>
  <si>
    <t>Blake Pietila</t>
  </si>
  <si>
    <t>C.J. Smith</t>
  </si>
  <si>
    <t>Joe Morrow</t>
  </si>
  <si>
    <t>Wade Megan</t>
  </si>
  <si>
    <t>Christoph Bertschy</t>
  </si>
  <si>
    <t>Jujhar Khaira</t>
  </si>
  <si>
    <t>Alexander Nylander</t>
  </si>
  <si>
    <t>Craig Anderson</t>
  </si>
  <si>
    <t>Andrew Desjardins</t>
  </si>
  <si>
    <t>Tyson Jost</t>
  </si>
  <si>
    <t>Sean Kuraly</t>
  </si>
  <si>
    <t>Semyon Varlamov</t>
  </si>
  <si>
    <t>Nick Sorensen</t>
  </si>
  <si>
    <t>Antti Raanta</t>
  </si>
  <si>
    <t>Bryan Bickell</t>
  </si>
  <si>
    <t>Jake Virtanen</t>
  </si>
  <si>
    <t>Hudson Fasching</t>
  </si>
  <si>
    <t>Matt Carle</t>
  </si>
  <si>
    <t>Kurtis Gabriel</t>
  </si>
  <si>
    <t>Colin McDonald</t>
  </si>
  <si>
    <t>Corey Crawford</t>
  </si>
  <si>
    <t>Henrik Lundqvist</t>
  </si>
  <si>
    <t>Carter Hutton</t>
  </si>
  <si>
    <t>Steve Oleksy</t>
  </si>
  <si>
    <t>Frederick Gaudreau</t>
  </si>
  <si>
    <t>Ben Street</t>
  </si>
  <si>
    <t>Overall</t>
  </si>
  <si>
    <t>Time on Ice</t>
  </si>
  <si>
    <t>per 60 All Situations</t>
  </si>
  <si>
    <t>per 60 Even-Strength</t>
  </si>
  <si>
    <t>per 60 Power-Play</t>
  </si>
  <si>
    <t>per Game</t>
  </si>
  <si>
    <t>Shots</t>
  </si>
  <si>
    <t>Defensive</t>
  </si>
  <si>
    <t>Faceoffs</t>
  </si>
  <si>
    <t>Rk</t>
  </si>
  <si>
    <t>Name</t>
  </si>
  <si>
    <t>Age</t>
  </si>
  <si>
    <t>A</t>
  </si>
  <si>
    <t>P</t>
  </si>
  <si>
    <t>PIM</t>
  </si>
  <si>
    <t>+/-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</si>
  <si>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</si>
  <si>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</si>
  <si>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</si>
  <si>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</si>
  <si>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</si>
  <si>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</si>
  <si>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</si>
  <si>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</si>
  <si>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</si>
  <si>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</si>
  <si>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</si>
  <si>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</si>
  <si>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</si>
  <si>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</si>
  <si>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</si>
  <si>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PPP%</t>
  </si>
  <si>
    <t>TOI</t>
  </si>
  <si>
    <t>ES</t>
  </si>
  <si>
    <t>PP</t>
  </si>
  <si>
    <t>SH</t>
  </si>
  <si>
    <t>G/60</t>
  </si>
  <si>
    <t>A/60</t>
  </si>
  <si>
    <t>P/60</t>
  </si>
  <si>
    <t>ESG/60</t>
  </si>
  <si>
    <t>ESA/60</t>
  </si>
  <si>
    <t>ESP/60</t>
  </si>
  <si>
    <t>PPG/60</t>
  </si>
  <si>
    <t>PPA/60</t>
  </si>
  <si>
    <t>PPP/60</t>
  </si>
  <si>
    <t>G/GP</t>
  </si>
  <si>
    <t>A/GP</t>
  </si>
  <si>
    <t>P/GP</t>
  </si>
  <si>
    <t>SHOTS</t>
  </si>
  <si>
    <t>SH%</t>
  </si>
  <si>
    <t>HITS</t>
  </si>
  <si>
    <t>BS</t>
  </si>
  <si>
    <t>FOW</t>
  </si>
  <si>
    <t>FOL</t>
  </si>
  <si>
    <t>FO%</t>
  </si>
  <si>
    <t>F</t>
  </si>
  <si>
    <t>27.0%</t>
  </si>
  <si>
    <t>1.039</t>
  </si>
  <si>
    <t>2.425</t>
  </si>
  <si>
    <t>3.464</t>
  </si>
  <si>
    <t>1.100</t>
  </si>
  <si>
    <t>1.905</t>
  </si>
  <si>
    <t>3.005</t>
  </si>
  <si>
    <t>0.727</t>
  </si>
  <si>
    <t>5.813</t>
  </si>
  <si>
    <t>6.540</t>
  </si>
  <si>
    <t>0.366</t>
  </si>
  <si>
    <t>0.854</t>
  </si>
  <si>
    <t>1.220</t>
  </si>
  <si>
    <t>12.0%</t>
  </si>
  <si>
    <t>43.18%</t>
  </si>
  <si>
    <t>28.1%</t>
  </si>
  <si>
    <t>1.772</t>
  </si>
  <si>
    <t>1.812</t>
  </si>
  <si>
    <t>3.584</t>
  </si>
  <si>
    <t>1.486</t>
  </si>
  <si>
    <t>1.684</t>
  </si>
  <si>
    <t>3.170</t>
  </si>
  <si>
    <t>3.119</t>
  </si>
  <si>
    <t>2.451</t>
  </si>
  <si>
    <t>5.570</t>
  </si>
  <si>
    <t>0.587</t>
  </si>
  <si>
    <t>0.600</t>
  </si>
  <si>
    <t>1.187</t>
  </si>
  <si>
    <t>17.3%</t>
  </si>
  <si>
    <t>48.17%</t>
  </si>
  <si>
    <t>25.8%</t>
  </si>
  <si>
    <t>1.163</t>
  </si>
  <si>
    <t>1.881</t>
  </si>
  <si>
    <t>3.043</t>
  </si>
  <si>
    <t>1.103</t>
  </si>
  <si>
    <t>1.593</t>
  </si>
  <si>
    <t>2.695</t>
  </si>
  <si>
    <t>1.505</t>
  </si>
  <si>
    <t>3.440</t>
  </si>
  <si>
    <t>4.946</t>
  </si>
  <si>
    <t>0.415</t>
  </si>
  <si>
    <t>0.671</t>
  </si>
  <si>
    <t>1.085</t>
  </si>
  <si>
    <t>11.6%</t>
  </si>
  <si>
    <t>13.73%</t>
  </si>
  <si>
    <t>Nicklas Bäckström</t>
  </si>
  <si>
    <t>40.7%</t>
  </si>
  <si>
    <t>0.923</t>
  </si>
  <si>
    <t>2.528</t>
  </si>
  <si>
    <t>3.451</t>
  </si>
  <si>
    <t>0.757</t>
  </si>
  <si>
    <t>1.817</t>
  </si>
  <si>
    <t>2.574</t>
  </si>
  <si>
    <t>1.923</t>
  </si>
  <si>
    <t>6.491</t>
  </si>
  <si>
    <t>8.415</t>
  </si>
  <si>
    <t>0.280</t>
  </si>
  <si>
    <t>0.768</t>
  </si>
  <si>
    <t>1.049</t>
  </si>
  <si>
    <t>14.2%</t>
  </si>
  <si>
    <t>51.39%</t>
  </si>
  <si>
    <t>37.6%</t>
  </si>
  <si>
    <t>1.670</t>
  </si>
  <si>
    <t>1.879</t>
  </si>
  <si>
    <t>3.549</t>
  </si>
  <si>
    <t>1.517</t>
  </si>
  <si>
    <t>2.679</t>
  </si>
  <si>
    <t>4.104</t>
  </si>
  <si>
    <t>3.621</t>
  </si>
  <si>
    <t>7.726</t>
  </si>
  <si>
    <t>0.541</t>
  </si>
  <si>
    <t>0.608</t>
  </si>
  <si>
    <t>1.149</t>
  </si>
  <si>
    <t>16.3%</t>
  </si>
  <si>
    <t>0.00%</t>
  </si>
  <si>
    <t>28.2%</t>
  </si>
  <si>
    <t>1.775</t>
  </si>
  <si>
    <t>3.280</t>
  </si>
  <si>
    <t>1.370</t>
  </si>
  <si>
    <t>1.471</t>
  </si>
  <si>
    <t>2.841</t>
  </si>
  <si>
    <t>2.503</t>
  </si>
  <si>
    <t>4.172</t>
  </si>
  <si>
    <t>6.675</t>
  </si>
  <si>
    <t>0.488</t>
  </si>
  <si>
    <t>0.575</t>
  </si>
  <si>
    <t>1.063</t>
  </si>
  <si>
    <t>36.11%</t>
  </si>
  <si>
    <t>18.3%</t>
  </si>
  <si>
    <t>1.182</t>
  </si>
  <si>
    <t>1.847</t>
  </si>
  <si>
    <t>3.028</t>
  </si>
  <si>
    <t>1.133</t>
  </si>
  <si>
    <t>2.945</t>
  </si>
  <si>
    <t>1.712</t>
  </si>
  <si>
    <t>1.957</t>
  </si>
  <si>
    <t>3.668</t>
  </si>
  <si>
    <t>0.405</t>
  </si>
  <si>
    <t>0.633</t>
  </si>
  <si>
    <t>1.038</t>
  </si>
  <si>
    <t>20.0%</t>
  </si>
  <si>
    <t>43.46%</t>
  </si>
  <si>
    <t>35.1%</t>
  </si>
  <si>
    <t>1.124</t>
  </si>
  <si>
    <t>1.861</t>
  </si>
  <si>
    <t>2.985</t>
  </si>
  <si>
    <t>0.894</t>
  </si>
  <si>
    <t>1.459</t>
  </si>
  <si>
    <t>2.354</t>
  </si>
  <si>
    <t>4.298</t>
  </si>
  <si>
    <t>6.826</t>
  </si>
  <si>
    <t>0.354</t>
  </si>
  <si>
    <t>0.585</t>
  </si>
  <si>
    <t>0.939</t>
  </si>
  <si>
    <t>16.9%</t>
  </si>
  <si>
    <t>48.97%</t>
  </si>
  <si>
    <t>32.9%</t>
  </si>
  <si>
    <t>0.853</t>
  </si>
  <si>
    <t>1.383</t>
  </si>
  <si>
    <t>2.237</t>
  </si>
  <si>
    <t>0.792</t>
  </si>
  <si>
    <t>1.094</t>
  </si>
  <si>
    <t>1.885</t>
  </si>
  <si>
    <t>1.639</t>
  </si>
  <si>
    <t>3.483</t>
  </si>
  <si>
    <t>5.123</t>
  </si>
  <si>
    <t>0.573</t>
  </si>
  <si>
    <t>0.927</t>
  </si>
  <si>
    <t>9.1%</t>
  </si>
  <si>
    <t>29.3%</t>
  </si>
  <si>
    <t>1.545</t>
  </si>
  <si>
    <t>1.426</t>
  </si>
  <si>
    <t>2.971</t>
  </si>
  <si>
    <t>1.434</t>
  </si>
  <si>
    <t>2.534</t>
  </si>
  <si>
    <t>2.207</t>
  </si>
  <si>
    <t>3.187</t>
  </si>
  <si>
    <t>5.394</t>
  </si>
  <si>
    <t>0.476</t>
  </si>
  <si>
    <t>0.439</t>
  </si>
  <si>
    <t>0.915</t>
  </si>
  <si>
    <t>13.6%</t>
  </si>
  <si>
    <t>50.00%</t>
  </si>
  <si>
    <t>23.0%</t>
  </si>
  <si>
    <t>1.165</t>
  </si>
  <si>
    <t>1.616</t>
  </si>
  <si>
    <t>2.781</t>
  </si>
  <si>
    <t>0.988</t>
  </si>
  <si>
    <t>1.571</t>
  </si>
  <si>
    <t>2.559</t>
  </si>
  <si>
    <t>2.095</t>
  </si>
  <si>
    <t>1.862</t>
  </si>
  <si>
    <t>3.958</t>
  </si>
  <si>
    <t>0.378</t>
  </si>
  <si>
    <t>0.524</t>
  </si>
  <si>
    <t>0.902</t>
  </si>
  <si>
    <t>14.7%</t>
  </si>
  <si>
    <t>20.00%</t>
  </si>
  <si>
    <t>28.4%</t>
  </si>
  <si>
    <t>0.945</t>
  </si>
  <si>
    <t>1.744</t>
  </si>
  <si>
    <t>2.688</t>
  </si>
  <si>
    <t>0.880</t>
  </si>
  <si>
    <t>1.435</t>
  </si>
  <si>
    <t>2.315</t>
  </si>
  <si>
    <t>1.235</t>
  </si>
  <si>
    <t>3.953</t>
  </si>
  <si>
    <t>5.188</t>
  </si>
  <si>
    <t>0.317</t>
  </si>
  <si>
    <t>10.0%</t>
  </si>
  <si>
    <t>45.74%</t>
  </si>
  <si>
    <t>27.4%</t>
  </si>
  <si>
    <t>0.577</t>
  </si>
  <si>
    <t>2.232</t>
  </si>
  <si>
    <t>2.809</t>
  </si>
  <si>
    <t>0.348</t>
  </si>
  <si>
    <t>2.136</t>
  </si>
  <si>
    <t>2.484</t>
  </si>
  <si>
    <t>1.587</t>
  </si>
  <si>
    <t>3.703</t>
  </si>
  <si>
    <t>5.291</t>
  </si>
  <si>
    <t>0.203</t>
  </si>
  <si>
    <t>0.784</t>
  </si>
  <si>
    <t>0.986</t>
  </si>
  <si>
    <t>10.9%</t>
  </si>
  <si>
    <t>50.30%</t>
  </si>
  <si>
    <t>31.9%</t>
  </si>
  <si>
    <t>1.714</t>
  </si>
  <si>
    <t>2.025</t>
  </si>
  <si>
    <t>3.739</t>
  </si>
  <si>
    <t>1.427</t>
  </si>
  <si>
    <t>1.751</t>
  </si>
  <si>
    <t>3.178</t>
  </si>
  <si>
    <t>2.899</t>
  </si>
  <si>
    <t>3.162</t>
  </si>
  <si>
    <t>6.061</t>
  </si>
  <si>
    <t>0.532</t>
  </si>
  <si>
    <t>0.629</t>
  </si>
  <si>
    <t>1.161</t>
  </si>
  <si>
    <t>43.14%</t>
  </si>
  <si>
    <t>40.3%</t>
  </si>
  <si>
    <t>1.031</t>
  </si>
  <si>
    <t>1.823</t>
  </si>
  <si>
    <t>2.854</t>
  </si>
  <si>
    <t>0.719</t>
  </si>
  <si>
    <t>1.342</t>
  </si>
  <si>
    <t>2.060</t>
  </si>
  <si>
    <t>2.545</t>
  </si>
  <si>
    <t>4.165</t>
  </si>
  <si>
    <t>6.710</t>
  </si>
  <si>
    <t>0.561</t>
  </si>
  <si>
    <t>0.878</t>
  </si>
  <si>
    <t>8.6%</t>
  </si>
  <si>
    <t>51.08%</t>
  </si>
  <si>
    <t>45.8%</t>
  </si>
  <si>
    <t>0.496</t>
  </si>
  <si>
    <t>1.736</t>
  </si>
  <si>
    <t>0.469</t>
  </si>
  <si>
    <t>1.055</t>
  </si>
  <si>
    <t>1.524</t>
  </si>
  <si>
    <t>1.011</t>
  </si>
  <si>
    <t>7.331</t>
  </si>
  <si>
    <t>8.342</t>
  </si>
  <si>
    <t>0.709</t>
  </si>
  <si>
    <t>0.911</t>
  </si>
  <si>
    <t>9.6%</t>
  </si>
  <si>
    <t>38.0%</t>
  </si>
  <si>
    <t>0.494</t>
  </si>
  <si>
    <t>1.568</t>
  </si>
  <si>
    <t>2.062</t>
  </si>
  <si>
    <t>0.482</t>
  </si>
  <si>
    <t>1.076</t>
  </si>
  <si>
    <t>1.558</t>
  </si>
  <si>
    <t>0.846</t>
  </si>
  <si>
    <t>4.865</t>
  </si>
  <si>
    <t>5.711</t>
  </si>
  <si>
    <t>0.221</t>
  </si>
  <si>
    <t>0.701</t>
  </si>
  <si>
    <t>0.922</t>
  </si>
  <si>
    <t>7.8%</t>
  </si>
  <si>
    <t>34.3%</t>
  </si>
  <si>
    <t>1.513</t>
  </si>
  <si>
    <t>1.601</t>
  </si>
  <si>
    <t>3.114</t>
  </si>
  <si>
    <t>1.257</t>
  </si>
  <si>
    <t>1.153</t>
  </si>
  <si>
    <t>2.410</t>
  </si>
  <si>
    <t>3.044</t>
  </si>
  <si>
    <t>4.262</t>
  </si>
  <si>
    <t>7.307</t>
  </si>
  <si>
    <t>0.453</t>
  </si>
  <si>
    <t>0.480</t>
  </si>
  <si>
    <t>0.933</t>
  </si>
  <si>
    <t>13.0%</t>
  </si>
  <si>
    <t>66.67%</t>
  </si>
  <si>
    <t>42.9%</t>
  </si>
  <si>
    <t>1.918</t>
  </si>
  <si>
    <t>2.857</t>
  </si>
  <si>
    <t>0.764</t>
  </si>
  <si>
    <t>1.274</t>
  </si>
  <si>
    <t>2.038</t>
  </si>
  <si>
    <t>1.651</t>
  </si>
  <si>
    <t>4.539</t>
  </si>
  <si>
    <t>6.190</t>
  </si>
  <si>
    <t>33.33%</t>
  </si>
  <si>
    <t>30.4%</t>
  </si>
  <si>
    <t>1.661</t>
  </si>
  <si>
    <t>1.204</t>
  </si>
  <si>
    <t>2.866</t>
  </si>
  <si>
    <t>1.551</t>
  </si>
  <si>
    <t>0.776</t>
  </si>
  <si>
    <t>2.327</t>
  </si>
  <si>
    <t>2.361</t>
  </si>
  <si>
    <t>3.837</t>
  </si>
  <si>
    <t>6.198</t>
  </si>
  <si>
    <t>0.841</t>
  </si>
  <si>
    <t>14.3%</t>
  </si>
  <si>
    <t>46.82%</t>
  </si>
  <si>
    <t>37.7%</t>
  </si>
  <si>
    <t>1.315</t>
  </si>
  <si>
    <t>2.750</t>
  </si>
  <si>
    <t>0.801</t>
  </si>
  <si>
    <t>1.352</t>
  </si>
  <si>
    <t>2.154</t>
  </si>
  <si>
    <t>3.340</t>
  </si>
  <si>
    <t>1.768</t>
  </si>
  <si>
    <t>5.109</t>
  </si>
  <si>
    <t>0.402</t>
  </si>
  <si>
    <t>10.5%</t>
  </si>
  <si>
    <t>29.0%</t>
  </si>
  <si>
    <t>1.023</t>
  </si>
  <si>
    <t>1.693</t>
  </si>
  <si>
    <t>2.716</t>
  </si>
  <si>
    <t>1.421</t>
  </si>
  <si>
    <t>2.205</t>
  </si>
  <si>
    <t>2.357</t>
  </si>
  <si>
    <t>4.378</t>
  </si>
  <si>
    <t>6.735</t>
  </si>
  <si>
    <t>0.321</t>
  </si>
  <si>
    <t>0.531</t>
  </si>
  <si>
    <t>0.852</t>
  </si>
  <si>
    <t>48.48%</t>
  </si>
  <si>
    <t>1.045</t>
  </si>
  <si>
    <t>1.729</t>
  </si>
  <si>
    <t>2.774</t>
  </si>
  <si>
    <t>0.683</t>
  </si>
  <si>
    <t>3.017</t>
  </si>
  <si>
    <t>3.520</t>
  </si>
  <si>
    <t>6.536</t>
  </si>
  <si>
    <t>0.338</t>
  </si>
  <si>
    <t>0.558</t>
  </si>
  <si>
    <t>0.896</t>
  </si>
  <si>
    <t>12.9%</t>
  </si>
  <si>
    <t>51.46%</t>
  </si>
  <si>
    <t>32.4%</t>
  </si>
  <si>
    <t>1.123</t>
  </si>
  <si>
    <t>1.510</t>
  </si>
  <si>
    <t>2.633</t>
  </si>
  <si>
    <t>1.012</t>
  </si>
  <si>
    <t>1.157</t>
  </si>
  <si>
    <t>2.169</t>
  </si>
  <si>
    <t>1.566</t>
  </si>
  <si>
    <t>3.355</t>
  </si>
  <si>
    <t>4.920</t>
  </si>
  <si>
    <t>0.358</t>
  </si>
  <si>
    <t>0.481</t>
  </si>
  <si>
    <t>0.840</t>
  </si>
  <si>
    <t>12.5%</t>
  </si>
  <si>
    <t>52.45%</t>
  </si>
  <si>
    <t>19.1%</t>
  </si>
  <si>
    <t>0.631</t>
  </si>
  <si>
    <t>1.893</t>
  </si>
  <si>
    <t>2.524</t>
  </si>
  <si>
    <t>0.658</t>
  </si>
  <si>
    <t>1.753</t>
  </si>
  <si>
    <t>2.411</t>
  </si>
  <si>
    <t>0.493</t>
  </si>
  <si>
    <t>2.714</t>
  </si>
  <si>
    <t>3.207</t>
  </si>
  <si>
    <t>0.207</t>
  </si>
  <si>
    <t>0.622</t>
  </si>
  <si>
    <t>0.829</t>
  </si>
  <si>
    <t>8.7%</t>
  </si>
  <si>
    <t>51.76%</t>
  </si>
  <si>
    <t>19.4%</t>
  </si>
  <si>
    <t>1.353</t>
  </si>
  <si>
    <t>1.237</t>
  </si>
  <si>
    <t>2.590</t>
  </si>
  <si>
    <t>1.245</t>
  </si>
  <si>
    <t>2.490</t>
  </si>
  <si>
    <t>2.193</t>
  </si>
  <si>
    <t>1.371</t>
  </si>
  <si>
    <t>3.564</t>
  </si>
  <si>
    <t>0.432</t>
  </si>
  <si>
    <t>0.395</t>
  </si>
  <si>
    <t>0.827</t>
  </si>
  <si>
    <t>13.1%</t>
  </si>
  <si>
    <t>54.00%</t>
  </si>
  <si>
    <t>33.3%</t>
  </si>
  <si>
    <t>1.299</t>
  </si>
  <si>
    <t>1.381</t>
  </si>
  <si>
    <t>2.680</t>
  </si>
  <si>
    <t>1.129</t>
  </si>
  <si>
    <t>1.183</t>
  </si>
  <si>
    <t>2.311</t>
  </si>
  <si>
    <t>2.523</t>
  </si>
  <si>
    <t>5.550</t>
  </si>
  <si>
    <t>0.390</t>
  </si>
  <si>
    <t>0.805</t>
  </si>
  <si>
    <t>12.8%</t>
  </si>
  <si>
    <t>51.94%</t>
  </si>
  <si>
    <t>27.3%</t>
  </si>
  <si>
    <t>1.068</t>
  </si>
  <si>
    <t>1.450</t>
  </si>
  <si>
    <t>2.519</t>
  </si>
  <si>
    <t>0.956</t>
  </si>
  <si>
    <t>1.243</t>
  </si>
  <si>
    <t>2.199</t>
  </si>
  <si>
    <t>1.707</t>
  </si>
  <si>
    <t>2.683</t>
  </si>
  <si>
    <t>4.390</t>
  </si>
  <si>
    <t>0.364</t>
  </si>
  <si>
    <t>0.857</t>
  </si>
  <si>
    <t>10.8%</t>
  </si>
  <si>
    <t>50.61%</t>
  </si>
  <si>
    <t>24.6%</t>
  </si>
  <si>
    <t>1.101</t>
  </si>
  <si>
    <t>1.455</t>
  </si>
  <si>
    <t>2.556</t>
  </si>
  <si>
    <t>1.132</t>
  </si>
  <si>
    <t>2.314</t>
  </si>
  <si>
    <t>1.231</t>
  </si>
  <si>
    <t>3.692</t>
  </si>
  <si>
    <t>4.923</t>
  </si>
  <si>
    <t>0.341</t>
  </si>
  <si>
    <t>0.451</t>
  </si>
  <si>
    <t>0.793</t>
  </si>
  <si>
    <t>13.3%</t>
  </si>
  <si>
    <t>49.15%</t>
  </si>
  <si>
    <t>21.9%</t>
  </si>
  <si>
    <t>1.652</t>
  </si>
  <si>
    <t>1.285</t>
  </si>
  <si>
    <t>2.937</t>
  </si>
  <si>
    <t>1.464</t>
  </si>
  <si>
    <t>1.247</t>
  </si>
  <si>
    <t>2.711</t>
  </si>
  <si>
    <t>2.703</t>
  </si>
  <si>
    <t>1.502</t>
  </si>
  <si>
    <t>4.205</t>
  </si>
  <si>
    <t>0.384</t>
  </si>
  <si>
    <t>0.877</t>
  </si>
  <si>
    <t>17.7%</t>
  </si>
  <si>
    <t>18.8%</t>
  </si>
  <si>
    <t>1.046</t>
  </si>
  <si>
    <t>1.632</t>
  </si>
  <si>
    <t>2.678</t>
  </si>
  <si>
    <t>1.578</t>
  </si>
  <si>
    <t>2.564</t>
  </si>
  <si>
    <t>1.394</t>
  </si>
  <si>
    <t>1.952</t>
  </si>
  <si>
    <t>3.346</t>
  </si>
  <si>
    <t>0.305</t>
  </si>
  <si>
    <t>0.780</t>
  </si>
  <si>
    <t>12.3%</t>
  </si>
  <si>
    <t>23.8%</t>
  </si>
  <si>
    <t>1.584</t>
  </si>
  <si>
    <t>1.113</t>
  </si>
  <si>
    <t>2.697</t>
  </si>
  <si>
    <t>1.475</t>
  </si>
  <si>
    <t>0.885</t>
  </si>
  <si>
    <t>2.339</t>
  </si>
  <si>
    <t>2.673</t>
  </si>
  <si>
    <t>5.011</t>
  </si>
  <si>
    <t>0.468</t>
  </si>
  <si>
    <t>0.329</t>
  </si>
  <si>
    <t>0.797</t>
  </si>
  <si>
    <t>13.2%</t>
  </si>
  <si>
    <t>37.04%</t>
  </si>
  <si>
    <t>33.9%</t>
  </si>
  <si>
    <t>1.415</t>
  </si>
  <si>
    <t>1.092</t>
  </si>
  <si>
    <t>2.507</t>
  </si>
  <si>
    <t>1.150</t>
  </si>
  <si>
    <t>0.836</t>
  </si>
  <si>
    <t>1.986</t>
  </si>
  <si>
    <t>2.886</t>
  </si>
  <si>
    <t>3.175</t>
  </si>
  <si>
    <t>0.427</t>
  </si>
  <si>
    <t>0.756</t>
  </si>
  <si>
    <t>14.6%</t>
  </si>
  <si>
    <t>30.6%</t>
  </si>
  <si>
    <t>1.335</t>
  </si>
  <si>
    <t>1.519</t>
  </si>
  <si>
    <t>1.263</t>
  </si>
  <si>
    <t>1.098</t>
  </si>
  <si>
    <t>2.362</t>
  </si>
  <si>
    <t>1.839</t>
  </si>
  <si>
    <t>3.984</t>
  </si>
  <si>
    <t>5.823</t>
  </si>
  <si>
    <t>12.2%</t>
  </si>
  <si>
    <t>27.9%</t>
  </si>
  <si>
    <t>1.413</t>
  </si>
  <si>
    <t>1.281</t>
  </si>
  <si>
    <t>2.694</t>
  </si>
  <si>
    <t>1.024</t>
  </si>
  <si>
    <t>1.229</t>
  </si>
  <si>
    <t>2.252</t>
  </si>
  <si>
    <t>3.928</t>
  </si>
  <si>
    <t>1.637</t>
  </si>
  <si>
    <t>5.565</t>
  </si>
  <si>
    <t>0.744</t>
  </si>
  <si>
    <t>48.01%</t>
  </si>
  <si>
    <t>42.6%</t>
  </si>
  <si>
    <t>1.198</t>
  </si>
  <si>
    <t>1.612</t>
  </si>
  <si>
    <t>2.810</t>
  </si>
  <si>
    <t>0.732</t>
  </si>
  <si>
    <t>1.239</t>
  </si>
  <si>
    <t>1.970</t>
  </si>
  <si>
    <t>3.310</t>
  </si>
  <si>
    <t>6.620</t>
  </si>
  <si>
    <t>0.351</t>
  </si>
  <si>
    <t>0.473</t>
  </si>
  <si>
    <t>0.824</t>
  </si>
  <si>
    <t>57.14%</t>
  </si>
  <si>
    <t>1.019</t>
  </si>
  <si>
    <t>1.806</t>
  </si>
  <si>
    <t>2.824</t>
  </si>
  <si>
    <t>0.708</t>
  </si>
  <si>
    <t>1.199</t>
  </si>
  <si>
    <t>1.907</t>
  </si>
  <si>
    <t>2.801</t>
  </si>
  <si>
    <t>8.093</t>
  </si>
  <si>
    <t>0.272</t>
  </si>
  <si>
    <t>0.753</t>
  </si>
  <si>
    <t>10.7%</t>
  </si>
  <si>
    <t>40.16%</t>
  </si>
  <si>
    <t>Jakub Vorácek</t>
  </si>
  <si>
    <t>0.767</t>
  </si>
  <si>
    <t>1.572</t>
  </si>
  <si>
    <t>2.338</t>
  </si>
  <si>
    <t>0.710</t>
  </si>
  <si>
    <t>1.089</t>
  </si>
  <si>
    <t>1.799</t>
  </si>
  <si>
    <t>1.017</t>
  </si>
  <si>
    <t>3.660</t>
  </si>
  <si>
    <t>4.677</t>
  </si>
  <si>
    <t>0.244</t>
  </si>
  <si>
    <t>0.500</t>
  </si>
  <si>
    <t>7.9%</t>
  </si>
  <si>
    <t>21.43%</t>
  </si>
  <si>
    <t>34.4%</t>
  </si>
  <si>
    <t>1.946</t>
  </si>
  <si>
    <t>2.827</t>
  </si>
  <si>
    <t>0.819</t>
  </si>
  <si>
    <t>1.365</t>
  </si>
  <si>
    <t>2.184</t>
  </si>
  <si>
    <t>1.316</t>
  </si>
  <si>
    <t>5.593</t>
  </si>
  <si>
    <t>6.909</t>
  </si>
  <si>
    <t>0.247</t>
  </si>
  <si>
    <t>0.545</t>
  </si>
  <si>
    <t>37.84%</t>
  </si>
  <si>
    <t>26.2%</t>
  </si>
  <si>
    <t>0.811</t>
  </si>
  <si>
    <t>1.937</t>
  </si>
  <si>
    <t>2.748</t>
  </si>
  <si>
    <t>1.692</t>
  </si>
  <si>
    <t>2.456</t>
  </si>
  <si>
    <t>3.115</t>
  </si>
  <si>
    <t>4.153</t>
  </si>
  <si>
    <t>0.250</t>
  </si>
  <si>
    <t>0.597</t>
  </si>
  <si>
    <t>0.847</t>
  </si>
  <si>
    <t>9.9%</t>
  </si>
  <si>
    <t>0.544</t>
  </si>
  <si>
    <t>1.826</t>
  </si>
  <si>
    <t>2.370</t>
  </si>
  <si>
    <t>0.435</t>
  </si>
  <si>
    <t>1.355</t>
  </si>
  <si>
    <t>1.790</t>
  </si>
  <si>
    <t>1.001</t>
  </si>
  <si>
    <t>4.753</t>
  </si>
  <si>
    <t>5.754</t>
  </si>
  <si>
    <t>0.171</t>
  </si>
  <si>
    <t>54.63%</t>
  </si>
  <si>
    <t>1.312</t>
  </si>
  <si>
    <t>2.624</t>
  </si>
  <si>
    <t>1.171</t>
  </si>
  <si>
    <t>1.224</t>
  </si>
  <si>
    <t>2.395</t>
  </si>
  <si>
    <t>1.882</t>
  </si>
  <si>
    <t>3.012</t>
  </si>
  <si>
    <t>0.375</t>
  </si>
  <si>
    <t>0.750</t>
  </si>
  <si>
    <t>25.00%</t>
  </si>
  <si>
    <t>23.7%</t>
  </si>
  <si>
    <t>1.725</t>
  </si>
  <si>
    <t>2.544</t>
  </si>
  <si>
    <t>1.422</t>
  </si>
  <si>
    <t>2.206</t>
  </si>
  <si>
    <t>1.086</t>
  </si>
  <si>
    <t>3.983</t>
  </si>
  <si>
    <t>5.069</t>
  </si>
  <si>
    <t>0.232</t>
  </si>
  <si>
    <t>0.720</t>
  </si>
  <si>
    <t>11.2%</t>
  </si>
  <si>
    <t>43.97%</t>
  </si>
  <si>
    <t>2.350</t>
  </si>
  <si>
    <t>0.479</t>
  </si>
  <si>
    <t>1.678</t>
  </si>
  <si>
    <t>2.157</t>
  </si>
  <si>
    <t>1.373</t>
  </si>
  <si>
    <t>2.472</t>
  </si>
  <si>
    <t>3.846</t>
  </si>
  <si>
    <t>0.188</t>
  </si>
  <si>
    <t>0.550</t>
  </si>
  <si>
    <t>0.738</t>
  </si>
  <si>
    <t>46.15%</t>
  </si>
  <si>
    <t>39.0%</t>
  </si>
  <si>
    <t>0.530</t>
  </si>
  <si>
    <t>1.877</t>
  </si>
  <si>
    <t>2.407</t>
  </si>
  <si>
    <t>0.546</t>
  </si>
  <si>
    <t>1.242</t>
  </si>
  <si>
    <t>1.788</t>
  </si>
  <si>
    <t>0.568</t>
  </si>
  <si>
    <t>5.960</t>
  </si>
  <si>
    <t>6.527</t>
  </si>
  <si>
    <t>0.163</t>
  </si>
  <si>
    <t>11.9%</t>
  </si>
  <si>
    <t>47.39%</t>
  </si>
  <si>
    <t>15.5%</t>
  </si>
  <si>
    <t>1.264</t>
  </si>
  <si>
    <t>1.027</t>
  </si>
  <si>
    <t>2.292</t>
  </si>
  <si>
    <t>1.266</t>
  </si>
  <si>
    <t>2.329</t>
  </si>
  <si>
    <t>1.118</t>
  </si>
  <si>
    <t>1.397</t>
  </si>
  <si>
    <t>2.515</t>
  </si>
  <si>
    <t>0.707</t>
  </si>
  <si>
    <t>27.78%</t>
  </si>
  <si>
    <t>1.290</t>
  </si>
  <si>
    <t>2.414</t>
  </si>
  <si>
    <t>0.936</t>
  </si>
  <si>
    <t>1.144</t>
  </si>
  <si>
    <t>2.080</t>
  </si>
  <si>
    <t>1.936</t>
  </si>
  <si>
    <t>2.178</t>
  </si>
  <si>
    <t>4.113</t>
  </si>
  <si>
    <t>51.42%</t>
  </si>
  <si>
    <t>32.8%</t>
  </si>
  <si>
    <t>1.033</t>
  </si>
  <si>
    <t>1.463</t>
  </si>
  <si>
    <t>2.496</t>
  </si>
  <si>
    <t>0.983</t>
  </si>
  <si>
    <t>1.034</t>
  </si>
  <si>
    <t>2.017</t>
  </si>
  <si>
    <t>1.297</t>
  </si>
  <si>
    <t>3.631</t>
  </si>
  <si>
    <t>4.927</t>
  </si>
  <si>
    <t>0.293</t>
  </si>
  <si>
    <t>18.6%</t>
  </si>
  <si>
    <t>48.28%</t>
  </si>
  <si>
    <t>34.5%</t>
  </si>
  <si>
    <t>1.236</t>
  </si>
  <si>
    <t>1.992</t>
  </si>
  <si>
    <t>0.652</t>
  </si>
  <si>
    <t>1.117</t>
  </si>
  <si>
    <t>1.769</t>
  </si>
  <si>
    <t>2.063</t>
  </si>
  <si>
    <t>3.095</t>
  </si>
  <si>
    <t>5.158</t>
  </si>
  <si>
    <t>0.268</t>
  </si>
  <si>
    <t>11.8%</t>
  </si>
  <si>
    <t>57.39%</t>
  </si>
  <si>
    <t>0.868</t>
  </si>
  <si>
    <t>1.530</t>
  </si>
  <si>
    <t>2.398</t>
  </si>
  <si>
    <t>0.773</t>
  </si>
  <si>
    <t>1.340</t>
  </si>
  <si>
    <t>2.113</t>
  </si>
  <si>
    <t>1.863</t>
  </si>
  <si>
    <t>3.415</t>
  </si>
  <si>
    <t>5.278</t>
  </si>
  <si>
    <t>0.292</t>
  </si>
  <si>
    <t>0.514</t>
  </si>
  <si>
    <t>0.806</t>
  </si>
  <si>
    <t>10.6%</t>
  </si>
  <si>
    <t>54.86%</t>
  </si>
  <si>
    <t>CA</t>
  </si>
  <si>
    <t>US</t>
  </si>
  <si>
    <t>SE</t>
  </si>
  <si>
    <t>RU</t>
  </si>
  <si>
    <t>DE</t>
  </si>
  <si>
    <t>CZ</t>
  </si>
  <si>
    <t>FI</t>
  </si>
  <si>
    <t>DK</t>
  </si>
  <si>
    <t>NO</t>
  </si>
  <si>
    <t>Joshua Bailey</t>
  </si>
  <si>
    <t>David Krejcí</t>
  </si>
  <si>
    <t>CH</t>
  </si>
  <si>
    <t>SI</t>
  </si>
  <si>
    <t>1.570</t>
  </si>
  <si>
    <t>2.277</t>
  </si>
  <si>
    <t>0.798</t>
  </si>
  <si>
    <t>0.997</t>
  </si>
  <si>
    <t>1.795</t>
  </si>
  <si>
    <t>0.670</t>
  </si>
  <si>
    <t>6.031</t>
  </si>
  <si>
    <t>6.701</t>
  </si>
  <si>
    <t>0.225</t>
  </si>
  <si>
    <t>0.725</t>
  </si>
  <si>
    <t>55.21%</t>
  </si>
  <si>
    <t>53.4%</t>
  </si>
  <si>
    <t>0.535</t>
  </si>
  <si>
    <t>1.682</t>
  </si>
  <si>
    <t>2.218</t>
  </si>
  <si>
    <t>0.436</t>
  </si>
  <si>
    <t>1.260</t>
  </si>
  <si>
    <t>0.977</t>
  </si>
  <si>
    <t>5.082</t>
  </si>
  <si>
    <t>6.059</t>
  </si>
  <si>
    <t>0.537</t>
  </si>
  <si>
    <t>7.0%</t>
  </si>
  <si>
    <t>55.89%</t>
  </si>
  <si>
    <t>1.213</t>
  </si>
  <si>
    <t>1.553</t>
  </si>
  <si>
    <t>2.766</t>
  </si>
  <si>
    <t>0.952</t>
  </si>
  <si>
    <t>1.456</t>
  </si>
  <si>
    <t>2.409</t>
  </si>
  <si>
    <t>2.908</t>
  </si>
  <si>
    <t>2.181</t>
  </si>
  <si>
    <t>5.089</t>
  </si>
  <si>
    <t>0.695</t>
  </si>
  <si>
    <t>13.4%</t>
  </si>
  <si>
    <t>42.1%</t>
  </si>
  <si>
    <t>1.185</t>
  </si>
  <si>
    <t>1.629</t>
  </si>
  <si>
    <t>2.815</t>
  </si>
  <si>
    <t>0.825</t>
  </si>
  <si>
    <t>1.119</t>
  </si>
  <si>
    <t>1.944</t>
  </si>
  <si>
    <t>3.298</t>
  </si>
  <si>
    <t>4.617</t>
  </si>
  <si>
    <t>7.914</t>
  </si>
  <si>
    <t>0.393</t>
  </si>
  <si>
    <t>0.934</t>
  </si>
  <si>
    <t>38.94%</t>
  </si>
  <si>
    <t>23.2%</t>
  </si>
  <si>
    <t>1.631</t>
  </si>
  <si>
    <t>1.137</t>
  </si>
  <si>
    <t>2.768</t>
  </si>
  <si>
    <t>1.580</t>
  </si>
  <si>
    <t>0.948</t>
  </si>
  <si>
    <t>2.529</t>
  </si>
  <si>
    <t>2.129</t>
  </si>
  <si>
    <t>1.825</t>
  </si>
  <si>
    <t>3.954</t>
  </si>
  <si>
    <t>0.485</t>
  </si>
  <si>
    <t>23.1%</t>
  </si>
  <si>
    <t>48.33%</t>
  </si>
  <si>
    <t>1.520</t>
  </si>
  <si>
    <t>1.500</t>
  </si>
  <si>
    <t>1.008</t>
  </si>
  <si>
    <t>2.520</t>
  </si>
  <si>
    <t>3.528</t>
  </si>
  <si>
    <t>16.7%</t>
  </si>
  <si>
    <t>43.82%</t>
  </si>
  <si>
    <t>16.1%</t>
  </si>
  <si>
    <t>0.788</t>
  </si>
  <si>
    <t>1.664</t>
  </si>
  <si>
    <t>2.452</t>
  </si>
  <si>
    <t>0.721</t>
  </si>
  <si>
    <t>1.698</t>
  </si>
  <si>
    <t>2.419</t>
  </si>
  <si>
    <t>3.085</t>
  </si>
  <si>
    <t>0.220</t>
  </si>
  <si>
    <t>0.463</t>
  </si>
  <si>
    <t>11.3%</t>
  </si>
  <si>
    <t>45.97%</t>
  </si>
  <si>
    <t>21.4%</t>
  </si>
  <si>
    <t>0.518</t>
  </si>
  <si>
    <t>1.713</t>
  </si>
  <si>
    <t>2.230</t>
  </si>
  <si>
    <t>0.486</t>
  </si>
  <si>
    <t>0.774</t>
  </si>
  <si>
    <t>2.322</t>
  </si>
  <si>
    <t>3.096</t>
  </si>
  <si>
    <t>0.159</t>
  </si>
  <si>
    <t>7.5%</t>
  </si>
  <si>
    <t>53.33%</t>
  </si>
  <si>
    <t>48.2%</t>
  </si>
  <si>
    <t>0.489</t>
  </si>
  <si>
    <t>1.618</t>
  </si>
  <si>
    <t>2.108</t>
  </si>
  <si>
    <t>0.228</t>
  </si>
  <si>
    <t>1.096</t>
  </si>
  <si>
    <t>1.324</t>
  </si>
  <si>
    <t>1.880</t>
  </si>
  <si>
    <t>4.465</t>
  </si>
  <si>
    <t>6.345</t>
  </si>
  <si>
    <t>0.538</t>
  </si>
  <si>
    <t>0.700</t>
  </si>
  <si>
    <t>8.1%</t>
  </si>
  <si>
    <t>30.9%</t>
  </si>
  <si>
    <t>1.065</t>
  </si>
  <si>
    <t>1.104</t>
  </si>
  <si>
    <t>1.018</t>
  </si>
  <si>
    <t>1.842</t>
  </si>
  <si>
    <t>1.581</t>
  </si>
  <si>
    <t>4.481</t>
  </si>
  <si>
    <t>0.346</t>
  </si>
  <si>
    <t>0.359</t>
  </si>
  <si>
    <t>0.705</t>
  </si>
  <si>
    <t>53.06%</t>
  </si>
  <si>
    <t>50.9%</t>
  </si>
  <si>
    <t>1.066</t>
  </si>
  <si>
    <t>1.279</t>
  </si>
  <si>
    <t>2.345</t>
  </si>
  <si>
    <t>0.433</t>
  </si>
  <si>
    <t>1.028</t>
  </si>
  <si>
    <t>1.460</t>
  </si>
  <si>
    <t>3.443</t>
  </si>
  <si>
    <t>2.228</t>
  </si>
  <si>
    <t>5.672</t>
  </si>
  <si>
    <t>0.316</t>
  </si>
  <si>
    <t>0.380</t>
  </si>
  <si>
    <t>0.696</t>
  </si>
  <si>
    <t>14.0%</t>
  </si>
  <si>
    <t>46.96%</t>
  </si>
  <si>
    <t>1.535</t>
  </si>
  <si>
    <t>2.412</t>
  </si>
  <si>
    <t>0.850</t>
  </si>
  <si>
    <t>1.275</t>
  </si>
  <si>
    <t>2.126</t>
  </si>
  <si>
    <t>3.018</t>
  </si>
  <si>
    <t>4.116</t>
  </si>
  <si>
    <t>0.679</t>
  </si>
  <si>
    <t>36.17%</t>
  </si>
  <si>
    <t>43.6%</t>
  </si>
  <si>
    <t>0.777</t>
  </si>
  <si>
    <t>1.359</t>
  </si>
  <si>
    <t>0.565</t>
  </si>
  <si>
    <t>0.925</t>
  </si>
  <si>
    <t>1.490</t>
  </si>
  <si>
    <t>2.302</t>
  </si>
  <si>
    <t>4.605</t>
  </si>
  <si>
    <t>6.907</t>
  </si>
  <si>
    <t>0.278</t>
  </si>
  <si>
    <t>58.01%</t>
  </si>
  <si>
    <t>16.4%</t>
  </si>
  <si>
    <t>1.465</t>
  </si>
  <si>
    <t>2.238</t>
  </si>
  <si>
    <t>2.331</t>
  </si>
  <si>
    <t>0.876</t>
  </si>
  <si>
    <t>2.629</t>
  </si>
  <si>
    <t>0.462</t>
  </si>
  <si>
    <t>47.86%</t>
  </si>
  <si>
    <t>32.7%</t>
  </si>
  <si>
    <t>0.844</t>
  </si>
  <si>
    <t>1.734</t>
  </si>
  <si>
    <t>2.578</t>
  </si>
  <si>
    <t>0.609</t>
  </si>
  <si>
    <t>1.439</t>
  </si>
  <si>
    <t>2.047</t>
  </si>
  <si>
    <t>2.245</t>
  </si>
  <si>
    <t>5.773</t>
  </si>
  <si>
    <t>0.231</t>
  </si>
  <si>
    <t>0.474</t>
  </si>
  <si>
    <t>12.4%</t>
  </si>
  <si>
    <t>56.62%</t>
  </si>
  <si>
    <t>0.677</t>
  </si>
  <si>
    <t>2.191</t>
  </si>
  <si>
    <t>0.605</t>
  </si>
  <si>
    <t>1.210</t>
  </si>
  <si>
    <t>1.816</t>
  </si>
  <si>
    <t>1.167</t>
  </si>
  <si>
    <t>4.084</t>
  </si>
  <si>
    <t>5.250</t>
  </si>
  <si>
    <t>0.210</t>
  </si>
  <si>
    <t>47.04%</t>
  </si>
  <si>
    <t>46.3%</t>
  </si>
  <si>
    <t>1.197</t>
  </si>
  <si>
    <t>0.888</t>
  </si>
  <si>
    <t>2.086</t>
  </si>
  <si>
    <t>0.694</t>
  </si>
  <si>
    <t>0.747</t>
  </si>
  <si>
    <t>1.440</t>
  </si>
  <si>
    <t>3.152</t>
  </si>
  <si>
    <t>1.773</t>
  </si>
  <si>
    <t>4.926</t>
  </si>
  <si>
    <t>0.659</t>
  </si>
  <si>
    <t>13.8%</t>
  </si>
  <si>
    <t>47.06%</t>
  </si>
  <si>
    <t>25.9%</t>
  </si>
  <si>
    <t>2.168</t>
  </si>
  <si>
    <t>1.200</t>
  </si>
  <si>
    <t>1.920</t>
  </si>
  <si>
    <t>2.341</t>
  </si>
  <si>
    <t>1.755</t>
  </si>
  <si>
    <t>4.096</t>
  </si>
  <si>
    <t>51.56%</t>
  </si>
  <si>
    <t>22.2%</t>
  </si>
  <si>
    <t>0.809</t>
  </si>
  <si>
    <t>1.091</t>
  </si>
  <si>
    <t>1.900</t>
  </si>
  <si>
    <t>0.907</t>
  </si>
  <si>
    <t>1.859</t>
  </si>
  <si>
    <t>0.540</t>
  </si>
  <si>
    <t>2.701</t>
  </si>
  <si>
    <t>3.241</t>
  </si>
  <si>
    <t>50.15%</t>
  </si>
  <si>
    <t>2.458</t>
  </si>
  <si>
    <t>1.314</t>
  </si>
  <si>
    <t>2.190</t>
  </si>
  <si>
    <t>1.649</t>
  </si>
  <si>
    <t>2.198</t>
  </si>
  <si>
    <t>3.847</t>
  </si>
  <si>
    <t>0.310</t>
  </si>
  <si>
    <t>0.761</t>
  </si>
  <si>
    <t>40.00%</t>
  </si>
  <si>
    <t>29.6%</t>
  </si>
  <si>
    <t>0.778</t>
  </si>
  <si>
    <t>1.555</t>
  </si>
  <si>
    <t>2.333</t>
  </si>
  <si>
    <t>0.615</t>
  </si>
  <si>
    <t>1.332</t>
  </si>
  <si>
    <t>1.947</t>
  </si>
  <si>
    <t>2.797</t>
  </si>
  <si>
    <t>4.476</t>
  </si>
  <si>
    <t>0.237</t>
  </si>
  <si>
    <t>0.711</t>
  </si>
  <si>
    <t>24.5%</t>
  </si>
  <si>
    <t>1.317</t>
  </si>
  <si>
    <t>1.176</t>
  </si>
  <si>
    <t>2.493</t>
  </si>
  <si>
    <t>2.225</t>
  </si>
  <si>
    <t>1.849</t>
  </si>
  <si>
    <t>4.005</t>
  </si>
  <si>
    <t>0.373</t>
  </si>
  <si>
    <t>0.333</t>
  </si>
  <si>
    <t>15.1%</t>
  </si>
  <si>
    <t>55.56%</t>
  </si>
  <si>
    <t>35.8%</t>
  </si>
  <si>
    <t>2.291</t>
  </si>
  <si>
    <t>0.926</t>
  </si>
  <si>
    <t>0.871</t>
  </si>
  <si>
    <t>1.797</t>
  </si>
  <si>
    <t>2.276</t>
  </si>
  <si>
    <t>3.129</t>
  </si>
  <si>
    <t>5.405</t>
  </si>
  <si>
    <t>0.325</t>
  </si>
  <si>
    <t>0.663</t>
  </si>
  <si>
    <t>13.5%</t>
  </si>
  <si>
    <t>41.38%</t>
  </si>
  <si>
    <t>5.7%</t>
  </si>
  <si>
    <t>1.246</t>
  </si>
  <si>
    <t>1.126</t>
  </si>
  <si>
    <t>1.321</t>
  </si>
  <si>
    <t>2.447</t>
  </si>
  <si>
    <t>0.465</t>
  </si>
  <si>
    <t>0.930</t>
  </si>
  <si>
    <t>1.395</t>
  </si>
  <si>
    <t>0.646</t>
  </si>
  <si>
    <t>11.4%</t>
  </si>
  <si>
    <t>44.44%</t>
  </si>
  <si>
    <t>9.4%</t>
  </si>
  <si>
    <t>1.419</t>
  </si>
  <si>
    <t>1.851</t>
  </si>
  <si>
    <t>3.271</t>
  </si>
  <si>
    <t>1.461</t>
  </si>
  <si>
    <t>1.878</t>
  </si>
  <si>
    <t>3.339</t>
  </si>
  <si>
    <t>1.102</t>
  </si>
  <si>
    <t>1.653</t>
  </si>
  <si>
    <t>2.755</t>
  </si>
  <si>
    <t>0.377</t>
  </si>
  <si>
    <t>0.492</t>
  </si>
  <si>
    <t>0.869</t>
  </si>
  <si>
    <t>14.9%</t>
  </si>
  <si>
    <t>30.2%</t>
  </si>
  <si>
    <t>1.305</t>
  </si>
  <si>
    <t>2.231</t>
  </si>
  <si>
    <t>0.835</t>
  </si>
  <si>
    <t>1.057</t>
  </si>
  <si>
    <t>1.892</t>
  </si>
  <si>
    <t>2.535</t>
  </si>
  <si>
    <t>3.259</t>
  </si>
  <si>
    <t>5.794</t>
  </si>
  <si>
    <t>0.383</t>
  </si>
  <si>
    <t>0.654</t>
  </si>
  <si>
    <t>48.07%</t>
  </si>
  <si>
    <t>32.1%</t>
  </si>
  <si>
    <t>0.821</t>
  </si>
  <si>
    <t>1.251</t>
  </si>
  <si>
    <t>2.072</t>
  </si>
  <si>
    <t>0.691</t>
  </si>
  <si>
    <t>1.064</t>
  </si>
  <si>
    <t>2.057</t>
  </si>
  <si>
    <t>4.371</t>
  </si>
  <si>
    <t>0.266</t>
  </si>
  <si>
    <t>60.07%</t>
  </si>
  <si>
    <t>49.1%</t>
  </si>
  <si>
    <t>0.975</t>
  </si>
  <si>
    <t>2.461</t>
  </si>
  <si>
    <t>0.675</t>
  </si>
  <si>
    <t>0.843</t>
  </si>
  <si>
    <t>1.518</t>
  </si>
  <si>
    <t>2.405</t>
  </si>
  <si>
    <t>4.543</t>
  </si>
  <si>
    <t>6.948</t>
  </si>
  <si>
    <t>0.288</t>
  </si>
  <si>
    <t>0.438</t>
  </si>
  <si>
    <t>0.726</t>
  </si>
  <si>
    <t>11.5%</t>
  </si>
  <si>
    <t>43.44%</t>
  </si>
  <si>
    <t>28.3%</t>
  </si>
  <si>
    <t>0.863</t>
  </si>
  <si>
    <t>1.424</t>
  </si>
  <si>
    <t>2.287</t>
  </si>
  <si>
    <t>0.665</t>
  </si>
  <si>
    <t>1.945</t>
  </si>
  <si>
    <t>2.112</t>
  </si>
  <si>
    <t>2.413</t>
  </si>
  <si>
    <t>4.525</t>
  </si>
  <si>
    <t>0.458</t>
  </si>
  <si>
    <t>0.736</t>
  </si>
  <si>
    <t>8.4%</t>
  </si>
  <si>
    <t>0.785</t>
  </si>
  <si>
    <t>1.404</t>
  </si>
  <si>
    <t>2.189</t>
  </si>
  <si>
    <t>0.938</t>
  </si>
  <si>
    <t>1.630</t>
  </si>
  <si>
    <t>1.282</t>
  </si>
  <si>
    <t>3.845</t>
  </si>
  <si>
    <t>5.126</t>
  </si>
  <si>
    <t>8.8%</t>
  </si>
  <si>
    <t>35.00%</t>
  </si>
  <si>
    <t>26.4%</t>
  </si>
  <si>
    <t>1.358</t>
  </si>
  <si>
    <t>0.570</t>
  </si>
  <si>
    <t>1.756</t>
  </si>
  <si>
    <t>0.526</t>
  </si>
  <si>
    <t>3.154</t>
  </si>
  <si>
    <t>3.680</t>
  </si>
  <si>
    <t>0.195</t>
  </si>
  <si>
    <t>6.4%</t>
  </si>
  <si>
    <t>50.56%</t>
  </si>
  <si>
    <t>0.176</t>
  </si>
  <si>
    <t>1.376</t>
  </si>
  <si>
    <t>1.552</t>
  </si>
  <si>
    <t>0.150</t>
  </si>
  <si>
    <t>3.081</t>
  </si>
  <si>
    <t>3.555</t>
  </si>
  <si>
    <t>0.075</t>
  </si>
  <si>
    <t>0.588</t>
  </si>
  <si>
    <t>3.3%</t>
  </si>
  <si>
    <t>26.9%</t>
  </si>
  <si>
    <t>0.855</t>
  </si>
  <si>
    <t>2.471</t>
  </si>
  <si>
    <t>1.416</t>
  </si>
  <si>
    <t>2.152</t>
  </si>
  <si>
    <t>2.687</t>
  </si>
  <si>
    <t>1.493</t>
  </si>
  <si>
    <t>4.179</t>
  </si>
  <si>
    <t>0.420</t>
  </si>
  <si>
    <t>0.222</t>
  </si>
  <si>
    <t>0.642</t>
  </si>
  <si>
    <t>17.8%</t>
  </si>
  <si>
    <t>38.89%</t>
  </si>
  <si>
    <t>28.8%</t>
  </si>
  <si>
    <t>2.427</t>
  </si>
  <si>
    <t>0.848</t>
  </si>
  <si>
    <t>2.180</t>
  </si>
  <si>
    <t>2.993</t>
  </si>
  <si>
    <t>1.088</t>
  </si>
  <si>
    <t>4.081</t>
  </si>
  <si>
    <t>0.342</t>
  </si>
  <si>
    <t>0.370</t>
  </si>
  <si>
    <t>0.712</t>
  </si>
  <si>
    <t>14.4%</t>
  </si>
  <si>
    <t>39.44%</t>
  </si>
  <si>
    <t>1.574</t>
  </si>
  <si>
    <t>2.640</t>
  </si>
  <si>
    <t>1.289</t>
  </si>
  <si>
    <t>2.450</t>
  </si>
  <si>
    <t>3.727</t>
  </si>
  <si>
    <t>4.744</t>
  </si>
  <si>
    <t>0.344</t>
  </si>
  <si>
    <t>0.508</t>
  </si>
  <si>
    <t>14.8%</t>
  </si>
  <si>
    <t>46.53%</t>
  </si>
  <si>
    <t>19.2%</t>
  </si>
  <si>
    <t>0.822</t>
  </si>
  <si>
    <t>2.079</t>
  </si>
  <si>
    <t>1.142</t>
  </si>
  <si>
    <t>2.664</t>
  </si>
  <si>
    <t>3.806</t>
  </si>
  <si>
    <t>12.7%</t>
  </si>
  <si>
    <t>50.47%</t>
  </si>
  <si>
    <t>2.176</t>
  </si>
  <si>
    <t>0.656</t>
  </si>
  <si>
    <t>1.367</t>
  </si>
  <si>
    <t>2.024</t>
  </si>
  <si>
    <t>1.438</t>
  </si>
  <si>
    <t>2.877</t>
  </si>
  <si>
    <t>4.315</t>
  </si>
  <si>
    <t>0.227</t>
  </si>
  <si>
    <t>0.467</t>
  </si>
  <si>
    <t>0.693</t>
  </si>
  <si>
    <t>26.47%</t>
  </si>
  <si>
    <t>0.355</t>
  </si>
  <si>
    <t>0.413</t>
  </si>
  <si>
    <t>0.826</t>
  </si>
  <si>
    <t>1.240</t>
  </si>
  <si>
    <t>0.226</t>
  </si>
  <si>
    <t>3.163</t>
  </si>
  <si>
    <t>0.650</t>
  </si>
  <si>
    <t>5.4%</t>
  </si>
  <si>
    <t>36.5%</t>
  </si>
  <si>
    <t>0.457</t>
  </si>
  <si>
    <t>1.522</t>
  </si>
  <si>
    <t>1.979</t>
  </si>
  <si>
    <t>0.349</t>
  </si>
  <si>
    <t>4.995</t>
  </si>
  <si>
    <t>0.158</t>
  </si>
  <si>
    <t>0.684</t>
  </si>
  <si>
    <t>8.0%</t>
  </si>
  <si>
    <t>52.69%</t>
  </si>
  <si>
    <t>23.5%</t>
  </si>
  <si>
    <t>1.605</t>
  </si>
  <si>
    <t>0.875</t>
  </si>
  <si>
    <t>2.480</t>
  </si>
  <si>
    <t>1.565</t>
  </si>
  <si>
    <t>1.897</t>
  </si>
  <si>
    <t>2.655</t>
  </si>
  <si>
    <t>4.552</t>
  </si>
  <si>
    <t>0.254</t>
  </si>
  <si>
    <t>0.718</t>
  </si>
  <si>
    <t>42.18%</t>
  </si>
  <si>
    <t>35.3%</t>
  </si>
  <si>
    <t>1.481</t>
  </si>
  <si>
    <t>0.879</t>
  </si>
  <si>
    <t>2.360</t>
  </si>
  <si>
    <t>0.799</t>
  </si>
  <si>
    <t>1.884</t>
  </si>
  <si>
    <t>3.361</t>
  </si>
  <si>
    <t>1.293</t>
  </si>
  <si>
    <t>4.654</t>
  </si>
  <si>
    <t>0.241</t>
  </si>
  <si>
    <t>15.3%</t>
  </si>
  <si>
    <t>1.418</t>
  </si>
  <si>
    <t>0.993</t>
  </si>
  <si>
    <t>0.620</t>
  </si>
  <si>
    <t>1.860</t>
  </si>
  <si>
    <t>2.950</t>
  </si>
  <si>
    <t>5.311</t>
  </si>
  <si>
    <t>0.400</t>
  </si>
  <si>
    <t>0.680</t>
  </si>
  <si>
    <t>45.19%</t>
  </si>
  <si>
    <t>41.2%</t>
  </si>
  <si>
    <t>1.071</t>
  </si>
  <si>
    <t>1.030</t>
  </si>
  <si>
    <t>2.101</t>
  </si>
  <si>
    <t>0.752</t>
  </si>
  <si>
    <t>1.503</t>
  </si>
  <si>
    <t>3.110</t>
  </si>
  <si>
    <t>5.937</t>
  </si>
  <si>
    <t>14.1%</t>
  </si>
  <si>
    <t>46.07%</t>
  </si>
  <si>
    <t>27.5%</t>
  </si>
  <si>
    <t>0.872</t>
  </si>
  <si>
    <t>0.807</t>
  </si>
  <si>
    <t>1.059</t>
  </si>
  <si>
    <t>1.865</t>
  </si>
  <si>
    <t>3.289</t>
  </si>
  <si>
    <t>4.604</t>
  </si>
  <si>
    <t>31.4%</t>
  </si>
  <si>
    <t>1.431</t>
  </si>
  <si>
    <t>1.196</t>
  </si>
  <si>
    <t>1.903</t>
  </si>
  <si>
    <t>0.812</t>
  </si>
  <si>
    <t>4.332</t>
  </si>
  <si>
    <t>0.211</t>
  </si>
  <si>
    <t>0.461</t>
  </si>
  <si>
    <t>13.7%</t>
  </si>
  <si>
    <t>40.89%</t>
  </si>
  <si>
    <t>39.2%</t>
  </si>
  <si>
    <t>1.467</t>
  </si>
  <si>
    <t>0.961</t>
  </si>
  <si>
    <t>1.354</t>
  </si>
  <si>
    <t>0.834</t>
  </si>
  <si>
    <t>4.727</t>
  </si>
  <si>
    <t>5.562</t>
  </si>
  <si>
    <t>0.154</t>
  </si>
  <si>
    <t>49.0%</t>
  </si>
  <si>
    <t>0.274</t>
  </si>
  <si>
    <t>1.749</t>
  </si>
  <si>
    <t>0.083</t>
  </si>
  <si>
    <t>0.990</t>
  </si>
  <si>
    <t>1.073</t>
  </si>
  <si>
    <t>1.360</t>
  </si>
  <si>
    <t>4.306</t>
  </si>
  <si>
    <t>5.666</t>
  </si>
  <si>
    <t>0.099</t>
  </si>
  <si>
    <t>0.630</t>
  </si>
  <si>
    <t>3.9%</t>
  </si>
  <si>
    <t>50.0%</t>
  </si>
  <si>
    <t>0.981</t>
  </si>
  <si>
    <t>1.151</t>
  </si>
  <si>
    <t>2.132</t>
  </si>
  <si>
    <t>1.268</t>
  </si>
  <si>
    <t>3.232</t>
  </si>
  <si>
    <t>3.501</t>
  </si>
  <si>
    <t>6.733</t>
  </si>
  <si>
    <t>0.610</t>
  </si>
  <si>
    <t>36.0%</t>
  </si>
  <si>
    <t>0.972</t>
  </si>
  <si>
    <t>1.728</t>
  </si>
  <si>
    <t>0.657</t>
  </si>
  <si>
    <t>1.445</t>
  </si>
  <si>
    <t>2.102</t>
  </si>
  <si>
    <t>2.442</t>
  </si>
  <si>
    <t>3.053</t>
  </si>
  <si>
    <t>5.495</t>
  </si>
  <si>
    <t>0.617</t>
  </si>
  <si>
    <t>10.1%</t>
  </si>
  <si>
    <t>47.53%</t>
  </si>
  <si>
    <t>30.0%</t>
  </si>
  <si>
    <t>0.576</t>
  </si>
  <si>
    <t>1.345</t>
  </si>
  <si>
    <t>1.921</t>
  </si>
  <si>
    <t>0.644</t>
  </si>
  <si>
    <t>0.967</t>
  </si>
  <si>
    <t>1.611</t>
  </si>
  <si>
    <t>0.245</t>
  </si>
  <si>
    <t>3.429</t>
  </si>
  <si>
    <t>3.674</t>
  </si>
  <si>
    <t>0.183</t>
  </si>
  <si>
    <t>15.2%</t>
  </si>
  <si>
    <t>49.04%</t>
  </si>
  <si>
    <t>1.910</t>
  </si>
  <si>
    <t>2.728</t>
  </si>
  <si>
    <t>1.201</t>
  </si>
  <si>
    <t>2.002</t>
  </si>
  <si>
    <t>0.660</t>
  </si>
  <si>
    <t>5.612</t>
  </si>
  <si>
    <t>6.272</t>
  </si>
  <si>
    <t>0.515</t>
  </si>
  <si>
    <t>0.735</t>
  </si>
  <si>
    <t>52.21%</t>
  </si>
  <si>
    <t>28.0%</t>
  </si>
  <si>
    <t>1.392</t>
  </si>
  <si>
    <t>1.074</t>
  </si>
  <si>
    <t>1.567</t>
  </si>
  <si>
    <t>3.923</t>
  </si>
  <si>
    <t>4.577</t>
  </si>
  <si>
    <t>0.160</t>
  </si>
  <si>
    <t>5.9%</t>
  </si>
  <si>
    <t>0.399</t>
  </si>
  <si>
    <t>1.662</t>
  </si>
  <si>
    <t>1.929</t>
  </si>
  <si>
    <t>3.307</t>
  </si>
  <si>
    <t>5.235</t>
  </si>
  <si>
    <t>0.167</t>
  </si>
  <si>
    <t>0.528</t>
  </si>
  <si>
    <t>5.5%</t>
  </si>
  <si>
    <t>0.294</t>
  </si>
  <si>
    <t>1.808</t>
  </si>
  <si>
    <t>2.103</t>
  </si>
  <si>
    <t>0.312</t>
  </si>
  <si>
    <t>1.301</t>
  </si>
  <si>
    <t>1.613</t>
  </si>
  <si>
    <t>0.229</t>
  </si>
  <si>
    <t>4.130</t>
  </si>
  <si>
    <t>4.359</t>
  </si>
  <si>
    <t>0.089</t>
  </si>
  <si>
    <t>50.88%</t>
  </si>
  <si>
    <t>34.7%</t>
  </si>
  <si>
    <t>1.090</t>
  </si>
  <si>
    <t>0.867</t>
  </si>
  <si>
    <t>1.980</t>
  </si>
  <si>
    <t>3.629</t>
  </si>
  <si>
    <t>5.609</t>
  </si>
  <si>
    <t>0.598</t>
  </si>
  <si>
    <t>48.57%</t>
  </si>
  <si>
    <t>18.4%</t>
  </si>
  <si>
    <t>2.013</t>
  </si>
  <si>
    <t>1.990</t>
  </si>
  <si>
    <t>1.561</t>
  </si>
  <si>
    <t>3.513</t>
  </si>
  <si>
    <t>0.291</t>
  </si>
  <si>
    <t>14.29%</t>
  </si>
  <si>
    <t>0.810</t>
  </si>
  <si>
    <t>1.525</t>
  </si>
  <si>
    <t>2.335</t>
  </si>
  <si>
    <t>0.866</t>
  </si>
  <si>
    <t>1.154</t>
  </si>
  <si>
    <t>2.020</t>
  </si>
  <si>
    <t>3.243</t>
  </si>
  <si>
    <t>3.783</t>
  </si>
  <si>
    <t>0.224</t>
  </si>
  <si>
    <t>0.421</t>
  </si>
  <si>
    <t>0.645</t>
  </si>
  <si>
    <t>45.66%</t>
  </si>
  <si>
    <t>0.417</t>
  </si>
  <si>
    <t>1.155</t>
  </si>
  <si>
    <t>1.573</t>
  </si>
  <si>
    <t>0.864</t>
  </si>
  <si>
    <t>1.202</t>
  </si>
  <si>
    <t>0.946</t>
  </si>
  <si>
    <t>3.073</t>
  </si>
  <si>
    <t>4.019</t>
  </si>
  <si>
    <t>0.450</t>
  </si>
  <si>
    <t>0.613</t>
  </si>
  <si>
    <t>100.00%</t>
  </si>
  <si>
    <t>20.8%</t>
  </si>
  <si>
    <t>1.164</t>
  </si>
  <si>
    <t>1.095</t>
  </si>
  <si>
    <t>3.624</t>
  </si>
  <si>
    <t>0.300</t>
  </si>
  <si>
    <t>54.70%</t>
  </si>
  <si>
    <t>27.1%</t>
  </si>
  <si>
    <t>1.040</t>
  </si>
  <si>
    <t>1.896</t>
  </si>
  <si>
    <t>2.936</t>
  </si>
  <si>
    <t>0.904</t>
  </si>
  <si>
    <t>1.733</t>
  </si>
  <si>
    <t>2.637</t>
  </si>
  <si>
    <t>1.643</t>
  </si>
  <si>
    <t>4.272</t>
  </si>
  <si>
    <t>0.456</t>
  </si>
  <si>
    <t>0.706</t>
  </si>
  <si>
    <t>39.6%</t>
  </si>
  <si>
    <t>1.009</t>
  </si>
  <si>
    <t>0.303</t>
  </si>
  <si>
    <t>0.795</t>
  </si>
  <si>
    <t>1.836</t>
  </si>
  <si>
    <t>3.977</t>
  </si>
  <si>
    <t>0.175</t>
  </si>
  <si>
    <t>0.425</t>
  </si>
  <si>
    <t>7.7%</t>
  </si>
  <si>
    <t>2.585</t>
  </si>
  <si>
    <t>0.626</t>
  </si>
  <si>
    <t>1.564</t>
  </si>
  <si>
    <t>3.904</t>
  </si>
  <si>
    <t>5.075</t>
  </si>
  <si>
    <t>0.632</t>
  </si>
  <si>
    <t>9.2%</t>
  </si>
  <si>
    <t>34.78%</t>
  </si>
  <si>
    <t>2.175</t>
  </si>
  <si>
    <t>0.542</t>
  </si>
  <si>
    <t>0.560</t>
  </si>
  <si>
    <t>1.961</t>
  </si>
  <si>
    <t>2.522</t>
  </si>
  <si>
    <t>7.3%</t>
  </si>
  <si>
    <t>80.00%</t>
  </si>
  <si>
    <t>2.1%</t>
  </si>
  <si>
    <t>1.093</t>
  </si>
  <si>
    <t>1.107</t>
  </si>
  <si>
    <t>1.318</t>
  </si>
  <si>
    <t>2.920</t>
  </si>
  <si>
    <t>0.000</t>
  </si>
  <si>
    <t>0.595</t>
  </si>
  <si>
    <t>25.5%</t>
  </si>
  <si>
    <t>1.216</t>
  </si>
  <si>
    <t>1.506</t>
  </si>
  <si>
    <t>2.722</t>
  </si>
  <si>
    <t>1.078</t>
  </si>
  <si>
    <t>2.516</t>
  </si>
  <si>
    <t>2.700</t>
  </si>
  <si>
    <t>5.399</t>
  </si>
  <si>
    <t>0.356</t>
  </si>
  <si>
    <t>0.441</t>
  </si>
  <si>
    <t>55.61%</t>
  </si>
  <si>
    <t>36.2%</t>
  </si>
  <si>
    <t>1.323</t>
  </si>
  <si>
    <t>2.073</t>
  </si>
  <si>
    <t>1.174</t>
  </si>
  <si>
    <t>1.600</t>
  </si>
  <si>
    <t>4.406</t>
  </si>
  <si>
    <t>0.215</t>
  </si>
  <si>
    <t>40.95%</t>
  </si>
  <si>
    <t>0.703</t>
  </si>
  <si>
    <t>1.838</t>
  </si>
  <si>
    <t>2.540</t>
  </si>
  <si>
    <t>0.820</t>
  </si>
  <si>
    <t>1.703</t>
  </si>
  <si>
    <t>4.758</t>
  </si>
  <si>
    <t>0.603</t>
  </si>
  <si>
    <t>7.4%</t>
  </si>
  <si>
    <t>Zachary Werenski</t>
  </si>
  <si>
    <t>44.7%</t>
  </si>
  <si>
    <t>1.325</t>
  </si>
  <si>
    <t>0.842</t>
  </si>
  <si>
    <t>1.152</t>
  </si>
  <si>
    <t>4.688</t>
  </si>
  <si>
    <t>5.791</t>
  </si>
  <si>
    <t>0.141</t>
  </si>
  <si>
    <t>34.8%</t>
  </si>
  <si>
    <t>1.962</t>
  </si>
  <si>
    <t>0.525</t>
  </si>
  <si>
    <t>2.202</t>
  </si>
  <si>
    <t>3.914</t>
  </si>
  <si>
    <t>53.49%</t>
  </si>
  <si>
    <t>17.4%</t>
  </si>
  <si>
    <t>0.890</t>
  </si>
  <si>
    <t>1.948</t>
  </si>
  <si>
    <t>0.985</t>
  </si>
  <si>
    <t>0.887</t>
  </si>
  <si>
    <t>1.872</t>
  </si>
  <si>
    <t>1.542</t>
  </si>
  <si>
    <t>2.467</t>
  </si>
  <si>
    <t>0.256</t>
  </si>
  <si>
    <t>61.54%</t>
  </si>
  <si>
    <t>1.184</t>
  </si>
  <si>
    <t>0.730</t>
  </si>
  <si>
    <t>1.668</t>
  </si>
  <si>
    <t>1.036</t>
  </si>
  <si>
    <t>3.455</t>
  </si>
  <si>
    <t>4.491</t>
  </si>
  <si>
    <t>Jaromír Jágr</t>
  </si>
  <si>
    <t>0.689</t>
  </si>
  <si>
    <t>1.292</t>
  </si>
  <si>
    <t>1.981</t>
  </si>
  <si>
    <t>0.411</t>
  </si>
  <si>
    <t>1.283</t>
  </si>
  <si>
    <t>1.694</t>
  </si>
  <si>
    <t>2.092</t>
  </si>
  <si>
    <t>1.307</t>
  </si>
  <si>
    <t>3.399</t>
  </si>
  <si>
    <t>32.6%</t>
  </si>
  <si>
    <t>1.141</t>
  </si>
  <si>
    <t>0.315</t>
  </si>
  <si>
    <t>0.905</t>
  </si>
  <si>
    <t>3.529</t>
  </si>
  <si>
    <t>0.136</t>
  </si>
  <si>
    <t>24.4%</t>
  </si>
  <si>
    <t>2.194</t>
  </si>
  <si>
    <t>1.208</t>
  </si>
  <si>
    <t>1.993</t>
  </si>
  <si>
    <t>2.373</t>
  </si>
  <si>
    <t>2.848</t>
  </si>
  <si>
    <t>5.221</t>
  </si>
  <si>
    <t>0.260</t>
  </si>
  <si>
    <t>0.616</t>
  </si>
  <si>
    <t>15.6%</t>
  </si>
  <si>
    <t>35.71%</t>
  </si>
  <si>
    <t>2.363</t>
  </si>
  <si>
    <t>2.367</t>
  </si>
  <si>
    <t>1.582</t>
  </si>
  <si>
    <t>3.165</t>
  </si>
  <si>
    <t>21.0%</t>
  </si>
  <si>
    <t>45.17%</t>
  </si>
  <si>
    <t>1.070</t>
  </si>
  <si>
    <t>2.141</t>
  </si>
  <si>
    <t>0.396</t>
  </si>
  <si>
    <t>2.376</t>
  </si>
  <si>
    <t>0.309</t>
  </si>
  <si>
    <t>0.556</t>
  </si>
  <si>
    <t>43.74%</t>
  </si>
  <si>
    <t>37.8%</t>
  </si>
  <si>
    <t>0.918</t>
  </si>
  <si>
    <t>1.256</t>
  </si>
  <si>
    <t>2.174</t>
  </si>
  <si>
    <t>0.980</t>
  </si>
  <si>
    <t>1.830</t>
  </si>
  <si>
    <t>1.911</t>
  </si>
  <si>
    <t>3.503</t>
  </si>
  <si>
    <t>5.414</t>
  </si>
  <si>
    <t>0.394</t>
  </si>
  <si>
    <t>0.682</t>
  </si>
  <si>
    <t>51.96%</t>
  </si>
  <si>
    <t>51.1%</t>
  </si>
  <si>
    <t>1.265</t>
  </si>
  <si>
    <t>0.590</t>
  </si>
  <si>
    <t>4.611</t>
  </si>
  <si>
    <t>6.629</t>
  </si>
  <si>
    <t>0.692</t>
  </si>
  <si>
    <t>54.55%</t>
  </si>
  <si>
    <t>0.676</t>
  </si>
  <si>
    <t>1.226</t>
  </si>
  <si>
    <t>1.902</t>
  </si>
  <si>
    <t>0.593</t>
  </si>
  <si>
    <t>1.087</t>
  </si>
  <si>
    <t>1.680</t>
  </si>
  <si>
    <t>2.064</t>
  </si>
  <si>
    <t>3.441</t>
  </si>
  <si>
    <t>0.549</t>
  </si>
  <si>
    <t>49.84%</t>
  </si>
  <si>
    <t>0.686</t>
  </si>
  <si>
    <t>1.348</t>
  </si>
  <si>
    <t>1.941</t>
  </si>
  <si>
    <t>1.420</t>
  </si>
  <si>
    <t>0.213</t>
  </si>
  <si>
    <t>0.387</t>
  </si>
  <si>
    <t>9.8%</t>
  </si>
  <si>
    <t>59.09%</t>
  </si>
  <si>
    <t>26.7%</t>
  </si>
  <si>
    <t>0.533</t>
  </si>
  <si>
    <t>1.179</t>
  </si>
  <si>
    <t>0.357</t>
  </si>
  <si>
    <t>3.536</t>
  </si>
  <si>
    <t>0.388</t>
  </si>
  <si>
    <t>0.563</t>
  </si>
  <si>
    <t>11.1%</t>
  </si>
  <si>
    <t>54.67%</t>
  </si>
  <si>
    <t>2.549</t>
  </si>
  <si>
    <t>0.678</t>
  </si>
  <si>
    <t>2.033</t>
  </si>
  <si>
    <t>1.047</t>
  </si>
  <si>
    <t>4.189</t>
  </si>
  <si>
    <t>5.236</t>
  </si>
  <si>
    <t>0.200</t>
  </si>
  <si>
    <t>9.7%</t>
  </si>
  <si>
    <t>51.32%</t>
  </si>
  <si>
    <t>0.504</t>
  </si>
  <si>
    <t>0.452</t>
  </si>
  <si>
    <t>1.640</t>
  </si>
  <si>
    <t>3.401</t>
  </si>
  <si>
    <t>4.157</t>
  </si>
  <si>
    <t>0.153</t>
  </si>
  <si>
    <t>0.472</t>
  </si>
  <si>
    <t>0.625</t>
  </si>
  <si>
    <t>55.59%</t>
  </si>
  <si>
    <t>55.6%</t>
  </si>
  <si>
    <t>0.172</t>
  </si>
  <si>
    <t>1.291</t>
  </si>
  <si>
    <t>0.187</t>
  </si>
  <si>
    <t>0.238</t>
  </si>
  <si>
    <t>5.703</t>
  </si>
  <si>
    <t>5.941</t>
  </si>
  <si>
    <t>0.076</t>
  </si>
  <si>
    <t>3.2%</t>
  </si>
  <si>
    <t>18.2%</t>
  </si>
  <si>
    <t>0.920</t>
  </si>
  <si>
    <t>1.170</t>
  </si>
  <si>
    <t>1.989</t>
  </si>
  <si>
    <t>1.556</t>
  </si>
  <si>
    <t>2.489</t>
  </si>
  <si>
    <t>41.67%</t>
  </si>
  <si>
    <t>20.5%</t>
  </si>
  <si>
    <t>1.007</t>
  </si>
  <si>
    <t>0.951</t>
  </si>
  <si>
    <t>1.958</t>
  </si>
  <si>
    <t>1.774</t>
  </si>
  <si>
    <t>3.992</t>
  </si>
  <si>
    <t>28.57%</t>
  </si>
  <si>
    <t>Patric Hörnqvist</t>
  </si>
  <si>
    <t>38.6%</t>
  </si>
  <si>
    <t>1.128</t>
  </si>
  <si>
    <t>0.729</t>
  </si>
  <si>
    <t>1.060</t>
  </si>
  <si>
    <t>2.851</t>
  </si>
  <si>
    <t>1.996</t>
  </si>
  <si>
    <t>4.848</t>
  </si>
  <si>
    <t>27.27%</t>
  </si>
  <si>
    <t>Michael Frolík</t>
  </si>
  <si>
    <t>0.728</t>
  </si>
  <si>
    <t>0.634</t>
  </si>
  <si>
    <t>1.109</t>
  </si>
  <si>
    <t>1.743</t>
  </si>
  <si>
    <t>1.844</t>
  </si>
  <si>
    <t>3.074</t>
  </si>
  <si>
    <t>4.918</t>
  </si>
  <si>
    <t>44.83%</t>
  </si>
  <si>
    <t>34.1%</t>
  </si>
  <si>
    <t>1.050</t>
  </si>
  <si>
    <t>2.718</t>
  </si>
  <si>
    <t>2.096</t>
  </si>
  <si>
    <t>3.885</t>
  </si>
  <si>
    <t>6.476</t>
  </si>
  <si>
    <t>0.279</t>
  </si>
  <si>
    <t>0.443</t>
  </si>
  <si>
    <t>42.59%</t>
  </si>
  <si>
    <t>31.8%</t>
  </si>
  <si>
    <t>0.429</t>
  </si>
  <si>
    <t>1.430</t>
  </si>
  <si>
    <t>1.504</t>
  </si>
  <si>
    <t>2.006</t>
  </si>
  <si>
    <t>3.510</t>
  </si>
  <si>
    <t>6.9%</t>
  </si>
  <si>
    <t>43.2%</t>
  </si>
  <si>
    <t>0.324</t>
  </si>
  <si>
    <t>1.108</t>
  </si>
  <si>
    <t>3.103</t>
  </si>
  <si>
    <t>4.212</t>
  </si>
  <si>
    <t>0.146</t>
  </si>
  <si>
    <t>6.6%</t>
  </si>
  <si>
    <t>1.250</t>
  </si>
  <si>
    <t>1.330</t>
  </si>
  <si>
    <t>1.444</t>
  </si>
  <si>
    <t>2.406</t>
  </si>
  <si>
    <t>3.850</t>
  </si>
  <si>
    <t>0.214</t>
  </si>
  <si>
    <t>0.614</t>
  </si>
  <si>
    <t>45.08%</t>
  </si>
  <si>
    <t>9.3%</t>
  </si>
  <si>
    <t>1.082</t>
  </si>
  <si>
    <t>2.114</t>
  </si>
  <si>
    <t>1.241</t>
  </si>
  <si>
    <t>1.004</t>
  </si>
  <si>
    <t>5.426</t>
  </si>
  <si>
    <t>0.259</t>
  </si>
  <si>
    <t>22.9%</t>
  </si>
  <si>
    <t>25.6%</t>
  </si>
  <si>
    <t>0.745</t>
  </si>
  <si>
    <t>1.779</t>
  </si>
  <si>
    <t>0.989</t>
  </si>
  <si>
    <t>1.666</t>
  </si>
  <si>
    <t>1.933</t>
  </si>
  <si>
    <t>2.319</t>
  </si>
  <si>
    <t>4.252</t>
  </si>
  <si>
    <t>9.0%</t>
  </si>
  <si>
    <t>43.85%</t>
  </si>
  <si>
    <t>0.306</t>
  </si>
  <si>
    <t>1.156</t>
  </si>
  <si>
    <t>1.462</t>
  </si>
  <si>
    <t>0.276</t>
  </si>
  <si>
    <t>0.572</t>
  </si>
  <si>
    <t>3.145</t>
  </si>
  <si>
    <t>3.717</t>
  </si>
  <si>
    <t>0.110</t>
  </si>
  <si>
    <t>7.1%</t>
  </si>
  <si>
    <t>1.195</t>
  </si>
  <si>
    <t>0.664</t>
  </si>
  <si>
    <t>0.601</t>
  </si>
  <si>
    <t>1.802</t>
  </si>
  <si>
    <t>0.185</t>
  </si>
  <si>
    <t>0.519</t>
  </si>
  <si>
    <t>28.6%</t>
  </si>
  <si>
    <t>1.148</t>
  </si>
  <si>
    <t>0.802</t>
  </si>
  <si>
    <t>2.274</t>
  </si>
  <si>
    <t>4.547</t>
  </si>
  <si>
    <t>0.275</t>
  </si>
  <si>
    <t>40.5%</t>
  </si>
  <si>
    <t>1.203</t>
  </si>
  <si>
    <t>2.105</t>
  </si>
  <si>
    <t>0.731</t>
  </si>
  <si>
    <t>0.931</t>
  </si>
  <si>
    <t>3.611</t>
  </si>
  <si>
    <t>6.138</t>
  </si>
  <si>
    <t>0.583</t>
  </si>
  <si>
    <t>15.0%</t>
  </si>
  <si>
    <t>54.88%</t>
  </si>
  <si>
    <t>52.4%</t>
  </si>
  <si>
    <t>0.521</t>
  </si>
  <si>
    <t>1.288</t>
  </si>
  <si>
    <t>0.204</t>
  </si>
  <si>
    <t>0.529</t>
  </si>
  <si>
    <t>0.733</t>
  </si>
  <si>
    <t>2.862</t>
  </si>
  <si>
    <t>2.385</t>
  </si>
  <si>
    <t>5.247</t>
  </si>
  <si>
    <t>0.218</t>
  </si>
  <si>
    <t>Teuvo Teräväinen</t>
  </si>
  <si>
    <t>35.7%</t>
  </si>
  <si>
    <t>1.915</t>
  </si>
  <si>
    <t>0.900</t>
  </si>
  <si>
    <t>1.429</t>
  </si>
  <si>
    <t>1.657</t>
  </si>
  <si>
    <t>3.313</t>
  </si>
  <si>
    <t>4.970</t>
  </si>
  <si>
    <t>8.9%</t>
  </si>
  <si>
    <t>46.62%</t>
  </si>
  <si>
    <t>AT</t>
  </si>
  <si>
    <t>SK</t>
  </si>
  <si>
    <t>1.309</t>
  </si>
  <si>
    <t>1.833</t>
  </si>
  <si>
    <t>0.662</t>
  </si>
  <si>
    <t>1.269</t>
  </si>
  <si>
    <t>1.931</t>
  </si>
  <si>
    <t>0.152</t>
  </si>
  <si>
    <t>47.85%</t>
  </si>
  <si>
    <t>0.410</t>
  </si>
  <si>
    <t>1.026</t>
  </si>
  <si>
    <t>1.436</t>
  </si>
  <si>
    <t>0.449</t>
  </si>
  <si>
    <t>0.979</t>
  </si>
  <si>
    <t>1.428</t>
  </si>
  <si>
    <t>2.883</t>
  </si>
  <si>
    <t>3.364</t>
  </si>
  <si>
    <t>0.192</t>
  </si>
  <si>
    <t>1.344</t>
  </si>
  <si>
    <t>0.165</t>
  </si>
  <si>
    <t>1.072</t>
  </si>
  <si>
    <t>0.252</t>
  </si>
  <si>
    <t>3.525</t>
  </si>
  <si>
    <t>3.777</t>
  </si>
  <si>
    <t>0.078</t>
  </si>
  <si>
    <t>31.7%</t>
  </si>
  <si>
    <t>1.114</t>
  </si>
  <si>
    <t>1.562</t>
  </si>
  <si>
    <t>2.499</t>
  </si>
  <si>
    <t>4.061</t>
  </si>
  <si>
    <t>0.257</t>
  </si>
  <si>
    <t>0.586</t>
  </si>
  <si>
    <t>22.0%</t>
  </si>
  <si>
    <t>0.766</t>
  </si>
  <si>
    <t>1.746</t>
  </si>
  <si>
    <t>0.893</t>
  </si>
  <si>
    <t>1.628</t>
  </si>
  <si>
    <t>1.867</t>
  </si>
  <si>
    <t>0.234</t>
  </si>
  <si>
    <t>0.299</t>
  </si>
  <si>
    <t>62.57%</t>
  </si>
  <si>
    <t>36.6%</t>
  </si>
  <si>
    <t>0.754</t>
  </si>
  <si>
    <t>1.819</t>
  </si>
  <si>
    <t>0.771</t>
  </si>
  <si>
    <t>1.423</t>
  </si>
  <si>
    <t>1.261</t>
  </si>
  <si>
    <t>3.467</t>
  </si>
  <si>
    <t>4.728</t>
  </si>
  <si>
    <t>0.304</t>
  </si>
  <si>
    <t>53.79%</t>
  </si>
  <si>
    <t>0.503</t>
  </si>
  <si>
    <t>1.718</t>
  </si>
  <si>
    <t>1.829</t>
  </si>
  <si>
    <t>1.585</t>
  </si>
  <si>
    <t>0.363</t>
  </si>
  <si>
    <t>0.513</t>
  </si>
  <si>
    <t>10.4%</t>
  </si>
  <si>
    <t>51.75%</t>
  </si>
  <si>
    <t>43.9%</t>
  </si>
  <si>
    <t>0.166</t>
  </si>
  <si>
    <t>1.361</t>
  </si>
  <si>
    <t>0.127</t>
  </si>
  <si>
    <t>0.470</t>
  </si>
  <si>
    <t>3.763</t>
  </si>
  <si>
    <t>4.234</t>
  </si>
  <si>
    <t>0.061</t>
  </si>
  <si>
    <t>2.8%</t>
  </si>
  <si>
    <t>0.0%</t>
  </si>
  <si>
    <t>2.241</t>
  </si>
  <si>
    <t>1.665</t>
  </si>
  <si>
    <t>53.85%</t>
  </si>
  <si>
    <t>25.0%</t>
  </si>
  <si>
    <t>1.609</t>
  </si>
  <si>
    <t>0.655</t>
  </si>
  <si>
    <t>1.801</t>
  </si>
  <si>
    <t>3.002</t>
  </si>
  <si>
    <t>48.19%</t>
  </si>
  <si>
    <t>0.928</t>
  </si>
  <si>
    <t>1.134</t>
  </si>
  <si>
    <t>2.061</t>
  </si>
  <si>
    <t>0.800</t>
  </si>
  <si>
    <t>1.723</t>
  </si>
  <si>
    <t>1.758</t>
  </si>
  <si>
    <t>2.462</t>
  </si>
  <si>
    <t>4.220</t>
  </si>
  <si>
    <t>0.265</t>
  </si>
  <si>
    <t>44.82%</t>
  </si>
  <si>
    <t>32.5%</t>
  </si>
  <si>
    <t>1.644</t>
  </si>
  <si>
    <t>1.760</t>
  </si>
  <si>
    <t>2.816</t>
  </si>
  <si>
    <t>0.273</t>
  </si>
  <si>
    <t>0.606</t>
  </si>
  <si>
    <t>55.67%</t>
  </si>
  <si>
    <t>0.739</t>
  </si>
  <si>
    <t>1.054</t>
  </si>
  <si>
    <t>1.792</t>
  </si>
  <si>
    <t>2.250</t>
  </si>
  <si>
    <t>37.50%</t>
  </si>
  <si>
    <t>5.0%</t>
  </si>
  <si>
    <t>0.611</t>
  </si>
  <si>
    <t>0.688</t>
  </si>
  <si>
    <t>1.271</t>
  </si>
  <si>
    <t>1.959</t>
  </si>
  <si>
    <t>2.396</t>
  </si>
  <si>
    <t>51.70%</t>
  </si>
  <si>
    <t>PK Subban</t>
  </si>
  <si>
    <t>40.0%</t>
  </si>
  <si>
    <t>0.323</t>
  </si>
  <si>
    <t>4.535</t>
  </si>
  <si>
    <t>5.581</t>
  </si>
  <si>
    <t>0.455</t>
  </si>
  <si>
    <t>0.134</t>
  </si>
  <si>
    <t>1.056</t>
  </si>
  <si>
    <t>3.169</t>
  </si>
  <si>
    <t>0.954</t>
  </si>
  <si>
    <t>0.906</t>
  </si>
  <si>
    <t>0.914</t>
  </si>
  <si>
    <t>1.828</t>
  </si>
  <si>
    <t>1.363</t>
  </si>
  <si>
    <t>3.066</t>
  </si>
  <si>
    <t>0.282</t>
  </si>
  <si>
    <t>56.40%</t>
  </si>
  <si>
    <t>17.9%</t>
  </si>
  <si>
    <t>1.663</t>
  </si>
  <si>
    <t>0.552</t>
  </si>
  <si>
    <t>1.606</t>
  </si>
  <si>
    <t>1.162</t>
  </si>
  <si>
    <t>2.034</t>
  </si>
  <si>
    <t>0.173</t>
  </si>
  <si>
    <t>7.2%</t>
  </si>
  <si>
    <t>35.9%</t>
  </si>
  <si>
    <t>1.225</t>
  </si>
  <si>
    <t>0.917</t>
  </si>
  <si>
    <t>0.858</t>
  </si>
  <si>
    <t>3.147</t>
  </si>
  <si>
    <t>4.006</t>
  </si>
  <si>
    <t>0.148</t>
  </si>
  <si>
    <t>48.7%</t>
  </si>
  <si>
    <t>0.833</t>
  </si>
  <si>
    <t>0.157</t>
  </si>
  <si>
    <t>0.787</t>
  </si>
  <si>
    <t>2.258</t>
  </si>
  <si>
    <t>3.901</t>
  </si>
  <si>
    <t>8.3%</t>
  </si>
  <si>
    <t>38.5%</t>
  </si>
  <si>
    <t>0.332</t>
  </si>
  <si>
    <t>0.845</t>
  </si>
  <si>
    <t>1.177</t>
  </si>
  <si>
    <t>0.198</t>
  </si>
  <si>
    <t>0.672</t>
  </si>
  <si>
    <t>2.426</t>
  </si>
  <si>
    <t>3.639</t>
  </si>
  <si>
    <t>0.138</t>
  </si>
  <si>
    <t>0.350</t>
  </si>
  <si>
    <t>46.2%</t>
  </si>
  <si>
    <t>1.528</t>
  </si>
  <si>
    <t>2.128</t>
  </si>
  <si>
    <t>0.823</t>
  </si>
  <si>
    <t>5.268</t>
  </si>
  <si>
    <t>7.6%</t>
  </si>
  <si>
    <t>38.92%</t>
  </si>
  <si>
    <t>1.013</t>
  </si>
  <si>
    <t>0.255</t>
  </si>
  <si>
    <t>0.976</t>
  </si>
  <si>
    <t>0.661</t>
  </si>
  <si>
    <t>4.294</t>
  </si>
  <si>
    <t>4.955</t>
  </si>
  <si>
    <t>6.3%</t>
  </si>
  <si>
    <t>59.0%</t>
  </si>
  <si>
    <t>0.554</t>
  </si>
  <si>
    <t>0.412</t>
  </si>
  <si>
    <t>4.330</t>
  </si>
  <si>
    <t>4.743</t>
  </si>
  <si>
    <t>0.092</t>
  </si>
  <si>
    <t>3.5%</t>
  </si>
  <si>
    <t>1.675</t>
  </si>
  <si>
    <t>1.521</t>
  </si>
  <si>
    <t>3.788</t>
  </si>
  <si>
    <t>0.063</t>
  </si>
  <si>
    <t>1.081</t>
  </si>
  <si>
    <t>1.254</t>
  </si>
  <si>
    <t>3.431</t>
  </si>
  <si>
    <t>3.859</t>
  </si>
  <si>
    <t>0.064</t>
  </si>
  <si>
    <t>0.104</t>
  </si>
  <si>
    <t>1.248</t>
  </si>
  <si>
    <t>0.044</t>
  </si>
  <si>
    <t>1.051</t>
  </si>
  <si>
    <t>0.564</t>
  </si>
  <si>
    <t>3.382</t>
  </si>
  <si>
    <t>3.946</t>
  </si>
  <si>
    <t>0.038</t>
  </si>
  <si>
    <t>2.3%</t>
  </si>
  <si>
    <t>0.816</t>
  </si>
  <si>
    <t>2.067</t>
  </si>
  <si>
    <t>2.669</t>
  </si>
  <si>
    <t>1.334</t>
  </si>
  <si>
    <t>4.003</t>
  </si>
  <si>
    <t>0.343</t>
  </si>
  <si>
    <t>0.567</t>
  </si>
  <si>
    <t>26.3%</t>
  </si>
  <si>
    <t>0.838</t>
  </si>
  <si>
    <t>1.172</t>
  </si>
  <si>
    <t>2.931</t>
  </si>
  <si>
    <t>0.267</t>
  </si>
  <si>
    <t>0.240</t>
  </si>
  <si>
    <t>0.507</t>
  </si>
  <si>
    <t>58.00%</t>
  </si>
  <si>
    <t>0.995</t>
  </si>
  <si>
    <t>1.800</t>
  </si>
  <si>
    <t>0.897</t>
  </si>
  <si>
    <t>1.737</t>
  </si>
  <si>
    <t>0.758</t>
  </si>
  <si>
    <t>1.894</t>
  </si>
  <si>
    <t>2.652</t>
  </si>
  <si>
    <t>0.230</t>
  </si>
  <si>
    <t>0.284</t>
  </si>
  <si>
    <t>48.78%</t>
  </si>
  <si>
    <t>28.9%</t>
  </si>
  <si>
    <t>1.341</t>
  </si>
  <si>
    <t>1.058</t>
  </si>
  <si>
    <t>1.544</t>
  </si>
  <si>
    <t>2.702</t>
  </si>
  <si>
    <t>4.246</t>
  </si>
  <si>
    <t>0.392</t>
  </si>
  <si>
    <t>0.362</t>
  </si>
  <si>
    <t>0.483</t>
  </si>
  <si>
    <t>4.685</t>
  </si>
  <si>
    <t>6.0%</t>
  </si>
  <si>
    <t>1.287</t>
  </si>
  <si>
    <t>0.352</t>
  </si>
  <si>
    <t>1.408</t>
  </si>
  <si>
    <t>0.132</t>
  </si>
  <si>
    <t>0.368</t>
  </si>
  <si>
    <t>21.1%</t>
  </si>
  <si>
    <t>0.539</t>
  </si>
  <si>
    <t>0.569</t>
  </si>
  <si>
    <t>0.397</t>
  </si>
  <si>
    <t>2.777</t>
  </si>
  <si>
    <t>3.174</t>
  </si>
  <si>
    <t>1.079</t>
  </si>
  <si>
    <t>1.322</t>
  </si>
  <si>
    <t>2.382</t>
  </si>
  <si>
    <t>2.647</t>
  </si>
  <si>
    <t>0.095</t>
  </si>
  <si>
    <t>0.419</t>
  </si>
  <si>
    <t>29.7%</t>
  </si>
  <si>
    <t>0.856</t>
  </si>
  <si>
    <t>0.832</t>
  </si>
  <si>
    <t>2.609</t>
  </si>
  <si>
    <t>4.783</t>
  </si>
  <si>
    <t>47.98%</t>
  </si>
  <si>
    <t>0.446</t>
  </si>
  <si>
    <t>0.974</t>
  </si>
  <si>
    <t>1.175</t>
  </si>
  <si>
    <t>2.643</t>
  </si>
  <si>
    <t>3.818</t>
  </si>
  <si>
    <t>0.901</t>
  </si>
  <si>
    <t>1.515</t>
  </si>
  <si>
    <t>0.423</t>
  </si>
  <si>
    <t>0.898</t>
  </si>
  <si>
    <t>1.320</t>
  </si>
  <si>
    <t>1.583</t>
  </si>
  <si>
    <t>0.886</t>
  </si>
  <si>
    <t>2.185</t>
  </si>
  <si>
    <t>0.501</t>
  </si>
  <si>
    <t>2.732</t>
  </si>
  <si>
    <t>5.463</t>
  </si>
  <si>
    <t>0.217</t>
  </si>
  <si>
    <t>0.319</t>
  </si>
  <si>
    <t>0.536</t>
  </si>
  <si>
    <t>11.0%</t>
  </si>
  <si>
    <t>1.443</t>
  </si>
  <si>
    <t>1.227</t>
  </si>
  <si>
    <t>1.994</t>
  </si>
  <si>
    <t>3.136</t>
  </si>
  <si>
    <t>4.928</t>
  </si>
  <si>
    <t>52.00%</t>
  </si>
  <si>
    <t>2.358</t>
  </si>
  <si>
    <t>0.794</t>
  </si>
  <si>
    <t>1.660</t>
  </si>
  <si>
    <t>2.454</t>
  </si>
  <si>
    <t>0.308</t>
  </si>
  <si>
    <t>0.330</t>
  </si>
  <si>
    <t>4.099</t>
  </si>
  <si>
    <t>5.045</t>
  </si>
  <si>
    <t>0.125</t>
  </si>
  <si>
    <t>0.389</t>
  </si>
  <si>
    <t>0.722</t>
  </si>
  <si>
    <t>1.624</t>
  </si>
  <si>
    <t>0.964</t>
  </si>
  <si>
    <t>3.512</t>
  </si>
  <si>
    <t>27.8%</t>
  </si>
  <si>
    <t>0.781</t>
  </si>
  <si>
    <t>0.699</t>
  </si>
  <si>
    <t>1.480</t>
  </si>
  <si>
    <t>1.837</t>
  </si>
  <si>
    <t>3.062</t>
  </si>
  <si>
    <t>0.235</t>
  </si>
  <si>
    <t>0.444</t>
  </si>
  <si>
    <t>1.069</t>
  </si>
  <si>
    <t>2.264</t>
  </si>
  <si>
    <t>1.147</t>
  </si>
  <si>
    <t>1.218</t>
  </si>
  <si>
    <t>2.365</t>
  </si>
  <si>
    <t>0.283</t>
  </si>
  <si>
    <t>45.45%</t>
  </si>
  <si>
    <t>1.686</t>
  </si>
  <si>
    <t>0.511</t>
  </si>
  <si>
    <t>1.136</t>
  </si>
  <si>
    <t>1.647</t>
  </si>
  <si>
    <t>1.967</t>
  </si>
  <si>
    <t>0.984</t>
  </si>
  <si>
    <t>2.951</t>
  </si>
  <si>
    <t>0.495</t>
  </si>
  <si>
    <t>1.273</t>
  </si>
  <si>
    <t>0.618</t>
  </si>
  <si>
    <t>0.910</t>
  </si>
  <si>
    <t>2.123</t>
  </si>
  <si>
    <t>3.032</t>
  </si>
  <si>
    <t>0.194</t>
  </si>
  <si>
    <t>0.941</t>
  </si>
  <si>
    <t>1.020</t>
  </si>
  <si>
    <t>2.325</t>
  </si>
  <si>
    <t>2.657</t>
  </si>
  <si>
    <t>0.073</t>
  </si>
  <si>
    <t>0.186</t>
  </si>
  <si>
    <t>0.870</t>
  </si>
  <si>
    <t>0.264</t>
  </si>
  <si>
    <t>2.907</t>
  </si>
  <si>
    <t>3.171</t>
  </si>
  <si>
    <t>1.596</t>
  </si>
  <si>
    <t>0.277</t>
  </si>
  <si>
    <t>0.996</t>
  </si>
  <si>
    <t>1.272</t>
  </si>
  <si>
    <t>0.371</t>
  </si>
  <si>
    <t>4.082</t>
  </si>
  <si>
    <t>4.454</t>
  </si>
  <si>
    <t>0.097</t>
  </si>
  <si>
    <t>0.484</t>
  </si>
  <si>
    <t>0.581</t>
  </si>
  <si>
    <t>6.1%</t>
  </si>
  <si>
    <t>0.133</t>
  </si>
  <si>
    <t>0.120</t>
  </si>
  <si>
    <t>0.803</t>
  </si>
  <si>
    <t>0.924</t>
  </si>
  <si>
    <t>3.896</t>
  </si>
  <si>
    <t>4.251</t>
  </si>
  <si>
    <t>0.049</t>
  </si>
  <si>
    <t>3.8%</t>
  </si>
  <si>
    <t>Sven Bärtschi</t>
  </si>
  <si>
    <t>17.1%</t>
  </si>
  <si>
    <t>1.000</t>
  </si>
  <si>
    <t>1.032</t>
  </si>
  <si>
    <t>0.839</t>
  </si>
  <si>
    <t>1.871</t>
  </si>
  <si>
    <t>0.916</t>
  </si>
  <si>
    <t>2.749</t>
  </si>
  <si>
    <t>15.8%</t>
  </si>
  <si>
    <t>0.717</t>
  </si>
  <si>
    <t>1.710</t>
  </si>
  <si>
    <t>0.865</t>
  </si>
  <si>
    <t>1.406</t>
  </si>
  <si>
    <t>3.755</t>
  </si>
  <si>
    <t>4.779</t>
  </si>
  <si>
    <t>0.205</t>
  </si>
  <si>
    <t>50.50%</t>
  </si>
  <si>
    <t>0.881</t>
  </si>
  <si>
    <t>0.831</t>
  </si>
  <si>
    <t>1.891</t>
  </si>
  <si>
    <t>43.40%</t>
  </si>
  <si>
    <t>1.451</t>
  </si>
  <si>
    <t>1.846</t>
  </si>
  <si>
    <t>0.442</t>
  </si>
  <si>
    <t>3.094</t>
  </si>
  <si>
    <t>41.03%</t>
  </si>
  <si>
    <t>1.625</t>
  </si>
  <si>
    <t>2.473</t>
  </si>
  <si>
    <t>1.588</t>
  </si>
  <si>
    <t>2.383</t>
  </si>
  <si>
    <t>1.928</t>
  </si>
  <si>
    <t>3.213</t>
  </si>
  <si>
    <t>0.547</t>
  </si>
  <si>
    <t>0.944</t>
  </si>
  <si>
    <t>1.223</t>
  </si>
  <si>
    <t>0.261</t>
  </si>
  <si>
    <t>0.340</t>
  </si>
  <si>
    <t>3.404</t>
  </si>
  <si>
    <t>3.745</t>
  </si>
  <si>
    <t>0.100</t>
  </si>
  <si>
    <t>0.140</t>
  </si>
  <si>
    <t>1.083</t>
  </si>
  <si>
    <t>2.539</t>
  </si>
  <si>
    <t>4.231</t>
  </si>
  <si>
    <t>1.052</t>
  </si>
  <si>
    <t>1.042</t>
  </si>
  <si>
    <t>4.124</t>
  </si>
  <si>
    <t>49.96%</t>
  </si>
  <si>
    <t>2.9%</t>
  </si>
  <si>
    <t>1.549</t>
  </si>
  <si>
    <t>0.779</t>
  </si>
  <si>
    <t>1.610</t>
  </si>
  <si>
    <t>8.5%</t>
  </si>
  <si>
    <t>1.339</t>
  </si>
  <si>
    <t>2.288</t>
  </si>
  <si>
    <t>54.27%</t>
  </si>
  <si>
    <t>17.6%</t>
  </si>
  <si>
    <t>1.474</t>
  </si>
  <si>
    <t>1.244</t>
  </si>
  <si>
    <t>2.488</t>
  </si>
  <si>
    <t>3.732</t>
  </si>
  <si>
    <t>10.3%</t>
  </si>
  <si>
    <t>30.77%</t>
  </si>
  <si>
    <t>20.6%</t>
  </si>
  <si>
    <t>0.919</t>
  </si>
  <si>
    <t>1.870</t>
  </si>
  <si>
    <t>1.658</t>
  </si>
  <si>
    <t>2.902</t>
  </si>
  <si>
    <t>0.286</t>
  </si>
  <si>
    <t>1.681</t>
  </si>
  <si>
    <t>1.914</t>
  </si>
  <si>
    <t>0.999</t>
  </si>
  <si>
    <t>0.212</t>
  </si>
  <si>
    <t>11.7%</t>
  </si>
  <si>
    <t>55.07%</t>
  </si>
  <si>
    <t>0.837</t>
  </si>
  <si>
    <t>0.328</t>
  </si>
  <si>
    <t>0.861</t>
  </si>
  <si>
    <t>1.188</t>
  </si>
  <si>
    <t>3.690</t>
  </si>
  <si>
    <t>1.230</t>
  </si>
  <si>
    <t>Mathew Dumba</t>
  </si>
  <si>
    <t>4.145</t>
  </si>
  <si>
    <t>0.145</t>
  </si>
  <si>
    <t>0.447</t>
  </si>
  <si>
    <t>0.156</t>
  </si>
  <si>
    <t>1.061</t>
  </si>
  <si>
    <t>0.151</t>
  </si>
  <si>
    <t>0.830</t>
  </si>
  <si>
    <t>3.160</t>
  </si>
  <si>
    <t>5.1%</t>
  </si>
  <si>
    <t>Kristopher Letang</t>
  </si>
  <si>
    <t>0.287</t>
  </si>
  <si>
    <t>1.949</t>
  </si>
  <si>
    <t>0.223</t>
  </si>
  <si>
    <t>1.189</t>
  </si>
  <si>
    <t>1.412</t>
  </si>
  <si>
    <t>4.792</t>
  </si>
  <si>
    <t>5.591</t>
  </si>
  <si>
    <t>0.122</t>
  </si>
  <si>
    <t>4.1%</t>
  </si>
  <si>
    <t>1.122</t>
  </si>
  <si>
    <t>1.190</t>
  </si>
  <si>
    <t>0.814</t>
  </si>
  <si>
    <t>2.005</t>
  </si>
  <si>
    <t>16.5%</t>
  </si>
  <si>
    <t>1.764</t>
  </si>
  <si>
    <t>0.353</t>
  </si>
  <si>
    <t>2.117</t>
  </si>
  <si>
    <t>0.208</t>
  </si>
  <si>
    <t>49.60%</t>
  </si>
  <si>
    <t>1.511</t>
  </si>
  <si>
    <t>3.116</t>
  </si>
  <si>
    <t>2.203</t>
  </si>
  <si>
    <t>3.304</t>
  </si>
  <si>
    <t>19.8%</t>
  </si>
  <si>
    <t>1.626</t>
  </si>
  <si>
    <t>0.751</t>
  </si>
  <si>
    <t>1.617</t>
  </si>
  <si>
    <t>1.062</t>
  </si>
  <si>
    <t>46.87%</t>
  </si>
  <si>
    <t>0.673</t>
  </si>
  <si>
    <t>0.724</t>
  </si>
  <si>
    <t>1.985</t>
  </si>
  <si>
    <t>46.91%</t>
  </si>
  <si>
    <t>0.953</t>
  </si>
  <si>
    <t>1.497</t>
  </si>
  <si>
    <t>1.022</t>
  </si>
  <si>
    <t>54.81%</t>
  </si>
  <si>
    <t>0.557</t>
  </si>
  <si>
    <t>1.532</t>
  </si>
  <si>
    <t>1.043</t>
  </si>
  <si>
    <t>1.702</t>
  </si>
  <si>
    <t>2.778</t>
  </si>
  <si>
    <t>0.263</t>
  </si>
  <si>
    <t>12.1%</t>
  </si>
  <si>
    <t>0.320</t>
  </si>
  <si>
    <t>0.296</t>
  </si>
  <si>
    <t>1.084</t>
  </si>
  <si>
    <t>1.380</t>
  </si>
  <si>
    <t>1.186</t>
  </si>
  <si>
    <t>2.372</t>
  </si>
  <si>
    <t>5.2%</t>
  </si>
  <si>
    <t>0.201</t>
  </si>
  <si>
    <t>3.211</t>
  </si>
  <si>
    <t>3.854</t>
  </si>
  <si>
    <t>4.8%</t>
  </si>
  <si>
    <t>0.955</t>
  </si>
  <si>
    <t>0.653</t>
  </si>
  <si>
    <t>1.608</t>
  </si>
  <si>
    <t>0.553</t>
  </si>
  <si>
    <t>1.537</t>
  </si>
  <si>
    <t>1.780</t>
  </si>
  <si>
    <t>0.464</t>
  </si>
  <si>
    <t>39.60%</t>
  </si>
  <si>
    <t>0.790</t>
  </si>
  <si>
    <t>0.697</t>
  </si>
  <si>
    <t>0.592</t>
  </si>
  <si>
    <t>2.790</t>
  </si>
  <si>
    <t>45.37%</t>
  </si>
  <si>
    <t>3.1%</t>
  </si>
  <si>
    <t>0.584</t>
  </si>
  <si>
    <t>0.216</t>
  </si>
  <si>
    <t>52.05%</t>
  </si>
  <si>
    <t>31.3%</t>
  </si>
  <si>
    <t>0.512</t>
  </si>
  <si>
    <t>1.138</t>
  </si>
  <si>
    <t>2.071</t>
  </si>
  <si>
    <t>3.452</t>
  </si>
  <si>
    <t>45.05%</t>
  </si>
  <si>
    <t>56.3%</t>
  </si>
  <si>
    <t>2.042</t>
  </si>
  <si>
    <t>0.860</t>
  </si>
  <si>
    <t>3.843</t>
  </si>
  <si>
    <t>2.445</t>
  </si>
  <si>
    <t>6.288</t>
  </si>
  <si>
    <t>0.690</t>
  </si>
  <si>
    <t>30.00%</t>
  </si>
  <si>
    <t>0.381</t>
  </si>
  <si>
    <t>1.476</t>
  </si>
  <si>
    <t>1.105</t>
  </si>
  <si>
    <t>1.453</t>
  </si>
  <si>
    <t>1.106</t>
  </si>
  <si>
    <t>0.737</t>
  </si>
  <si>
    <t>1.843</t>
  </si>
  <si>
    <t>0.295</t>
  </si>
  <si>
    <t>0.103</t>
  </si>
  <si>
    <t>16.2%</t>
  </si>
  <si>
    <t>0.742</t>
  </si>
  <si>
    <t>1.917</t>
  </si>
  <si>
    <t>1.169</t>
  </si>
  <si>
    <t>0.408</t>
  </si>
  <si>
    <t>40.32%</t>
  </si>
  <si>
    <t>Calle Järnkrok</t>
  </si>
  <si>
    <t>1.809</t>
  </si>
  <si>
    <t>3.618</t>
  </si>
  <si>
    <t>49.40%</t>
  </si>
  <si>
    <t>0.874</t>
  </si>
  <si>
    <t>1.135</t>
  </si>
  <si>
    <t>1.858</t>
  </si>
  <si>
    <t>1.191</t>
  </si>
  <si>
    <t>8.664</t>
  </si>
  <si>
    <t>0.181</t>
  </si>
  <si>
    <t>0.431</t>
  </si>
  <si>
    <t>51.22%</t>
  </si>
  <si>
    <t>Mike Cammalleri</t>
  </si>
  <si>
    <t>32.3%</t>
  </si>
  <si>
    <t>0.566</t>
  </si>
  <si>
    <t>1.396</t>
  </si>
  <si>
    <t>0.391</t>
  </si>
  <si>
    <t>3.521</t>
  </si>
  <si>
    <t>3.913</t>
  </si>
  <si>
    <t>0.164</t>
  </si>
  <si>
    <t>60.71%</t>
  </si>
  <si>
    <t>41.9%</t>
  </si>
  <si>
    <t>0.111</t>
  </si>
  <si>
    <t>1.143</t>
  </si>
  <si>
    <t>0.128</t>
  </si>
  <si>
    <t>0.638</t>
  </si>
  <si>
    <t>4.351</t>
  </si>
  <si>
    <t>2.4%</t>
  </si>
  <si>
    <t>1.857</t>
  </si>
  <si>
    <t>56.37%</t>
  </si>
  <si>
    <t>1.599</t>
  </si>
  <si>
    <t>2.622</t>
  </si>
  <si>
    <t>0.246</t>
  </si>
  <si>
    <t>42.73%</t>
  </si>
  <si>
    <t>53.3%</t>
  </si>
  <si>
    <t>0.289</t>
  </si>
  <si>
    <t>0.534</t>
  </si>
  <si>
    <t>3.457</t>
  </si>
  <si>
    <t>4.609</t>
  </si>
  <si>
    <t>5.8%</t>
  </si>
  <si>
    <t>2.148</t>
  </si>
  <si>
    <t>3.7%</t>
  </si>
  <si>
    <t>0.639</t>
  </si>
  <si>
    <t>1.998</t>
  </si>
  <si>
    <t>2.321</t>
  </si>
  <si>
    <t>0.281</t>
  </si>
  <si>
    <t>44.58%</t>
  </si>
  <si>
    <t>0.769</t>
  </si>
  <si>
    <t>0.786</t>
  </si>
  <si>
    <t>0.372</t>
  </si>
  <si>
    <t>27.59%</t>
  </si>
  <si>
    <t>31.0%</t>
  </si>
  <si>
    <t>1.691</t>
  </si>
  <si>
    <t>3.804</t>
  </si>
  <si>
    <t>50.77%</t>
  </si>
  <si>
    <t>0.667</t>
  </si>
  <si>
    <t>0.968</t>
  </si>
  <si>
    <t>2.091</t>
  </si>
  <si>
    <t>45.95%</t>
  </si>
  <si>
    <t>24.1%</t>
  </si>
  <si>
    <t>0.987</t>
  </si>
  <si>
    <t>0.748</t>
  </si>
  <si>
    <t>1.495</t>
  </si>
  <si>
    <t>2.527</t>
  </si>
  <si>
    <t>2.948</t>
  </si>
  <si>
    <t>0.426</t>
  </si>
  <si>
    <t>9.5%</t>
  </si>
  <si>
    <t>27.6%</t>
  </si>
  <si>
    <t>1.687</t>
  </si>
  <si>
    <t>3.375</t>
  </si>
  <si>
    <t>0.269</t>
  </si>
  <si>
    <t>55.30%</t>
  </si>
  <si>
    <t>1.357</t>
  </si>
  <si>
    <t>2.186</t>
  </si>
  <si>
    <t>0.619</t>
  </si>
  <si>
    <t>4.663</t>
  </si>
  <si>
    <t>54.17%</t>
  </si>
  <si>
    <t>1.399</t>
  </si>
  <si>
    <t>1.379</t>
  </si>
  <si>
    <t>0.612</t>
  </si>
  <si>
    <t>48.90%</t>
  </si>
  <si>
    <t>0.651</t>
  </si>
  <si>
    <t>0.994</t>
  </si>
  <si>
    <t>0.714</t>
  </si>
  <si>
    <t>1.765</t>
  </si>
  <si>
    <t>5.294</t>
  </si>
  <si>
    <t>0.253</t>
  </si>
  <si>
    <t>0.621</t>
  </si>
  <si>
    <t>1.180</t>
  </si>
  <si>
    <t>0.649</t>
  </si>
  <si>
    <t>1.874</t>
  </si>
  <si>
    <t>0.297</t>
  </si>
  <si>
    <t>40.54%</t>
  </si>
  <si>
    <t>17.2%</t>
  </si>
  <si>
    <t>0.490</t>
  </si>
  <si>
    <t>0.960</t>
  </si>
  <si>
    <t>1.536</t>
  </si>
  <si>
    <t>2.685</t>
  </si>
  <si>
    <t>6.7%</t>
  </si>
  <si>
    <t>23.08%</t>
  </si>
  <si>
    <t>37.9%</t>
  </si>
  <si>
    <t>0.093</t>
  </si>
  <si>
    <t>3.281</t>
  </si>
  <si>
    <t>4.010</t>
  </si>
  <si>
    <t>1.791</t>
  </si>
  <si>
    <t>3.582</t>
  </si>
  <si>
    <t>0.137</t>
  </si>
  <si>
    <t>1.003</t>
  </si>
  <si>
    <t>2.160</t>
  </si>
  <si>
    <t>0.491</t>
  </si>
  <si>
    <t>2.758</t>
  </si>
  <si>
    <t>0.182</t>
  </si>
  <si>
    <t>Pierre Parenteau</t>
  </si>
  <si>
    <t>1.706</t>
  </si>
  <si>
    <t>1.457</t>
  </si>
  <si>
    <t>3.297</t>
  </si>
  <si>
    <t>0.418</t>
  </si>
  <si>
    <t>0.669</t>
  </si>
  <si>
    <t>2.032</t>
  </si>
  <si>
    <t>0.243</t>
  </si>
  <si>
    <t>0.551</t>
  </si>
  <si>
    <t>0.851</t>
  </si>
  <si>
    <t>1.402</t>
  </si>
  <si>
    <t>0.385</t>
  </si>
  <si>
    <t>1.425</t>
  </si>
  <si>
    <t>2.138</t>
  </si>
  <si>
    <t>3.563</t>
  </si>
  <si>
    <t>0.406</t>
  </si>
  <si>
    <t>52.08%</t>
  </si>
  <si>
    <t>0.789</t>
  </si>
  <si>
    <t>0.959</t>
  </si>
  <si>
    <t>37.93%</t>
  </si>
  <si>
    <t>Tomáš Plekanec</t>
  </si>
  <si>
    <t>1.278</t>
  </si>
  <si>
    <t>3.234</t>
  </si>
  <si>
    <t>5.659</t>
  </si>
  <si>
    <t>51.18%</t>
  </si>
  <si>
    <t>0.548</t>
  </si>
  <si>
    <t>1.374</t>
  </si>
  <si>
    <t>0.135</t>
  </si>
  <si>
    <t>43.54%</t>
  </si>
  <si>
    <t>0.624</t>
  </si>
  <si>
    <t>3.001</t>
  </si>
  <si>
    <t>4.9%</t>
  </si>
  <si>
    <t>0.958</t>
  </si>
  <si>
    <t>39.3%</t>
  </si>
  <si>
    <t>2.684</t>
  </si>
  <si>
    <t>4.921</t>
  </si>
  <si>
    <t>10.2%</t>
  </si>
  <si>
    <t>62.26%</t>
  </si>
  <si>
    <t>0.271</t>
  </si>
  <si>
    <t>0.949</t>
  </si>
  <si>
    <t>0.242</t>
  </si>
  <si>
    <t>2.143</t>
  </si>
  <si>
    <t>3.000</t>
  </si>
  <si>
    <t>4.7%</t>
  </si>
  <si>
    <t>0.704</t>
  </si>
  <si>
    <t>0.416</t>
  </si>
  <si>
    <t>2.497</t>
  </si>
  <si>
    <t>2.913</t>
  </si>
  <si>
    <t>0.080</t>
  </si>
  <si>
    <t>4.2%</t>
  </si>
  <si>
    <t>0.445</t>
  </si>
  <si>
    <t>1.633</t>
  </si>
  <si>
    <t>2.078</t>
  </si>
  <si>
    <t>1.614</t>
  </si>
  <si>
    <t>2.098</t>
  </si>
  <si>
    <t>0.098</t>
  </si>
  <si>
    <t>0.361</t>
  </si>
  <si>
    <t>0.459</t>
  </si>
  <si>
    <t>30.88%</t>
  </si>
  <si>
    <t>0.096</t>
  </si>
  <si>
    <t>0.674</t>
  </si>
  <si>
    <t>0.770</t>
  </si>
  <si>
    <t>5.003</t>
  </si>
  <si>
    <t>6.003</t>
  </si>
  <si>
    <t>0.054</t>
  </si>
  <si>
    <t>3.4%</t>
  </si>
  <si>
    <t>1.485</t>
  </si>
  <si>
    <t>0.497</t>
  </si>
  <si>
    <t>2.423</t>
  </si>
  <si>
    <t>1.454</t>
  </si>
  <si>
    <t>3.877</t>
  </si>
  <si>
    <t>0.409</t>
  </si>
  <si>
    <t>0.935</t>
  </si>
  <si>
    <t>3.644</t>
  </si>
  <si>
    <t>1.740</t>
  </si>
  <si>
    <t>0.969</t>
  </si>
  <si>
    <t>1.938</t>
  </si>
  <si>
    <t>2.600</t>
  </si>
  <si>
    <t>43.75%</t>
  </si>
  <si>
    <t>18.5%</t>
  </si>
  <si>
    <t>0.962</t>
  </si>
  <si>
    <t>0.929</t>
  </si>
  <si>
    <t>3.265</t>
  </si>
  <si>
    <t>0.079</t>
  </si>
  <si>
    <t>1.547</t>
  </si>
  <si>
    <t>2.579</t>
  </si>
  <si>
    <t>0.081</t>
  </si>
  <si>
    <t>0.365</t>
  </si>
  <si>
    <t>47.24%</t>
  </si>
  <si>
    <t>48.1%</t>
  </si>
  <si>
    <t>4.608</t>
  </si>
  <si>
    <t>4.993</t>
  </si>
  <si>
    <t>0.088</t>
  </si>
  <si>
    <t>5.3%</t>
  </si>
  <si>
    <t>1.569</t>
  </si>
  <si>
    <t>4.133</t>
  </si>
  <si>
    <t>53.87%</t>
  </si>
  <si>
    <t>15.4%</t>
  </si>
  <si>
    <t>0.643</t>
  </si>
  <si>
    <t>1.232</t>
  </si>
  <si>
    <t>2.400</t>
  </si>
  <si>
    <t>46.17%</t>
  </si>
  <si>
    <t>Mikkel Bødker</t>
  </si>
  <si>
    <t>0.516</t>
  </si>
  <si>
    <t>1.494</t>
  </si>
  <si>
    <t>0.487</t>
  </si>
  <si>
    <t>0.123</t>
  </si>
  <si>
    <t>8.2%</t>
  </si>
  <si>
    <t>1.080</t>
  </si>
  <si>
    <t>2.808</t>
  </si>
  <si>
    <t>2.282</t>
  </si>
  <si>
    <t>3.042</t>
  </si>
  <si>
    <t>5.324</t>
  </si>
  <si>
    <t>0.562</t>
  </si>
  <si>
    <t>1.827</t>
  </si>
  <si>
    <t>7.516</t>
  </si>
  <si>
    <t>0.062</t>
  </si>
  <si>
    <t>5.6%</t>
  </si>
  <si>
    <t>1.002</t>
  </si>
  <si>
    <t>0.174</t>
  </si>
  <si>
    <t>Michael Ferland</t>
  </si>
  <si>
    <t>16.0%</t>
  </si>
  <si>
    <t>0.571</t>
  </si>
  <si>
    <t>1.499</t>
  </si>
  <si>
    <t>3.385</t>
  </si>
  <si>
    <t>6.770</t>
  </si>
  <si>
    <t>0.197</t>
  </si>
  <si>
    <t>42.86%</t>
  </si>
  <si>
    <t>24.0%</t>
  </si>
  <si>
    <t>4.127</t>
  </si>
  <si>
    <t>52.15%</t>
  </si>
  <si>
    <t>44.0%</t>
  </si>
  <si>
    <t>1.249</t>
  </si>
  <si>
    <t>2.014</t>
  </si>
  <si>
    <t>0.162</t>
  </si>
  <si>
    <t>31.25%</t>
  </si>
  <si>
    <t>1.557</t>
  </si>
  <si>
    <t>0.403</t>
  </si>
  <si>
    <t>4.0%</t>
  </si>
  <si>
    <t>0.640</t>
  </si>
  <si>
    <t>1.333</t>
  </si>
  <si>
    <t>4.119</t>
  </si>
  <si>
    <t>47.05%</t>
  </si>
  <si>
    <t>1.853</t>
  </si>
  <si>
    <t>0.347</t>
  </si>
  <si>
    <t>0.791</t>
  </si>
  <si>
    <t>54.59%</t>
  </si>
  <si>
    <t>1.194</t>
  </si>
  <si>
    <t>4.049</t>
  </si>
  <si>
    <t>0.143</t>
  </si>
  <si>
    <t>44.41%</t>
  </si>
  <si>
    <t>1.831</t>
  </si>
  <si>
    <t>0.702</t>
  </si>
  <si>
    <t>2.106</t>
  </si>
  <si>
    <t>6.857</t>
  </si>
  <si>
    <t>0.424</t>
  </si>
  <si>
    <t>49.65%</t>
  </si>
  <si>
    <t>1.384</t>
  </si>
  <si>
    <t>1.411</t>
  </si>
  <si>
    <t>3.633</t>
  </si>
  <si>
    <t>0.074</t>
  </si>
  <si>
    <t>45.31%</t>
  </si>
  <si>
    <t>0.169</t>
  </si>
  <si>
    <t>0.804</t>
  </si>
  <si>
    <t>0.973</t>
  </si>
  <si>
    <t>1.173</t>
  </si>
  <si>
    <t>2.346</t>
  </si>
  <si>
    <t>4.3%</t>
  </si>
  <si>
    <t>0.327</t>
  </si>
  <si>
    <t>1.715</t>
  </si>
  <si>
    <t>1.016</t>
  </si>
  <si>
    <t>2.541</t>
  </si>
  <si>
    <t>3.557</t>
  </si>
  <si>
    <t>0.087</t>
  </si>
  <si>
    <t>0.543</t>
  </si>
  <si>
    <t>41.22%</t>
  </si>
  <si>
    <t>0.992</t>
  </si>
  <si>
    <t>0.055</t>
  </si>
  <si>
    <t>0.982</t>
  </si>
  <si>
    <t>1.145</t>
  </si>
  <si>
    <t>0.477</t>
  </si>
  <si>
    <t>1.496</t>
  </si>
  <si>
    <t>FR</t>
  </si>
  <si>
    <t>Âge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</si>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</sst>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8"/>
      <color rgb="FF000000"/>
      <name val="Verdana"/>
      <family val="2"/>
    </font>
    <font>
      <b/>
      <sz val="8"/>
      <color rgb="FFFF0000"/>
      <name val="Verdana"/>
      <family val="2"/>
    </font>
    <font>
      <sz val="11"/>
      <color rgb="FF333333"/>
      <name val="Calibri"/>
      <family val="2"/>
      <scheme val="minor"/>
    </font>
    <font>
      <sz val="10"/>
      <color rgb="FF11111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E8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FEDE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ck">
        <color rgb="FFEEEEEE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0" fillId="0" borderId="2" xfId="0" applyFont="1" applyBorder="1"/>
    <xf numFmtId="0" fontId="0" fillId="2" borderId="2" xfId="0" applyFont="1" applyFill="1" applyBorder="1"/>
    <xf numFmtId="0" fontId="3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2" fillId="0" borderId="0" xfId="0" applyFont="1"/>
    <xf numFmtId="0" fontId="0" fillId="0" borderId="0" xfId="0" applyFont="1"/>
    <xf numFmtId="0" fontId="0" fillId="0" borderId="0" xfId="0" applyFont="1" applyBorder="1" applyAlignment="1"/>
    <xf numFmtId="0" fontId="6" fillId="0" borderId="0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2" fillId="0" borderId="0" xfId="0" applyNumberFormat="1" applyFont="1"/>
    <xf numFmtId="0" fontId="8" fillId="5" borderId="3" xfId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0" xfId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8" fillId="5" borderId="0" xfId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0" borderId="0" xfId="0" applyNumberFormat="1" applyFont="1"/>
    <xf numFmtId="0" fontId="0" fillId="0" borderId="1" xfId="0" applyFont="1" applyBorder="1" applyAlignment="1"/>
    <xf numFmtId="0" fontId="2" fillId="0" borderId="0" xfId="0" applyFont="1" applyAlignment="1">
      <alignment horizontal="center"/>
    </xf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1" fontId="2" fillId="0" borderId="0" xfId="0" applyNumberFormat="1" applyFont="1"/>
  </cellXfs>
  <cellStyles count="2">
    <cellStyle name="Lien hypertexte" xfId="1" builtinId="8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 val="0"/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EFEDE9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Erreurs par liste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'Comparatif listes'!$B$1</c:f>
              <c:strCache>
                <c:ptCount val="1"/>
                <c:pt idx="0">
                  <c:v>Lepool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'Comparatif listes'!$A$2:$A$13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cat>
          <c:val>
            <c:numRef>
              <c:f>'Comparatif listes'!$B$2:$B$13</c:f>
              <c:numCache>
                <c:formatCode>General</c:formatCode>
                <c:ptCount val="12"/>
                <c:pt idx="0">
                  <c:v>6</c:v>
                </c:pt>
                <c:pt idx="1">
                  <c:v>21</c:v>
                </c:pt>
                <c:pt idx="2">
                  <c:v>43</c:v>
                </c:pt>
                <c:pt idx="3">
                  <c:v>83</c:v>
                </c:pt>
                <c:pt idx="4">
                  <c:v>116</c:v>
                </c:pt>
                <c:pt idx="5">
                  <c:v>134</c:v>
                </c:pt>
                <c:pt idx="6">
                  <c:v>149</c:v>
                </c:pt>
                <c:pt idx="7">
                  <c:v>157</c:v>
                </c:pt>
                <c:pt idx="8">
                  <c:v>160</c:v>
                </c:pt>
                <c:pt idx="9">
                  <c:v>164</c:v>
                </c:pt>
                <c:pt idx="10">
                  <c:v>168</c:v>
                </c:pt>
                <c:pt idx="11">
                  <c:v>169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'Comparatif listes'!$C$1</c:f>
              <c:strCache>
                <c:ptCount val="1"/>
                <c:pt idx="0">
                  <c:v>HM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'Comparatif listes'!$A$2:$A$13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cat>
          <c:val>
            <c:numRef>
              <c:f>'Comparatif listes'!$C$2:$C$13</c:f>
              <c:numCache>
                <c:formatCode>General</c:formatCode>
                <c:ptCount val="12"/>
                <c:pt idx="0">
                  <c:v>5</c:v>
                </c:pt>
                <c:pt idx="1">
                  <c:v>24</c:v>
                </c:pt>
                <c:pt idx="2">
                  <c:v>46</c:v>
                </c:pt>
                <c:pt idx="3">
                  <c:v>88</c:v>
                </c:pt>
                <c:pt idx="4">
                  <c:v>127</c:v>
                </c:pt>
                <c:pt idx="5">
                  <c:v>152</c:v>
                </c:pt>
                <c:pt idx="6">
                  <c:v>167</c:v>
                </c:pt>
                <c:pt idx="7">
                  <c:v>170</c:v>
                </c:pt>
                <c:pt idx="8">
                  <c:v>172</c:v>
                </c:pt>
                <c:pt idx="9">
                  <c:v>174</c:v>
                </c:pt>
                <c:pt idx="10">
                  <c:v>174</c:v>
                </c:pt>
                <c:pt idx="11">
                  <c:v>174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'Comparatif listes'!$D$1</c:f>
              <c:strCache>
                <c:ptCount val="1"/>
                <c:pt idx="0">
                  <c:v>Pool 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'Comparatif listes'!$A$2:$A$13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cat>
          <c:val>
            <c:numRef>
              <c:f>'Comparatif listes'!$D$2:$D$13</c:f>
              <c:numCache>
                <c:formatCode>General</c:formatCode>
                <c:ptCount val="12"/>
                <c:pt idx="0">
                  <c:v>6</c:v>
                </c:pt>
                <c:pt idx="1">
                  <c:v>19</c:v>
                </c:pt>
                <c:pt idx="2">
                  <c:v>46</c:v>
                </c:pt>
                <c:pt idx="3">
                  <c:v>84</c:v>
                </c:pt>
                <c:pt idx="4">
                  <c:v>125</c:v>
                </c:pt>
                <c:pt idx="5">
                  <c:v>144</c:v>
                </c:pt>
                <c:pt idx="6">
                  <c:v>160</c:v>
                </c:pt>
                <c:pt idx="7">
                  <c:v>165</c:v>
                </c:pt>
                <c:pt idx="8">
                  <c:v>167</c:v>
                </c:pt>
                <c:pt idx="9">
                  <c:v>169</c:v>
                </c:pt>
                <c:pt idx="10">
                  <c:v>171</c:v>
                </c:pt>
                <c:pt idx="11">
                  <c:v>171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'Comparatif listes'!$E$1</c:f>
              <c:strCache>
                <c:ptCount val="1"/>
                <c:pt idx="0">
                  <c:v>ESPN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'Comparatif listes'!$A$2:$A$13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cat>
          <c:val>
            <c:numRef>
              <c:f>'Comparatif listes'!$E$2:$E$13</c:f>
              <c:numCache>
                <c:formatCode>General</c:formatCode>
                <c:ptCount val="12"/>
                <c:pt idx="0">
                  <c:v>5</c:v>
                </c:pt>
                <c:pt idx="1">
                  <c:v>25</c:v>
                </c:pt>
                <c:pt idx="2">
                  <c:v>62</c:v>
                </c:pt>
                <c:pt idx="3">
                  <c:v>95</c:v>
                </c:pt>
                <c:pt idx="4">
                  <c:v>121</c:v>
                </c:pt>
                <c:pt idx="5">
                  <c:v>134</c:v>
                </c:pt>
                <c:pt idx="6">
                  <c:v>148</c:v>
                </c:pt>
                <c:pt idx="7">
                  <c:v>155</c:v>
                </c:pt>
                <c:pt idx="8">
                  <c:v>159</c:v>
                </c:pt>
                <c:pt idx="9">
                  <c:v>162</c:v>
                </c:pt>
                <c:pt idx="10">
                  <c:v>167</c:v>
                </c:pt>
                <c:pt idx="11">
                  <c:v>169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'Comparatif listes'!$F$1</c:f>
              <c:strCache>
                <c:ptCount val="1"/>
                <c:pt idx="0">
                  <c:v>CBS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'Comparatif listes'!$A$2:$A$13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cat>
          <c:val>
            <c:numRef>
              <c:f>'Comparatif listes'!$F$2:$F$13</c:f>
              <c:numCache>
                <c:formatCode>General</c:formatCode>
                <c:ptCount val="12"/>
                <c:pt idx="0">
                  <c:v>4</c:v>
                </c:pt>
                <c:pt idx="1">
                  <c:v>18</c:v>
                </c:pt>
                <c:pt idx="2">
                  <c:v>40</c:v>
                </c:pt>
                <c:pt idx="3">
                  <c:v>79</c:v>
                </c:pt>
                <c:pt idx="4">
                  <c:v>115</c:v>
                </c:pt>
                <c:pt idx="5">
                  <c:v>142</c:v>
                </c:pt>
                <c:pt idx="6">
                  <c:v>155</c:v>
                </c:pt>
                <c:pt idx="7">
                  <c:v>165</c:v>
                </c:pt>
                <c:pt idx="8">
                  <c:v>170</c:v>
                </c:pt>
                <c:pt idx="9">
                  <c:v>172</c:v>
                </c:pt>
                <c:pt idx="10">
                  <c:v>172</c:v>
                </c:pt>
                <c:pt idx="11">
                  <c:v>173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'Comparatif listes'!$G$1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'Comparatif listes'!$A$2:$A$13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</c:numCache>
            </c:numRef>
          </c:cat>
          <c:val>
            <c:numRef>
              <c:f>'Comparatif listes'!$G$2:$G$13</c:f>
              <c:numCache>
                <c:formatCode>General</c:formatCode>
                <c:ptCount val="12"/>
                <c:pt idx="0">
                  <c:v>0</c:v>
                </c:pt>
                <c:pt idx="1">
                  <c:v>26</c:v>
                </c:pt>
                <c:pt idx="2">
                  <c:v>50</c:v>
                </c:pt>
                <c:pt idx="3">
                  <c:v>91</c:v>
                </c:pt>
                <c:pt idx="4">
                  <c:v>122</c:v>
                </c:pt>
                <c:pt idx="5">
                  <c:v>147</c:v>
                </c:pt>
                <c:pt idx="6">
                  <c:v>163</c:v>
                </c:pt>
                <c:pt idx="7">
                  <c:v>169</c:v>
                </c:pt>
                <c:pt idx="8">
                  <c:v>171</c:v>
                </c:pt>
                <c:pt idx="9">
                  <c:v>173</c:v>
                </c:pt>
                <c:pt idx="10">
                  <c:v>173</c:v>
                </c:pt>
                <c:pt idx="11">
                  <c:v>174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64176"/>
        <c:axId val="207563784"/>
      </c:lineChart>
      <c:catAx>
        <c:axId val="2075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563784"/>
        <c:crosses val="autoZero"/>
        <c:auto val="1"/>
        <c:lblAlgn val="ctr"/>
        <c:lblOffset val="100"/>
        <c:noMultiLvlLbl val="0"/>
      </c:catAx>
      <c:valAx>
        <c:axId val="20756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5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Erreur en fonction de l'âge</a:t>
            </a:r>
            <a:r>
              <a:rPr lang="fr-CA" baseline="0"/>
              <a:t> par liste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Liste!$P$2</c:f>
              <c:strCache>
                <c:ptCount val="1"/>
                <c:pt idx="0">
                  <c:v>Lepool.com2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Liste!$E$3:$E$177</c:f>
              <c:numCache>
                <c:formatCode>General</c:formatCode>
                <c:ptCount val="175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39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xVal>
          <c:yVal>
            <c:numRef>
              <c:f>Liste!$P$3:$P$177</c:f>
              <c:numCache>
                <c:formatCode>General</c:formatCode>
                <c:ptCount val="175"/>
                <c:pt idx="0">
                  <c:v>4</c:v>
                </c:pt>
                <c:pt idx="1">
                  <c:v>61</c:v>
                </c:pt>
                <c:pt idx="2">
                  <c:v>10</c:v>
                </c:pt>
                <c:pt idx="3">
                  <c:v>2</c:v>
                </c:pt>
                <c:pt idx="4">
                  <c:v>-26</c:v>
                </c:pt>
                <c:pt idx="5">
                  <c:v>-22</c:v>
                </c:pt>
                <c:pt idx="6">
                  <c:v>-19</c:v>
                </c:pt>
                <c:pt idx="7">
                  <c:v>-11</c:v>
                </c:pt>
                <c:pt idx="8">
                  <c:v>14</c:v>
                </c:pt>
                <c:pt idx="9">
                  <c:v>61</c:v>
                </c:pt>
                <c:pt idx="10">
                  <c:v>70</c:v>
                </c:pt>
                <c:pt idx="11">
                  <c:v>-21</c:v>
                </c:pt>
                <c:pt idx="12">
                  <c:v>-23</c:v>
                </c:pt>
                <c:pt idx="13">
                  <c:v>-11</c:v>
                </c:pt>
                <c:pt idx="14">
                  <c:v>4</c:v>
                </c:pt>
                <c:pt idx="15">
                  <c:v>-2</c:v>
                </c:pt>
                <c:pt idx="16">
                  <c:v>3</c:v>
                </c:pt>
                <c:pt idx="17">
                  <c:v>24</c:v>
                </c:pt>
                <c:pt idx="18">
                  <c:v>-20</c:v>
                </c:pt>
                <c:pt idx="19">
                  <c:v>-14</c:v>
                </c:pt>
                <c:pt idx="20">
                  <c:v>-11</c:v>
                </c:pt>
                <c:pt idx="21">
                  <c:v>0</c:v>
                </c:pt>
                <c:pt idx="22">
                  <c:v>8</c:v>
                </c:pt>
                <c:pt idx="23">
                  <c:v>-41</c:v>
                </c:pt>
                <c:pt idx="24">
                  <c:v>-19</c:v>
                </c:pt>
                <c:pt idx="25">
                  <c:v>-21</c:v>
                </c:pt>
                <c:pt idx="26">
                  <c:v>-19</c:v>
                </c:pt>
                <c:pt idx="27">
                  <c:v>-12</c:v>
                </c:pt>
                <c:pt idx="28">
                  <c:v>-7</c:v>
                </c:pt>
                <c:pt idx="29">
                  <c:v>-17</c:v>
                </c:pt>
                <c:pt idx="30">
                  <c:v>-3</c:v>
                </c:pt>
                <c:pt idx="31">
                  <c:v>2</c:v>
                </c:pt>
                <c:pt idx="32">
                  <c:v>50</c:v>
                </c:pt>
                <c:pt idx="33">
                  <c:v>16</c:v>
                </c:pt>
                <c:pt idx="34">
                  <c:v>10</c:v>
                </c:pt>
                <c:pt idx="35">
                  <c:v>7</c:v>
                </c:pt>
                <c:pt idx="36">
                  <c:v>-27</c:v>
                </c:pt>
                <c:pt idx="37">
                  <c:v>-26</c:v>
                </c:pt>
                <c:pt idx="38">
                  <c:v>-27</c:v>
                </c:pt>
                <c:pt idx="39">
                  <c:v>-10</c:v>
                </c:pt>
                <c:pt idx="40">
                  <c:v>-15</c:v>
                </c:pt>
                <c:pt idx="41">
                  <c:v>33</c:v>
                </c:pt>
                <c:pt idx="42">
                  <c:v>-13</c:v>
                </c:pt>
                <c:pt idx="43">
                  <c:v>-5</c:v>
                </c:pt>
                <c:pt idx="44">
                  <c:v>-9</c:v>
                </c:pt>
                <c:pt idx="45">
                  <c:v>-8</c:v>
                </c:pt>
                <c:pt idx="46">
                  <c:v>-14</c:v>
                </c:pt>
                <c:pt idx="47">
                  <c:v>-11</c:v>
                </c:pt>
                <c:pt idx="48">
                  <c:v>-3</c:v>
                </c:pt>
                <c:pt idx="49">
                  <c:v>-10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19</c:v>
                </c:pt>
                <c:pt idx="54">
                  <c:v>-21</c:v>
                </c:pt>
                <c:pt idx="55">
                  <c:v>-18</c:v>
                </c:pt>
                <c:pt idx="56">
                  <c:v>-10</c:v>
                </c:pt>
                <c:pt idx="57">
                  <c:v>-13</c:v>
                </c:pt>
                <c:pt idx="58">
                  <c:v>-8</c:v>
                </c:pt>
                <c:pt idx="59">
                  <c:v>-15</c:v>
                </c:pt>
                <c:pt idx="60">
                  <c:v>-2</c:v>
                </c:pt>
                <c:pt idx="61">
                  <c:v>-6</c:v>
                </c:pt>
                <c:pt idx="62">
                  <c:v>0</c:v>
                </c:pt>
                <c:pt idx="63">
                  <c:v>-2</c:v>
                </c:pt>
                <c:pt idx="64">
                  <c:v>3</c:v>
                </c:pt>
                <c:pt idx="65">
                  <c:v>-4</c:v>
                </c:pt>
                <c:pt idx="66">
                  <c:v>5</c:v>
                </c:pt>
                <c:pt idx="67">
                  <c:v>-15</c:v>
                </c:pt>
                <c:pt idx="68">
                  <c:v>-14</c:v>
                </c:pt>
                <c:pt idx="69">
                  <c:v>-9</c:v>
                </c:pt>
                <c:pt idx="70">
                  <c:v>-13</c:v>
                </c:pt>
                <c:pt idx="71">
                  <c:v>-5</c:v>
                </c:pt>
                <c:pt idx="72">
                  <c:v>-7</c:v>
                </c:pt>
                <c:pt idx="73">
                  <c:v>-15</c:v>
                </c:pt>
                <c:pt idx="74">
                  <c:v>-2</c:v>
                </c:pt>
                <c:pt idx="75">
                  <c:v>0</c:v>
                </c:pt>
                <c:pt idx="76">
                  <c:v>-5</c:v>
                </c:pt>
                <c:pt idx="77">
                  <c:v>3</c:v>
                </c:pt>
                <c:pt idx="78">
                  <c:v>12</c:v>
                </c:pt>
                <c:pt idx="79">
                  <c:v>4</c:v>
                </c:pt>
                <c:pt idx="80">
                  <c:v>18</c:v>
                </c:pt>
                <c:pt idx="81">
                  <c:v>-21</c:v>
                </c:pt>
                <c:pt idx="82">
                  <c:v>-13</c:v>
                </c:pt>
                <c:pt idx="83">
                  <c:v>-6</c:v>
                </c:pt>
                <c:pt idx="84">
                  <c:v>-9</c:v>
                </c:pt>
                <c:pt idx="85">
                  <c:v>36</c:v>
                </c:pt>
                <c:pt idx="86">
                  <c:v>4</c:v>
                </c:pt>
                <c:pt idx="87">
                  <c:v>-7</c:v>
                </c:pt>
                <c:pt idx="88">
                  <c:v>1</c:v>
                </c:pt>
                <c:pt idx="89">
                  <c:v>6</c:v>
                </c:pt>
                <c:pt idx="90">
                  <c:v>8</c:v>
                </c:pt>
                <c:pt idx="91">
                  <c:v>8</c:v>
                </c:pt>
                <c:pt idx="92">
                  <c:v>-17</c:v>
                </c:pt>
                <c:pt idx="93">
                  <c:v>-16</c:v>
                </c:pt>
                <c:pt idx="94">
                  <c:v>-5</c:v>
                </c:pt>
                <c:pt idx="95">
                  <c:v>-8</c:v>
                </c:pt>
                <c:pt idx="96">
                  <c:v>-8</c:v>
                </c:pt>
                <c:pt idx="97">
                  <c:v>-6</c:v>
                </c:pt>
                <c:pt idx="98">
                  <c:v>45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29</c:v>
                </c:pt>
                <c:pt idx="103">
                  <c:v>-25</c:v>
                </c:pt>
                <c:pt idx="104">
                  <c:v>-32</c:v>
                </c:pt>
                <c:pt idx="105">
                  <c:v>-18</c:v>
                </c:pt>
                <c:pt idx="106">
                  <c:v>-25</c:v>
                </c:pt>
                <c:pt idx="107">
                  <c:v>-18</c:v>
                </c:pt>
                <c:pt idx="108">
                  <c:v>-11</c:v>
                </c:pt>
                <c:pt idx="109">
                  <c:v>-13</c:v>
                </c:pt>
                <c:pt idx="110">
                  <c:v>2</c:v>
                </c:pt>
                <c:pt idx="111">
                  <c:v>0</c:v>
                </c:pt>
                <c:pt idx="112">
                  <c:v>5</c:v>
                </c:pt>
                <c:pt idx="113">
                  <c:v>8</c:v>
                </c:pt>
                <c:pt idx="114">
                  <c:v>-8</c:v>
                </c:pt>
                <c:pt idx="115">
                  <c:v>41</c:v>
                </c:pt>
                <c:pt idx="116">
                  <c:v>2</c:v>
                </c:pt>
                <c:pt idx="117">
                  <c:v>2</c:v>
                </c:pt>
                <c:pt idx="118">
                  <c:v>-11</c:v>
                </c:pt>
                <c:pt idx="119">
                  <c:v>1</c:v>
                </c:pt>
                <c:pt idx="120">
                  <c:v>55</c:v>
                </c:pt>
                <c:pt idx="121">
                  <c:v>-25</c:v>
                </c:pt>
                <c:pt idx="122">
                  <c:v>-13</c:v>
                </c:pt>
                <c:pt idx="123">
                  <c:v>25</c:v>
                </c:pt>
                <c:pt idx="124">
                  <c:v>-17</c:v>
                </c:pt>
                <c:pt idx="125">
                  <c:v>-10</c:v>
                </c:pt>
                <c:pt idx="126">
                  <c:v>-12</c:v>
                </c:pt>
                <c:pt idx="127">
                  <c:v>-11</c:v>
                </c:pt>
                <c:pt idx="128">
                  <c:v>-10</c:v>
                </c:pt>
                <c:pt idx="129">
                  <c:v>39</c:v>
                </c:pt>
                <c:pt idx="130">
                  <c:v>-3</c:v>
                </c:pt>
                <c:pt idx="131">
                  <c:v>-5</c:v>
                </c:pt>
                <c:pt idx="132">
                  <c:v>8</c:v>
                </c:pt>
                <c:pt idx="133">
                  <c:v>-1</c:v>
                </c:pt>
                <c:pt idx="134">
                  <c:v>10</c:v>
                </c:pt>
                <c:pt idx="135">
                  <c:v>-10</c:v>
                </c:pt>
                <c:pt idx="136">
                  <c:v>-15</c:v>
                </c:pt>
                <c:pt idx="137">
                  <c:v>-13</c:v>
                </c:pt>
                <c:pt idx="138">
                  <c:v>38</c:v>
                </c:pt>
                <c:pt idx="139">
                  <c:v>-13</c:v>
                </c:pt>
                <c:pt idx="140">
                  <c:v>-8</c:v>
                </c:pt>
                <c:pt idx="141">
                  <c:v>-3</c:v>
                </c:pt>
                <c:pt idx="142">
                  <c:v>6</c:v>
                </c:pt>
                <c:pt idx="143">
                  <c:v>14</c:v>
                </c:pt>
                <c:pt idx="144">
                  <c:v>-26</c:v>
                </c:pt>
                <c:pt idx="145">
                  <c:v>-17</c:v>
                </c:pt>
                <c:pt idx="146">
                  <c:v>-13</c:v>
                </c:pt>
                <c:pt idx="147">
                  <c:v>4</c:v>
                </c:pt>
                <c:pt idx="148">
                  <c:v>6</c:v>
                </c:pt>
                <c:pt idx="149">
                  <c:v>28</c:v>
                </c:pt>
                <c:pt idx="150">
                  <c:v>-13</c:v>
                </c:pt>
                <c:pt idx="151">
                  <c:v>1</c:v>
                </c:pt>
                <c:pt idx="152">
                  <c:v>-2</c:v>
                </c:pt>
                <c:pt idx="153">
                  <c:v>-22</c:v>
                </c:pt>
                <c:pt idx="154">
                  <c:v>-16</c:v>
                </c:pt>
                <c:pt idx="155">
                  <c:v>-11</c:v>
                </c:pt>
                <c:pt idx="156">
                  <c:v>16</c:v>
                </c:pt>
                <c:pt idx="157">
                  <c:v>-21</c:v>
                </c:pt>
                <c:pt idx="158">
                  <c:v>45</c:v>
                </c:pt>
                <c:pt idx="159">
                  <c:v>-4</c:v>
                </c:pt>
                <c:pt idx="160">
                  <c:v>-18</c:v>
                </c:pt>
                <c:pt idx="161">
                  <c:v>-54</c:v>
                </c:pt>
                <c:pt idx="162">
                  <c:v>-38</c:v>
                </c:pt>
                <c:pt idx="163">
                  <c:v>-33</c:v>
                </c:pt>
                <c:pt idx="164">
                  <c:v>-26</c:v>
                </c:pt>
                <c:pt idx="165">
                  <c:v>-24</c:v>
                </c:pt>
                <c:pt idx="166">
                  <c:v>-24</c:v>
                </c:pt>
                <c:pt idx="167">
                  <c:v>-13</c:v>
                </c:pt>
                <c:pt idx="168">
                  <c:v>-10</c:v>
                </c:pt>
                <c:pt idx="169">
                  <c:v>-8</c:v>
                </c:pt>
                <c:pt idx="170">
                  <c:v>-7</c:v>
                </c:pt>
                <c:pt idx="171">
                  <c:v>-5</c:v>
                </c:pt>
                <c:pt idx="172">
                  <c:v>-9</c:v>
                </c:pt>
                <c:pt idx="173">
                  <c:v>-51</c:v>
                </c:pt>
                <c:pt idx="174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Liste!$Q$2</c:f>
              <c:strCache>
                <c:ptCount val="1"/>
                <c:pt idx="0">
                  <c:v>HM2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Liste!$E$3:$E$177</c:f>
              <c:numCache>
                <c:formatCode>General</c:formatCode>
                <c:ptCount val="175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39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xVal>
          <c:yVal>
            <c:numRef>
              <c:f>Liste!$Q$3:$Q$177</c:f>
              <c:numCache>
                <c:formatCode>General</c:formatCode>
                <c:ptCount val="175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-20</c:v>
                </c:pt>
                <c:pt idx="5">
                  <c:v>-20</c:v>
                </c:pt>
                <c:pt idx="6">
                  <c:v>-19</c:v>
                </c:pt>
                <c:pt idx="7">
                  <c:v>-8</c:v>
                </c:pt>
                <c:pt idx="8">
                  <c:v>15</c:v>
                </c:pt>
                <c:pt idx="9">
                  <c:v>20</c:v>
                </c:pt>
                <c:pt idx="10">
                  <c:v>22</c:v>
                </c:pt>
                <c:pt idx="11">
                  <c:v>-19</c:v>
                </c:pt>
                <c:pt idx="12">
                  <c:v>-17</c:v>
                </c:pt>
                <c:pt idx="13">
                  <c:v>-8</c:v>
                </c:pt>
                <c:pt idx="14">
                  <c:v>-6</c:v>
                </c:pt>
                <c:pt idx="15">
                  <c:v>-3</c:v>
                </c:pt>
                <c:pt idx="16">
                  <c:v>8</c:v>
                </c:pt>
                <c:pt idx="17">
                  <c:v>19</c:v>
                </c:pt>
                <c:pt idx="18">
                  <c:v>-17</c:v>
                </c:pt>
                <c:pt idx="19">
                  <c:v>-10</c:v>
                </c:pt>
                <c:pt idx="20">
                  <c:v>-10</c:v>
                </c:pt>
                <c:pt idx="21">
                  <c:v>-2</c:v>
                </c:pt>
                <c:pt idx="22">
                  <c:v>7</c:v>
                </c:pt>
                <c:pt idx="23">
                  <c:v>-40</c:v>
                </c:pt>
                <c:pt idx="24">
                  <c:v>-23</c:v>
                </c:pt>
                <c:pt idx="25">
                  <c:v>-18</c:v>
                </c:pt>
                <c:pt idx="26">
                  <c:v>-17</c:v>
                </c:pt>
                <c:pt idx="27">
                  <c:v>-12</c:v>
                </c:pt>
                <c:pt idx="28">
                  <c:v>-6</c:v>
                </c:pt>
                <c:pt idx="29">
                  <c:v>-6</c:v>
                </c:pt>
                <c:pt idx="30">
                  <c:v>-5</c:v>
                </c:pt>
                <c:pt idx="31">
                  <c:v>1</c:v>
                </c:pt>
                <c:pt idx="32">
                  <c:v>5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-26</c:v>
                </c:pt>
                <c:pt idx="37">
                  <c:v>-25</c:v>
                </c:pt>
                <c:pt idx="38">
                  <c:v>-25</c:v>
                </c:pt>
                <c:pt idx="39">
                  <c:v>-16</c:v>
                </c:pt>
                <c:pt idx="40">
                  <c:v>-15</c:v>
                </c:pt>
                <c:pt idx="41">
                  <c:v>-14</c:v>
                </c:pt>
                <c:pt idx="42">
                  <c:v>-13</c:v>
                </c:pt>
                <c:pt idx="43">
                  <c:v>-11</c:v>
                </c:pt>
                <c:pt idx="44">
                  <c:v>-11</c:v>
                </c:pt>
                <c:pt idx="45">
                  <c:v>-11</c:v>
                </c:pt>
                <c:pt idx="46">
                  <c:v>-8</c:v>
                </c:pt>
                <c:pt idx="47">
                  <c:v>-7</c:v>
                </c:pt>
                <c:pt idx="48">
                  <c:v>-4</c:v>
                </c:pt>
                <c:pt idx="49">
                  <c:v>-4</c:v>
                </c:pt>
                <c:pt idx="50">
                  <c:v>8</c:v>
                </c:pt>
                <c:pt idx="51">
                  <c:v>9</c:v>
                </c:pt>
                <c:pt idx="52">
                  <c:v>11</c:v>
                </c:pt>
                <c:pt idx="53">
                  <c:v>23</c:v>
                </c:pt>
                <c:pt idx="54">
                  <c:v>-24</c:v>
                </c:pt>
                <c:pt idx="55">
                  <c:v>-18</c:v>
                </c:pt>
                <c:pt idx="56">
                  <c:v>-15</c:v>
                </c:pt>
                <c:pt idx="57">
                  <c:v>-14</c:v>
                </c:pt>
                <c:pt idx="58">
                  <c:v>-13</c:v>
                </c:pt>
                <c:pt idx="59">
                  <c:v>-13</c:v>
                </c:pt>
                <c:pt idx="60">
                  <c:v>-9</c:v>
                </c:pt>
                <c:pt idx="61">
                  <c:v>-7</c:v>
                </c:pt>
                <c:pt idx="62">
                  <c:v>-3</c:v>
                </c:pt>
                <c:pt idx="63">
                  <c:v>-2</c:v>
                </c:pt>
                <c:pt idx="64">
                  <c:v>0</c:v>
                </c:pt>
                <c:pt idx="65">
                  <c:v>1</c:v>
                </c:pt>
                <c:pt idx="66">
                  <c:v>8</c:v>
                </c:pt>
                <c:pt idx="67">
                  <c:v>-22</c:v>
                </c:pt>
                <c:pt idx="68">
                  <c:v>-19</c:v>
                </c:pt>
                <c:pt idx="69">
                  <c:v>-17</c:v>
                </c:pt>
                <c:pt idx="70">
                  <c:v>-15</c:v>
                </c:pt>
                <c:pt idx="71">
                  <c:v>-11</c:v>
                </c:pt>
                <c:pt idx="72">
                  <c:v>-9</c:v>
                </c:pt>
                <c:pt idx="73">
                  <c:v>-9</c:v>
                </c:pt>
                <c:pt idx="74">
                  <c:v>-1</c:v>
                </c:pt>
                <c:pt idx="75">
                  <c:v>1</c:v>
                </c:pt>
                <c:pt idx="76">
                  <c:v>1</c:v>
                </c:pt>
                <c:pt idx="77">
                  <c:v>5</c:v>
                </c:pt>
                <c:pt idx="78">
                  <c:v>13</c:v>
                </c:pt>
                <c:pt idx="79">
                  <c:v>13</c:v>
                </c:pt>
                <c:pt idx="80">
                  <c:v>22</c:v>
                </c:pt>
                <c:pt idx="81">
                  <c:v>-23</c:v>
                </c:pt>
                <c:pt idx="82">
                  <c:v>-13</c:v>
                </c:pt>
                <c:pt idx="83">
                  <c:v>-11</c:v>
                </c:pt>
                <c:pt idx="84">
                  <c:v>-6</c:v>
                </c:pt>
                <c:pt idx="85">
                  <c:v>-6</c:v>
                </c:pt>
                <c:pt idx="86">
                  <c:v>-2</c:v>
                </c:pt>
                <c:pt idx="87">
                  <c:v>0</c:v>
                </c:pt>
                <c:pt idx="88">
                  <c:v>4</c:v>
                </c:pt>
                <c:pt idx="89">
                  <c:v>10</c:v>
                </c:pt>
                <c:pt idx="90">
                  <c:v>11</c:v>
                </c:pt>
                <c:pt idx="91">
                  <c:v>13</c:v>
                </c:pt>
                <c:pt idx="92">
                  <c:v>-19</c:v>
                </c:pt>
                <c:pt idx="93">
                  <c:v>-12</c:v>
                </c:pt>
                <c:pt idx="94">
                  <c:v>-9</c:v>
                </c:pt>
                <c:pt idx="95">
                  <c:v>-5</c:v>
                </c:pt>
                <c:pt idx="96">
                  <c:v>-4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32</c:v>
                </c:pt>
                <c:pt idx="103">
                  <c:v>-35</c:v>
                </c:pt>
                <c:pt idx="104">
                  <c:v>-22</c:v>
                </c:pt>
                <c:pt idx="105">
                  <c:v>-21</c:v>
                </c:pt>
                <c:pt idx="106">
                  <c:v>-20</c:v>
                </c:pt>
                <c:pt idx="107">
                  <c:v>-19</c:v>
                </c:pt>
                <c:pt idx="108">
                  <c:v>-8</c:v>
                </c:pt>
                <c:pt idx="109">
                  <c:v>-6</c:v>
                </c:pt>
                <c:pt idx="110">
                  <c:v>-4</c:v>
                </c:pt>
                <c:pt idx="111">
                  <c:v>0</c:v>
                </c:pt>
                <c:pt idx="112">
                  <c:v>7</c:v>
                </c:pt>
                <c:pt idx="113">
                  <c:v>9</c:v>
                </c:pt>
                <c:pt idx="114">
                  <c:v>-7</c:v>
                </c:pt>
                <c:pt idx="115">
                  <c:v>-4</c:v>
                </c:pt>
                <c:pt idx="116">
                  <c:v>-4</c:v>
                </c:pt>
                <c:pt idx="117">
                  <c:v>-1</c:v>
                </c:pt>
                <c:pt idx="118">
                  <c:v>5</c:v>
                </c:pt>
                <c:pt idx="119">
                  <c:v>5</c:v>
                </c:pt>
                <c:pt idx="120">
                  <c:v>10</c:v>
                </c:pt>
                <c:pt idx="121">
                  <c:v>-19</c:v>
                </c:pt>
                <c:pt idx="122">
                  <c:v>-15</c:v>
                </c:pt>
                <c:pt idx="123">
                  <c:v>-15</c:v>
                </c:pt>
                <c:pt idx="124">
                  <c:v>-12</c:v>
                </c:pt>
                <c:pt idx="125">
                  <c:v>-10</c:v>
                </c:pt>
                <c:pt idx="126">
                  <c:v>-9</c:v>
                </c:pt>
                <c:pt idx="127">
                  <c:v>-7</c:v>
                </c:pt>
                <c:pt idx="128">
                  <c:v>-6</c:v>
                </c:pt>
                <c:pt idx="129">
                  <c:v>-3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7</c:v>
                </c:pt>
                <c:pt idx="135">
                  <c:v>-18</c:v>
                </c:pt>
                <c:pt idx="136">
                  <c:v>-13</c:v>
                </c:pt>
                <c:pt idx="137">
                  <c:v>-11</c:v>
                </c:pt>
                <c:pt idx="138">
                  <c:v>-8</c:v>
                </c:pt>
                <c:pt idx="139">
                  <c:v>-8</c:v>
                </c:pt>
                <c:pt idx="140">
                  <c:v>-6</c:v>
                </c:pt>
                <c:pt idx="141">
                  <c:v>7</c:v>
                </c:pt>
                <c:pt idx="142">
                  <c:v>8</c:v>
                </c:pt>
                <c:pt idx="143">
                  <c:v>24</c:v>
                </c:pt>
                <c:pt idx="144">
                  <c:v>-24</c:v>
                </c:pt>
                <c:pt idx="145">
                  <c:v>-14</c:v>
                </c:pt>
                <c:pt idx="146">
                  <c:v>-12</c:v>
                </c:pt>
                <c:pt idx="147">
                  <c:v>3</c:v>
                </c:pt>
                <c:pt idx="148">
                  <c:v>4</c:v>
                </c:pt>
                <c:pt idx="149">
                  <c:v>-15</c:v>
                </c:pt>
                <c:pt idx="150">
                  <c:v>-3</c:v>
                </c:pt>
                <c:pt idx="151">
                  <c:v>2</c:v>
                </c:pt>
                <c:pt idx="152">
                  <c:v>1</c:v>
                </c:pt>
                <c:pt idx="153">
                  <c:v>-17</c:v>
                </c:pt>
                <c:pt idx="154">
                  <c:v>-13</c:v>
                </c:pt>
                <c:pt idx="155">
                  <c:v>-3</c:v>
                </c:pt>
                <c:pt idx="156">
                  <c:v>18</c:v>
                </c:pt>
                <c:pt idx="157">
                  <c:v>-22</c:v>
                </c:pt>
                <c:pt idx="158">
                  <c:v>5</c:v>
                </c:pt>
                <c:pt idx="159">
                  <c:v>7</c:v>
                </c:pt>
                <c:pt idx="160">
                  <c:v>-12</c:v>
                </c:pt>
                <c:pt idx="161">
                  <c:v>-51</c:v>
                </c:pt>
                <c:pt idx="162">
                  <c:v>-36</c:v>
                </c:pt>
                <c:pt idx="163">
                  <c:v>-29</c:v>
                </c:pt>
                <c:pt idx="164">
                  <c:v>-28</c:v>
                </c:pt>
                <c:pt idx="165">
                  <c:v>-22</c:v>
                </c:pt>
                <c:pt idx="166">
                  <c:v>-20</c:v>
                </c:pt>
                <c:pt idx="167">
                  <c:v>-20</c:v>
                </c:pt>
                <c:pt idx="168">
                  <c:v>-12</c:v>
                </c:pt>
                <c:pt idx="169">
                  <c:v>-11</c:v>
                </c:pt>
                <c:pt idx="170">
                  <c:v>-7</c:v>
                </c:pt>
                <c:pt idx="171">
                  <c:v>-6</c:v>
                </c:pt>
                <c:pt idx="172">
                  <c:v>-5</c:v>
                </c:pt>
                <c:pt idx="173">
                  <c:v>0</c:v>
                </c:pt>
                <c:pt idx="174">
                  <c:v>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Liste!$R$2</c:f>
              <c:strCache>
                <c:ptCount val="1"/>
                <c:pt idx="0">
                  <c:v>Pool Pro2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Liste!$E$3:$E$177</c:f>
              <c:numCache>
                <c:formatCode>General</c:formatCode>
                <c:ptCount val="175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39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xVal>
          <c:yVal>
            <c:numRef>
              <c:f>Liste!$R$3:$R$177</c:f>
              <c:numCache>
                <c:formatCode>General</c:formatCode>
                <c:ptCount val="175"/>
                <c:pt idx="0">
                  <c:v>64</c:v>
                </c:pt>
                <c:pt idx="1">
                  <c:v>61</c:v>
                </c:pt>
                <c:pt idx="2">
                  <c:v>15</c:v>
                </c:pt>
                <c:pt idx="3">
                  <c:v>69</c:v>
                </c:pt>
                <c:pt idx="4">
                  <c:v>-21</c:v>
                </c:pt>
                <c:pt idx="5">
                  <c:v>-25</c:v>
                </c:pt>
                <c:pt idx="6">
                  <c:v>-22</c:v>
                </c:pt>
                <c:pt idx="7">
                  <c:v>-9</c:v>
                </c:pt>
                <c:pt idx="8">
                  <c:v>18</c:v>
                </c:pt>
                <c:pt idx="9">
                  <c:v>19</c:v>
                </c:pt>
                <c:pt idx="10">
                  <c:v>23</c:v>
                </c:pt>
                <c:pt idx="11">
                  <c:v>-14</c:v>
                </c:pt>
                <c:pt idx="12">
                  <c:v>-23</c:v>
                </c:pt>
                <c:pt idx="13">
                  <c:v>-9</c:v>
                </c:pt>
                <c:pt idx="14">
                  <c:v>-9</c:v>
                </c:pt>
                <c:pt idx="15">
                  <c:v>0</c:v>
                </c:pt>
                <c:pt idx="16">
                  <c:v>4</c:v>
                </c:pt>
                <c:pt idx="17">
                  <c:v>17</c:v>
                </c:pt>
                <c:pt idx="18">
                  <c:v>-18</c:v>
                </c:pt>
                <c:pt idx="19">
                  <c:v>-9</c:v>
                </c:pt>
                <c:pt idx="20">
                  <c:v>-8</c:v>
                </c:pt>
                <c:pt idx="21">
                  <c:v>0</c:v>
                </c:pt>
                <c:pt idx="22">
                  <c:v>17</c:v>
                </c:pt>
                <c:pt idx="23">
                  <c:v>-37</c:v>
                </c:pt>
                <c:pt idx="24">
                  <c:v>-13</c:v>
                </c:pt>
                <c:pt idx="25">
                  <c:v>-18</c:v>
                </c:pt>
                <c:pt idx="26">
                  <c:v>-12</c:v>
                </c:pt>
                <c:pt idx="27">
                  <c:v>-5</c:v>
                </c:pt>
                <c:pt idx="28">
                  <c:v>-6</c:v>
                </c:pt>
                <c:pt idx="29">
                  <c:v>-11</c:v>
                </c:pt>
                <c:pt idx="30">
                  <c:v>-4</c:v>
                </c:pt>
                <c:pt idx="31">
                  <c:v>4</c:v>
                </c:pt>
                <c:pt idx="32">
                  <c:v>5</c:v>
                </c:pt>
                <c:pt idx="33">
                  <c:v>15</c:v>
                </c:pt>
                <c:pt idx="34">
                  <c:v>12</c:v>
                </c:pt>
                <c:pt idx="35">
                  <c:v>15</c:v>
                </c:pt>
                <c:pt idx="36">
                  <c:v>-30</c:v>
                </c:pt>
                <c:pt idx="37">
                  <c:v>-23</c:v>
                </c:pt>
                <c:pt idx="38">
                  <c:v>-21</c:v>
                </c:pt>
                <c:pt idx="39">
                  <c:v>-13</c:v>
                </c:pt>
                <c:pt idx="40">
                  <c:v>-6</c:v>
                </c:pt>
                <c:pt idx="41">
                  <c:v>-16</c:v>
                </c:pt>
                <c:pt idx="42">
                  <c:v>-11</c:v>
                </c:pt>
                <c:pt idx="43">
                  <c:v>-5</c:v>
                </c:pt>
                <c:pt idx="44">
                  <c:v>-5</c:v>
                </c:pt>
                <c:pt idx="45">
                  <c:v>-11</c:v>
                </c:pt>
                <c:pt idx="46">
                  <c:v>-10</c:v>
                </c:pt>
                <c:pt idx="47">
                  <c:v>-6</c:v>
                </c:pt>
                <c:pt idx="48">
                  <c:v>-2</c:v>
                </c:pt>
                <c:pt idx="49">
                  <c:v>-9</c:v>
                </c:pt>
                <c:pt idx="50">
                  <c:v>7</c:v>
                </c:pt>
                <c:pt idx="51">
                  <c:v>10</c:v>
                </c:pt>
                <c:pt idx="52">
                  <c:v>9</c:v>
                </c:pt>
                <c:pt idx="53">
                  <c:v>23</c:v>
                </c:pt>
                <c:pt idx="54">
                  <c:v>-20</c:v>
                </c:pt>
                <c:pt idx="55">
                  <c:v>-19</c:v>
                </c:pt>
                <c:pt idx="56">
                  <c:v>-11</c:v>
                </c:pt>
                <c:pt idx="57">
                  <c:v>-15</c:v>
                </c:pt>
                <c:pt idx="58">
                  <c:v>-9</c:v>
                </c:pt>
                <c:pt idx="59">
                  <c:v>-12</c:v>
                </c:pt>
                <c:pt idx="60">
                  <c:v>-6</c:v>
                </c:pt>
                <c:pt idx="61">
                  <c:v>3</c:v>
                </c:pt>
                <c:pt idx="62">
                  <c:v>-5</c:v>
                </c:pt>
                <c:pt idx="63">
                  <c:v>0</c:v>
                </c:pt>
                <c:pt idx="64">
                  <c:v>2</c:v>
                </c:pt>
                <c:pt idx="65">
                  <c:v>-3</c:v>
                </c:pt>
                <c:pt idx="66">
                  <c:v>6</c:v>
                </c:pt>
                <c:pt idx="67">
                  <c:v>-13</c:v>
                </c:pt>
                <c:pt idx="68">
                  <c:v>-10</c:v>
                </c:pt>
                <c:pt idx="69">
                  <c:v>-20</c:v>
                </c:pt>
                <c:pt idx="70">
                  <c:v>-13</c:v>
                </c:pt>
                <c:pt idx="71">
                  <c:v>-10</c:v>
                </c:pt>
                <c:pt idx="72">
                  <c:v>-7</c:v>
                </c:pt>
                <c:pt idx="73">
                  <c:v>-11</c:v>
                </c:pt>
                <c:pt idx="74">
                  <c:v>-1</c:v>
                </c:pt>
                <c:pt idx="75">
                  <c:v>3</c:v>
                </c:pt>
                <c:pt idx="76">
                  <c:v>3</c:v>
                </c:pt>
                <c:pt idx="77">
                  <c:v>7</c:v>
                </c:pt>
                <c:pt idx="78">
                  <c:v>12</c:v>
                </c:pt>
                <c:pt idx="79">
                  <c:v>13</c:v>
                </c:pt>
                <c:pt idx="80">
                  <c:v>19</c:v>
                </c:pt>
                <c:pt idx="81">
                  <c:v>-22</c:v>
                </c:pt>
                <c:pt idx="82">
                  <c:v>-16</c:v>
                </c:pt>
                <c:pt idx="83">
                  <c:v>-6</c:v>
                </c:pt>
                <c:pt idx="84">
                  <c:v>-2</c:v>
                </c:pt>
                <c:pt idx="85">
                  <c:v>-11</c:v>
                </c:pt>
                <c:pt idx="86">
                  <c:v>3</c:v>
                </c:pt>
                <c:pt idx="87">
                  <c:v>0</c:v>
                </c:pt>
                <c:pt idx="88">
                  <c:v>4</c:v>
                </c:pt>
                <c:pt idx="89">
                  <c:v>9</c:v>
                </c:pt>
                <c:pt idx="90">
                  <c:v>10</c:v>
                </c:pt>
                <c:pt idx="91">
                  <c:v>14</c:v>
                </c:pt>
                <c:pt idx="92">
                  <c:v>-18</c:v>
                </c:pt>
                <c:pt idx="93">
                  <c:v>-17</c:v>
                </c:pt>
                <c:pt idx="94">
                  <c:v>-4</c:v>
                </c:pt>
                <c:pt idx="95">
                  <c:v>-13</c:v>
                </c:pt>
                <c:pt idx="96">
                  <c:v>-6</c:v>
                </c:pt>
                <c:pt idx="97">
                  <c:v>-1</c:v>
                </c:pt>
                <c:pt idx="98">
                  <c:v>3</c:v>
                </c:pt>
                <c:pt idx="99">
                  <c:v>-6</c:v>
                </c:pt>
                <c:pt idx="100">
                  <c:v>-1</c:v>
                </c:pt>
                <c:pt idx="101">
                  <c:v>1</c:v>
                </c:pt>
                <c:pt idx="102">
                  <c:v>27</c:v>
                </c:pt>
                <c:pt idx="103">
                  <c:v>-36</c:v>
                </c:pt>
                <c:pt idx="104">
                  <c:v>-35</c:v>
                </c:pt>
                <c:pt idx="105">
                  <c:v>-23</c:v>
                </c:pt>
                <c:pt idx="106">
                  <c:v>-16</c:v>
                </c:pt>
                <c:pt idx="107">
                  <c:v>-15</c:v>
                </c:pt>
                <c:pt idx="108">
                  <c:v>-11</c:v>
                </c:pt>
                <c:pt idx="109">
                  <c:v>-4</c:v>
                </c:pt>
                <c:pt idx="110">
                  <c:v>-13</c:v>
                </c:pt>
                <c:pt idx="111">
                  <c:v>0</c:v>
                </c:pt>
                <c:pt idx="112">
                  <c:v>9</c:v>
                </c:pt>
                <c:pt idx="113">
                  <c:v>5</c:v>
                </c:pt>
                <c:pt idx="114">
                  <c:v>-4</c:v>
                </c:pt>
                <c:pt idx="115">
                  <c:v>41</c:v>
                </c:pt>
                <c:pt idx="116">
                  <c:v>-10</c:v>
                </c:pt>
                <c:pt idx="117">
                  <c:v>0</c:v>
                </c:pt>
                <c:pt idx="118">
                  <c:v>-5</c:v>
                </c:pt>
                <c:pt idx="119">
                  <c:v>6</c:v>
                </c:pt>
                <c:pt idx="120">
                  <c:v>13</c:v>
                </c:pt>
                <c:pt idx="121">
                  <c:v>-23</c:v>
                </c:pt>
                <c:pt idx="122">
                  <c:v>-12</c:v>
                </c:pt>
                <c:pt idx="123">
                  <c:v>-24</c:v>
                </c:pt>
                <c:pt idx="124">
                  <c:v>-12</c:v>
                </c:pt>
                <c:pt idx="125">
                  <c:v>-7</c:v>
                </c:pt>
                <c:pt idx="126">
                  <c:v>-12</c:v>
                </c:pt>
                <c:pt idx="127">
                  <c:v>-11</c:v>
                </c:pt>
                <c:pt idx="128">
                  <c:v>-6</c:v>
                </c:pt>
                <c:pt idx="129">
                  <c:v>-2</c:v>
                </c:pt>
                <c:pt idx="130">
                  <c:v>2</c:v>
                </c:pt>
                <c:pt idx="131">
                  <c:v>-3</c:v>
                </c:pt>
                <c:pt idx="132">
                  <c:v>4</c:v>
                </c:pt>
                <c:pt idx="133">
                  <c:v>5</c:v>
                </c:pt>
                <c:pt idx="134">
                  <c:v>12</c:v>
                </c:pt>
                <c:pt idx="135">
                  <c:v>-23</c:v>
                </c:pt>
                <c:pt idx="136">
                  <c:v>-10</c:v>
                </c:pt>
                <c:pt idx="137">
                  <c:v>-4</c:v>
                </c:pt>
                <c:pt idx="138">
                  <c:v>2</c:v>
                </c:pt>
                <c:pt idx="139">
                  <c:v>-14</c:v>
                </c:pt>
                <c:pt idx="140">
                  <c:v>-7</c:v>
                </c:pt>
                <c:pt idx="141">
                  <c:v>11</c:v>
                </c:pt>
                <c:pt idx="142">
                  <c:v>8</c:v>
                </c:pt>
                <c:pt idx="143">
                  <c:v>21</c:v>
                </c:pt>
                <c:pt idx="144">
                  <c:v>-28</c:v>
                </c:pt>
                <c:pt idx="145">
                  <c:v>-15</c:v>
                </c:pt>
                <c:pt idx="146">
                  <c:v>-14</c:v>
                </c:pt>
                <c:pt idx="147">
                  <c:v>2</c:v>
                </c:pt>
                <c:pt idx="148">
                  <c:v>4</c:v>
                </c:pt>
                <c:pt idx="149">
                  <c:v>-14</c:v>
                </c:pt>
                <c:pt idx="150">
                  <c:v>-6</c:v>
                </c:pt>
                <c:pt idx="151">
                  <c:v>-3</c:v>
                </c:pt>
                <c:pt idx="152">
                  <c:v>1</c:v>
                </c:pt>
                <c:pt idx="153">
                  <c:v>-23</c:v>
                </c:pt>
                <c:pt idx="154">
                  <c:v>-19</c:v>
                </c:pt>
                <c:pt idx="155">
                  <c:v>-10</c:v>
                </c:pt>
                <c:pt idx="156">
                  <c:v>12</c:v>
                </c:pt>
                <c:pt idx="157">
                  <c:v>-20</c:v>
                </c:pt>
                <c:pt idx="158">
                  <c:v>-7</c:v>
                </c:pt>
                <c:pt idx="159">
                  <c:v>1</c:v>
                </c:pt>
                <c:pt idx="160">
                  <c:v>-16</c:v>
                </c:pt>
                <c:pt idx="161">
                  <c:v>-57</c:v>
                </c:pt>
                <c:pt idx="162">
                  <c:v>-30</c:v>
                </c:pt>
                <c:pt idx="163">
                  <c:v>-35</c:v>
                </c:pt>
                <c:pt idx="164">
                  <c:v>-25</c:v>
                </c:pt>
                <c:pt idx="165">
                  <c:v>-30</c:v>
                </c:pt>
                <c:pt idx="166">
                  <c:v>-18</c:v>
                </c:pt>
                <c:pt idx="167">
                  <c:v>-15</c:v>
                </c:pt>
                <c:pt idx="168">
                  <c:v>-12</c:v>
                </c:pt>
                <c:pt idx="169">
                  <c:v>-6</c:v>
                </c:pt>
                <c:pt idx="170">
                  <c:v>-5</c:v>
                </c:pt>
                <c:pt idx="171">
                  <c:v>-13</c:v>
                </c:pt>
                <c:pt idx="172">
                  <c:v>-8</c:v>
                </c:pt>
                <c:pt idx="173">
                  <c:v>-44</c:v>
                </c:pt>
                <c:pt idx="174">
                  <c:v>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Liste!$S$2</c:f>
              <c:strCache>
                <c:ptCount val="1"/>
                <c:pt idx="0">
                  <c:v>ESPN2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Liste!$E$3:$E$177</c:f>
              <c:numCache>
                <c:formatCode>General</c:formatCode>
                <c:ptCount val="175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39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xVal>
          <c:yVal>
            <c:numRef>
              <c:f>Liste!$S$3:$S$177</c:f>
              <c:numCache>
                <c:formatCode>General</c:formatCode>
                <c:ptCount val="175"/>
                <c:pt idx="0">
                  <c:v>21</c:v>
                </c:pt>
                <c:pt idx="1">
                  <c:v>61</c:v>
                </c:pt>
                <c:pt idx="2">
                  <c:v>16</c:v>
                </c:pt>
                <c:pt idx="3">
                  <c:v>13</c:v>
                </c:pt>
                <c:pt idx="4">
                  <c:v>-22</c:v>
                </c:pt>
                <c:pt idx="5">
                  <c:v>-22</c:v>
                </c:pt>
                <c:pt idx="6">
                  <c:v>-20</c:v>
                </c:pt>
                <c:pt idx="7">
                  <c:v>-7</c:v>
                </c:pt>
                <c:pt idx="8">
                  <c:v>16</c:v>
                </c:pt>
                <c:pt idx="9">
                  <c:v>14</c:v>
                </c:pt>
                <c:pt idx="10">
                  <c:v>27</c:v>
                </c:pt>
                <c:pt idx="11">
                  <c:v>-7</c:v>
                </c:pt>
                <c:pt idx="12">
                  <c:v>-20</c:v>
                </c:pt>
                <c:pt idx="13">
                  <c:v>0</c:v>
                </c:pt>
                <c:pt idx="14">
                  <c:v>10</c:v>
                </c:pt>
                <c:pt idx="15">
                  <c:v>1</c:v>
                </c:pt>
                <c:pt idx="16">
                  <c:v>52</c:v>
                </c:pt>
                <c:pt idx="17">
                  <c:v>21</c:v>
                </c:pt>
                <c:pt idx="18">
                  <c:v>-4</c:v>
                </c:pt>
                <c:pt idx="19">
                  <c:v>1</c:v>
                </c:pt>
                <c:pt idx="20">
                  <c:v>-10</c:v>
                </c:pt>
                <c:pt idx="21">
                  <c:v>4</c:v>
                </c:pt>
                <c:pt idx="22">
                  <c:v>59</c:v>
                </c:pt>
                <c:pt idx="23">
                  <c:v>-34</c:v>
                </c:pt>
                <c:pt idx="24">
                  <c:v>-23</c:v>
                </c:pt>
                <c:pt idx="25">
                  <c:v>-11</c:v>
                </c:pt>
                <c:pt idx="26">
                  <c:v>-13</c:v>
                </c:pt>
                <c:pt idx="27">
                  <c:v>39</c:v>
                </c:pt>
                <c:pt idx="28">
                  <c:v>-3</c:v>
                </c:pt>
                <c:pt idx="29">
                  <c:v>-5</c:v>
                </c:pt>
                <c:pt idx="30">
                  <c:v>11</c:v>
                </c:pt>
                <c:pt idx="31">
                  <c:v>0</c:v>
                </c:pt>
                <c:pt idx="32">
                  <c:v>6</c:v>
                </c:pt>
                <c:pt idx="33">
                  <c:v>11</c:v>
                </c:pt>
                <c:pt idx="34">
                  <c:v>21</c:v>
                </c:pt>
                <c:pt idx="35">
                  <c:v>11</c:v>
                </c:pt>
                <c:pt idx="36">
                  <c:v>-30</c:v>
                </c:pt>
                <c:pt idx="37">
                  <c:v>-15</c:v>
                </c:pt>
                <c:pt idx="38">
                  <c:v>-26</c:v>
                </c:pt>
                <c:pt idx="39">
                  <c:v>-21</c:v>
                </c:pt>
                <c:pt idx="40">
                  <c:v>-5</c:v>
                </c:pt>
                <c:pt idx="41">
                  <c:v>33</c:v>
                </c:pt>
                <c:pt idx="42">
                  <c:v>-5</c:v>
                </c:pt>
                <c:pt idx="43">
                  <c:v>5</c:v>
                </c:pt>
                <c:pt idx="44">
                  <c:v>-5</c:v>
                </c:pt>
                <c:pt idx="45">
                  <c:v>-8</c:v>
                </c:pt>
                <c:pt idx="46">
                  <c:v>-10</c:v>
                </c:pt>
                <c:pt idx="47">
                  <c:v>-7</c:v>
                </c:pt>
                <c:pt idx="48">
                  <c:v>-1</c:v>
                </c:pt>
                <c:pt idx="49">
                  <c:v>7</c:v>
                </c:pt>
                <c:pt idx="50">
                  <c:v>10</c:v>
                </c:pt>
                <c:pt idx="51">
                  <c:v>56</c:v>
                </c:pt>
                <c:pt idx="52">
                  <c:v>18</c:v>
                </c:pt>
                <c:pt idx="53">
                  <c:v>69</c:v>
                </c:pt>
                <c:pt idx="54">
                  <c:v>-17</c:v>
                </c:pt>
                <c:pt idx="55">
                  <c:v>-17</c:v>
                </c:pt>
                <c:pt idx="56">
                  <c:v>-5</c:v>
                </c:pt>
                <c:pt idx="57">
                  <c:v>-10</c:v>
                </c:pt>
                <c:pt idx="58">
                  <c:v>-4</c:v>
                </c:pt>
                <c:pt idx="59">
                  <c:v>-9</c:v>
                </c:pt>
                <c:pt idx="60">
                  <c:v>-1</c:v>
                </c:pt>
                <c:pt idx="61">
                  <c:v>-6</c:v>
                </c:pt>
                <c:pt idx="62">
                  <c:v>0</c:v>
                </c:pt>
                <c:pt idx="63">
                  <c:v>-6</c:v>
                </c:pt>
                <c:pt idx="64">
                  <c:v>-8</c:v>
                </c:pt>
                <c:pt idx="65">
                  <c:v>45</c:v>
                </c:pt>
                <c:pt idx="66">
                  <c:v>8</c:v>
                </c:pt>
                <c:pt idx="67">
                  <c:v>-10</c:v>
                </c:pt>
                <c:pt idx="68">
                  <c:v>-12</c:v>
                </c:pt>
                <c:pt idx="69">
                  <c:v>-6</c:v>
                </c:pt>
                <c:pt idx="70">
                  <c:v>-17</c:v>
                </c:pt>
                <c:pt idx="71">
                  <c:v>-14</c:v>
                </c:pt>
                <c:pt idx="72">
                  <c:v>-11</c:v>
                </c:pt>
                <c:pt idx="73">
                  <c:v>-5</c:v>
                </c:pt>
                <c:pt idx="74">
                  <c:v>-3</c:v>
                </c:pt>
                <c:pt idx="75">
                  <c:v>7</c:v>
                </c:pt>
                <c:pt idx="76">
                  <c:v>-1</c:v>
                </c:pt>
                <c:pt idx="77">
                  <c:v>6</c:v>
                </c:pt>
                <c:pt idx="78">
                  <c:v>14</c:v>
                </c:pt>
                <c:pt idx="79">
                  <c:v>13</c:v>
                </c:pt>
                <c:pt idx="80">
                  <c:v>28</c:v>
                </c:pt>
                <c:pt idx="81">
                  <c:v>-24</c:v>
                </c:pt>
                <c:pt idx="82">
                  <c:v>-4</c:v>
                </c:pt>
                <c:pt idx="83">
                  <c:v>9</c:v>
                </c:pt>
                <c:pt idx="84">
                  <c:v>-2</c:v>
                </c:pt>
                <c:pt idx="85">
                  <c:v>-3</c:v>
                </c:pt>
                <c:pt idx="86">
                  <c:v>1</c:v>
                </c:pt>
                <c:pt idx="87">
                  <c:v>1</c:v>
                </c:pt>
                <c:pt idx="88">
                  <c:v>8</c:v>
                </c:pt>
                <c:pt idx="89">
                  <c:v>3</c:v>
                </c:pt>
                <c:pt idx="90">
                  <c:v>18</c:v>
                </c:pt>
                <c:pt idx="91">
                  <c:v>13</c:v>
                </c:pt>
                <c:pt idx="92">
                  <c:v>-12</c:v>
                </c:pt>
                <c:pt idx="93">
                  <c:v>-5</c:v>
                </c:pt>
                <c:pt idx="94">
                  <c:v>-2</c:v>
                </c:pt>
                <c:pt idx="95">
                  <c:v>-1</c:v>
                </c:pt>
                <c:pt idx="96">
                  <c:v>-3</c:v>
                </c:pt>
                <c:pt idx="97">
                  <c:v>-2</c:v>
                </c:pt>
                <c:pt idx="98">
                  <c:v>45</c:v>
                </c:pt>
                <c:pt idx="99">
                  <c:v>-2</c:v>
                </c:pt>
                <c:pt idx="100">
                  <c:v>6</c:v>
                </c:pt>
                <c:pt idx="101">
                  <c:v>45</c:v>
                </c:pt>
                <c:pt idx="102">
                  <c:v>33</c:v>
                </c:pt>
                <c:pt idx="103">
                  <c:v>-19</c:v>
                </c:pt>
                <c:pt idx="104">
                  <c:v>-39</c:v>
                </c:pt>
                <c:pt idx="105">
                  <c:v>-15</c:v>
                </c:pt>
                <c:pt idx="106">
                  <c:v>-21</c:v>
                </c:pt>
                <c:pt idx="107">
                  <c:v>-10</c:v>
                </c:pt>
                <c:pt idx="108">
                  <c:v>-4</c:v>
                </c:pt>
                <c:pt idx="109">
                  <c:v>-2</c:v>
                </c:pt>
                <c:pt idx="110">
                  <c:v>-4</c:v>
                </c:pt>
                <c:pt idx="111">
                  <c:v>3</c:v>
                </c:pt>
                <c:pt idx="112">
                  <c:v>4</c:v>
                </c:pt>
                <c:pt idx="113">
                  <c:v>4</c:v>
                </c:pt>
                <c:pt idx="114">
                  <c:v>-1</c:v>
                </c:pt>
                <c:pt idx="115">
                  <c:v>-5</c:v>
                </c:pt>
                <c:pt idx="116">
                  <c:v>0</c:v>
                </c:pt>
                <c:pt idx="117">
                  <c:v>3</c:v>
                </c:pt>
                <c:pt idx="118">
                  <c:v>12</c:v>
                </c:pt>
                <c:pt idx="119">
                  <c:v>1</c:v>
                </c:pt>
                <c:pt idx="120">
                  <c:v>55</c:v>
                </c:pt>
                <c:pt idx="121">
                  <c:v>-20</c:v>
                </c:pt>
                <c:pt idx="122">
                  <c:v>-8</c:v>
                </c:pt>
                <c:pt idx="123">
                  <c:v>25</c:v>
                </c:pt>
                <c:pt idx="124">
                  <c:v>-10</c:v>
                </c:pt>
                <c:pt idx="125">
                  <c:v>-4</c:v>
                </c:pt>
                <c:pt idx="126">
                  <c:v>-3</c:v>
                </c:pt>
                <c:pt idx="127">
                  <c:v>-7</c:v>
                </c:pt>
                <c:pt idx="128">
                  <c:v>-3</c:v>
                </c:pt>
                <c:pt idx="129">
                  <c:v>2</c:v>
                </c:pt>
                <c:pt idx="130">
                  <c:v>45</c:v>
                </c:pt>
                <c:pt idx="131">
                  <c:v>1</c:v>
                </c:pt>
                <c:pt idx="132">
                  <c:v>4</c:v>
                </c:pt>
                <c:pt idx="133">
                  <c:v>7</c:v>
                </c:pt>
                <c:pt idx="134">
                  <c:v>5</c:v>
                </c:pt>
                <c:pt idx="135">
                  <c:v>-7</c:v>
                </c:pt>
                <c:pt idx="136">
                  <c:v>-11</c:v>
                </c:pt>
                <c:pt idx="137">
                  <c:v>-8</c:v>
                </c:pt>
                <c:pt idx="138">
                  <c:v>-14</c:v>
                </c:pt>
                <c:pt idx="139">
                  <c:v>-4</c:v>
                </c:pt>
                <c:pt idx="140">
                  <c:v>-4</c:v>
                </c:pt>
                <c:pt idx="141">
                  <c:v>4</c:v>
                </c:pt>
                <c:pt idx="142">
                  <c:v>3</c:v>
                </c:pt>
                <c:pt idx="143">
                  <c:v>13</c:v>
                </c:pt>
                <c:pt idx="144">
                  <c:v>-22</c:v>
                </c:pt>
                <c:pt idx="145">
                  <c:v>-13</c:v>
                </c:pt>
                <c:pt idx="146">
                  <c:v>-12</c:v>
                </c:pt>
                <c:pt idx="147">
                  <c:v>4</c:v>
                </c:pt>
                <c:pt idx="148">
                  <c:v>5</c:v>
                </c:pt>
                <c:pt idx="149">
                  <c:v>28</c:v>
                </c:pt>
                <c:pt idx="150">
                  <c:v>-14</c:v>
                </c:pt>
                <c:pt idx="151">
                  <c:v>1</c:v>
                </c:pt>
                <c:pt idx="152">
                  <c:v>0</c:v>
                </c:pt>
                <c:pt idx="153">
                  <c:v>-23</c:v>
                </c:pt>
                <c:pt idx="154">
                  <c:v>-22</c:v>
                </c:pt>
                <c:pt idx="155">
                  <c:v>-4</c:v>
                </c:pt>
                <c:pt idx="156">
                  <c:v>13</c:v>
                </c:pt>
                <c:pt idx="157">
                  <c:v>-26</c:v>
                </c:pt>
                <c:pt idx="158">
                  <c:v>1</c:v>
                </c:pt>
                <c:pt idx="159">
                  <c:v>-6</c:v>
                </c:pt>
                <c:pt idx="160">
                  <c:v>-16</c:v>
                </c:pt>
                <c:pt idx="161">
                  <c:v>-50</c:v>
                </c:pt>
                <c:pt idx="162">
                  <c:v>-37</c:v>
                </c:pt>
                <c:pt idx="163">
                  <c:v>-34</c:v>
                </c:pt>
                <c:pt idx="164">
                  <c:v>-24</c:v>
                </c:pt>
                <c:pt idx="165">
                  <c:v>-26</c:v>
                </c:pt>
                <c:pt idx="166">
                  <c:v>-13</c:v>
                </c:pt>
                <c:pt idx="167">
                  <c:v>-16</c:v>
                </c:pt>
                <c:pt idx="168">
                  <c:v>-1</c:v>
                </c:pt>
                <c:pt idx="169">
                  <c:v>-8</c:v>
                </c:pt>
                <c:pt idx="170">
                  <c:v>4</c:v>
                </c:pt>
                <c:pt idx="171">
                  <c:v>42</c:v>
                </c:pt>
                <c:pt idx="172">
                  <c:v>-11</c:v>
                </c:pt>
                <c:pt idx="173">
                  <c:v>-48</c:v>
                </c:pt>
                <c:pt idx="174">
                  <c:v>10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Liste!$T$2</c:f>
              <c:strCache>
                <c:ptCount val="1"/>
                <c:pt idx="0">
                  <c:v>CBS2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Liste!$E$3:$E$177</c:f>
              <c:numCache>
                <c:formatCode>General</c:formatCode>
                <c:ptCount val="175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39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xVal>
          <c:yVal>
            <c:numRef>
              <c:f>Liste!$T$3:$T$177</c:f>
              <c:numCache>
                <c:formatCode>General</c:formatCode>
                <c:ptCount val="175"/>
                <c:pt idx="0">
                  <c:v>27</c:v>
                </c:pt>
                <c:pt idx="1">
                  <c:v>25</c:v>
                </c:pt>
                <c:pt idx="2">
                  <c:v>18</c:v>
                </c:pt>
                <c:pt idx="3">
                  <c:v>32</c:v>
                </c:pt>
                <c:pt idx="4">
                  <c:v>-15</c:v>
                </c:pt>
                <c:pt idx="5">
                  <c:v>-10</c:v>
                </c:pt>
                <c:pt idx="6">
                  <c:v>-21</c:v>
                </c:pt>
                <c:pt idx="7">
                  <c:v>3</c:v>
                </c:pt>
                <c:pt idx="8">
                  <c:v>22</c:v>
                </c:pt>
                <c:pt idx="9">
                  <c:v>9</c:v>
                </c:pt>
                <c:pt idx="10">
                  <c:v>28</c:v>
                </c:pt>
                <c:pt idx="11">
                  <c:v>-13</c:v>
                </c:pt>
                <c:pt idx="12">
                  <c:v>-13</c:v>
                </c:pt>
                <c:pt idx="13">
                  <c:v>-5</c:v>
                </c:pt>
                <c:pt idx="14">
                  <c:v>-7</c:v>
                </c:pt>
                <c:pt idx="15">
                  <c:v>6</c:v>
                </c:pt>
                <c:pt idx="16">
                  <c:v>8</c:v>
                </c:pt>
                <c:pt idx="17">
                  <c:v>20</c:v>
                </c:pt>
                <c:pt idx="18">
                  <c:v>-14</c:v>
                </c:pt>
                <c:pt idx="19">
                  <c:v>-6</c:v>
                </c:pt>
                <c:pt idx="20">
                  <c:v>-2</c:v>
                </c:pt>
                <c:pt idx="21">
                  <c:v>6</c:v>
                </c:pt>
                <c:pt idx="22">
                  <c:v>10</c:v>
                </c:pt>
                <c:pt idx="23">
                  <c:v>-33</c:v>
                </c:pt>
                <c:pt idx="24">
                  <c:v>-16</c:v>
                </c:pt>
                <c:pt idx="25">
                  <c:v>-17</c:v>
                </c:pt>
                <c:pt idx="26">
                  <c:v>-15</c:v>
                </c:pt>
                <c:pt idx="27">
                  <c:v>-19</c:v>
                </c:pt>
                <c:pt idx="28">
                  <c:v>-6</c:v>
                </c:pt>
                <c:pt idx="29">
                  <c:v>-7</c:v>
                </c:pt>
                <c:pt idx="30">
                  <c:v>-1</c:v>
                </c:pt>
                <c:pt idx="31">
                  <c:v>-2</c:v>
                </c:pt>
                <c:pt idx="32">
                  <c:v>11</c:v>
                </c:pt>
                <c:pt idx="33">
                  <c:v>0</c:v>
                </c:pt>
                <c:pt idx="34">
                  <c:v>12</c:v>
                </c:pt>
                <c:pt idx="35">
                  <c:v>11</c:v>
                </c:pt>
                <c:pt idx="36">
                  <c:v>-23</c:v>
                </c:pt>
                <c:pt idx="37">
                  <c:v>-28</c:v>
                </c:pt>
                <c:pt idx="38">
                  <c:v>-26</c:v>
                </c:pt>
                <c:pt idx="39">
                  <c:v>-12</c:v>
                </c:pt>
                <c:pt idx="40">
                  <c:v>-18</c:v>
                </c:pt>
                <c:pt idx="41">
                  <c:v>-12</c:v>
                </c:pt>
                <c:pt idx="42">
                  <c:v>-10</c:v>
                </c:pt>
                <c:pt idx="43">
                  <c:v>6</c:v>
                </c:pt>
                <c:pt idx="44">
                  <c:v>-8</c:v>
                </c:pt>
                <c:pt idx="45">
                  <c:v>-17</c:v>
                </c:pt>
                <c:pt idx="46">
                  <c:v>-11</c:v>
                </c:pt>
                <c:pt idx="47">
                  <c:v>-13</c:v>
                </c:pt>
                <c:pt idx="48">
                  <c:v>-1</c:v>
                </c:pt>
                <c:pt idx="49">
                  <c:v>-3</c:v>
                </c:pt>
                <c:pt idx="50">
                  <c:v>11</c:v>
                </c:pt>
                <c:pt idx="51">
                  <c:v>16</c:v>
                </c:pt>
                <c:pt idx="52">
                  <c:v>13</c:v>
                </c:pt>
                <c:pt idx="53">
                  <c:v>27</c:v>
                </c:pt>
                <c:pt idx="54">
                  <c:v>-23</c:v>
                </c:pt>
                <c:pt idx="55">
                  <c:v>-19</c:v>
                </c:pt>
                <c:pt idx="56">
                  <c:v>-14</c:v>
                </c:pt>
                <c:pt idx="57">
                  <c:v>-11</c:v>
                </c:pt>
                <c:pt idx="58">
                  <c:v>-10</c:v>
                </c:pt>
                <c:pt idx="59">
                  <c:v>-12</c:v>
                </c:pt>
                <c:pt idx="60">
                  <c:v>-9</c:v>
                </c:pt>
                <c:pt idx="61">
                  <c:v>-10</c:v>
                </c:pt>
                <c:pt idx="62">
                  <c:v>-4</c:v>
                </c:pt>
                <c:pt idx="63">
                  <c:v>0</c:v>
                </c:pt>
                <c:pt idx="64">
                  <c:v>-10</c:v>
                </c:pt>
                <c:pt idx="65">
                  <c:v>4</c:v>
                </c:pt>
                <c:pt idx="66">
                  <c:v>7</c:v>
                </c:pt>
                <c:pt idx="67">
                  <c:v>-26</c:v>
                </c:pt>
                <c:pt idx="68">
                  <c:v>-10</c:v>
                </c:pt>
                <c:pt idx="69">
                  <c:v>-15</c:v>
                </c:pt>
                <c:pt idx="70">
                  <c:v>-16</c:v>
                </c:pt>
                <c:pt idx="71">
                  <c:v>-16</c:v>
                </c:pt>
                <c:pt idx="72">
                  <c:v>-17</c:v>
                </c:pt>
                <c:pt idx="73">
                  <c:v>-8</c:v>
                </c:pt>
                <c:pt idx="74">
                  <c:v>-2</c:v>
                </c:pt>
                <c:pt idx="75">
                  <c:v>7</c:v>
                </c:pt>
                <c:pt idx="76">
                  <c:v>-6</c:v>
                </c:pt>
                <c:pt idx="77">
                  <c:v>4</c:v>
                </c:pt>
                <c:pt idx="78">
                  <c:v>10</c:v>
                </c:pt>
                <c:pt idx="79">
                  <c:v>5</c:v>
                </c:pt>
                <c:pt idx="80">
                  <c:v>14</c:v>
                </c:pt>
                <c:pt idx="81">
                  <c:v>-23</c:v>
                </c:pt>
                <c:pt idx="82">
                  <c:v>-16</c:v>
                </c:pt>
                <c:pt idx="83">
                  <c:v>10</c:v>
                </c:pt>
                <c:pt idx="84">
                  <c:v>-5</c:v>
                </c:pt>
                <c:pt idx="85">
                  <c:v>-13</c:v>
                </c:pt>
                <c:pt idx="86">
                  <c:v>-6</c:v>
                </c:pt>
                <c:pt idx="87">
                  <c:v>4</c:v>
                </c:pt>
                <c:pt idx="88">
                  <c:v>3</c:v>
                </c:pt>
                <c:pt idx="89">
                  <c:v>9</c:v>
                </c:pt>
                <c:pt idx="90">
                  <c:v>6</c:v>
                </c:pt>
                <c:pt idx="91">
                  <c:v>9</c:v>
                </c:pt>
                <c:pt idx="92">
                  <c:v>-15</c:v>
                </c:pt>
                <c:pt idx="93">
                  <c:v>-9</c:v>
                </c:pt>
                <c:pt idx="94">
                  <c:v>-6</c:v>
                </c:pt>
                <c:pt idx="95">
                  <c:v>1</c:v>
                </c:pt>
                <c:pt idx="96">
                  <c:v>-11</c:v>
                </c:pt>
                <c:pt idx="97">
                  <c:v>-3</c:v>
                </c:pt>
                <c:pt idx="98">
                  <c:v>-6</c:v>
                </c:pt>
                <c:pt idx="99">
                  <c:v>-23</c:v>
                </c:pt>
                <c:pt idx="100">
                  <c:v>1</c:v>
                </c:pt>
                <c:pt idx="101">
                  <c:v>-2</c:v>
                </c:pt>
                <c:pt idx="102">
                  <c:v>18</c:v>
                </c:pt>
                <c:pt idx="103">
                  <c:v>-39</c:v>
                </c:pt>
                <c:pt idx="104">
                  <c:v>-35</c:v>
                </c:pt>
                <c:pt idx="105">
                  <c:v>-24</c:v>
                </c:pt>
                <c:pt idx="106">
                  <c:v>-23</c:v>
                </c:pt>
                <c:pt idx="107">
                  <c:v>-20</c:v>
                </c:pt>
                <c:pt idx="108">
                  <c:v>-16</c:v>
                </c:pt>
                <c:pt idx="109">
                  <c:v>-13</c:v>
                </c:pt>
                <c:pt idx="110">
                  <c:v>0</c:v>
                </c:pt>
                <c:pt idx="111">
                  <c:v>-3</c:v>
                </c:pt>
                <c:pt idx="112">
                  <c:v>10</c:v>
                </c:pt>
                <c:pt idx="113">
                  <c:v>2</c:v>
                </c:pt>
                <c:pt idx="114">
                  <c:v>-11</c:v>
                </c:pt>
                <c:pt idx="115">
                  <c:v>-1</c:v>
                </c:pt>
                <c:pt idx="116">
                  <c:v>-18</c:v>
                </c:pt>
                <c:pt idx="117">
                  <c:v>0</c:v>
                </c:pt>
                <c:pt idx="118">
                  <c:v>15</c:v>
                </c:pt>
                <c:pt idx="119">
                  <c:v>-6</c:v>
                </c:pt>
                <c:pt idx="120">
                  <c:v>3</c:v>
                </c:pt>
                <c:pt idx="121">
                  <c:v>-18</c:v>
                </c:pt>
                <c:pt idx="122">
                  <c:v>-20</c:v>
                </c:pt>
                <c:pt idx="123">
                  <c:v>-16</c:v>
                </c:pt>
                <c:pt idx="124">
                  <c:v>-15</c:v>
                </c:pt>
                <c:pt idx="125">
                  <c:v>-7</c:v>
                </c:pt>
                <c:pt idx="126">
                  <c:v>-13</c:v>
                </c:pt>
                <c:pt idx="127">
                  <c:v>-18</c:v>
                </c:pt>
                <c:pt idx="128">
                  <c:v>-7</c:v>
                </c:pt>
                <c:pt idx="129">
                  <c:v>-11</c:v>
                </c:pt>
                <c:pt idx="130">
                  <c:v>-6</c:v>
                </c:pt>
                <c:pt idx="131">
                  <c:v>-4</c:v>
                </c:pt>
                <c:pt idx="132">
                  <c:v>-1</c:v>
                </c:pt>
                <c:pt idx="133">
                  <c:v>-2</c:v>
                </c:pt>
                <c:pt idx="134">
                  <c:v>-1</c:v>
                </c:pt>
                <c:pt idx="135">
                  <c:v>-20</c:v>
                </c:pt>
                <c:pt idx="136">
                  <c:v>-13</c:v>
                </c:pt>
                <c:pt idx="137">
                  <c:v>-10</c:v>
                </c:pt>
                <c:pt idx="138">
                  <c:v>-15</c:v>
                </c:pt>
                <c:pt idx="139">
                  <c:v>-9</c:v>
                </c:pt>
                <c:pt idx="140">
                  <c:v>-11</c:v>
                </c:pt>
                <c:pt idx="141">
                  <c:v>4</c:v>
                </c:pt>
                <c:pt idx="142">
                  <c:v>-4</c:v>
                </c:pt>
                <c:pt idx="143">
                  <c:v>29</c:v>
                </c:pt>
                <c:pt idx="144">
                  <c:v>-28</c:v>
                </c:pt>
                <c:pt idx="145">
                  <c:v>-13</c:v>
                </c:pt>
                <c:pt idx="146">
                  <c:v>-22</c:v>
                </c:pt>
                <c:pt idx="147">
                  <c:v>-5</c:v>
                </c:pt>
                <c:pt idx="148">
                  <c:v>3</c:v>
                </c:pt>
                <c:pt idx="149">
                  <c:v>-20</c:v>
                </c:pt>
                <c:pt idx="150">
                  <c:v>-13</c:v>
                </c:pt>
                <c:pt idx="151">
                  <c:v>5</c:v>
                </c:pt>
                <c:pt idx="152">
                  <c:v>-5</c:v>
                </c:pt>
                <c:pt idx="153">
                  <c:v>-25</c:v>
                </c:pt>
                <c:pt idx="154">
                  <c:v>-24</c:v>
                </c:pt>
                <c:pt idx="155">
                  <c:v>-18</c:v>
                </c:pt>
                <c:pt idx="156">
                  <c:v>17</c:v>
                </c:pt>
                <c:pt idx="157">
                  <c:v>-27</c:v>
                </c:pt>
                <c:pt idx="158">
                  <c:v>-4</c:v>
                </c:pt>
                <c:pt idx="159">
                  <c:v>-1</c:v>
                </c:pt>
                <c:pt idx="160">
                  <c:v>-20</c:v>
                </c:pt>
                <c:pt idx="161">
                  <c:v>-58</c:v>
                </c:pt>
                <c:pt idx="162">
                  <c:v>-39</c:v>
                </c:pt>
                <c:pt idx="163">
                  <c:v>-32</c:v>
                </c:pt>
                <c:pt idx="164">
                  <c:v>-32</c:v>
                </c:pt>
                <c:pt idx="165">
                  <c:v>-27</c:v>
                </c:pt>
                <c:pt idx="166">
                  <c:v>-22</c:v>
                </c:pt>
                <c:pt idx="167">
                  <c:v>-46</c:v>
                </c:pt>
                <c:pt idx="168">
                  <c:v>-19</c:v>
                </c:pt>
                <c:pt idx="169">
                  <c:v>-14</c:v>
                </c:pt>
                <c:pt idx="170">
                  <c:v>-5</c:v>
                </c:pt>
                <c:pt idx="171">
                  <c:v>13</c:v>
                </c:pt>
                <c:pt idx="172">
                  <c:v>-11</c:v>
                </c:pt>
                <c:pt idx="173">
                  <c:v>-54</c:v>
                </c:pt>
                <c:pt idx="174">
                  <c:v>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Liste!$U$2</c:f>
              <c:strCache>
                <c:ptCount val="1"/>
                <c:pt idx="0">
                  <c:v>Moyenne2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Liste!$E$3:$E$177</c:f>
              <c:numCache>
                <c:formatCode>General</c:formatCode>
                <c:ptCount val="175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35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36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39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xVal>
          <c:yVal>
            <c:numRef>
              <c:f>Liste!$U$3:$U$177</c:f>
              <c:numCache>
                <c:formatCode>General</c:formatCode>
                <c:ptCount val="175"/>
                <c:pt idx="0">
                  <c:v>17.200000000000003</c:v>
                </c:pt>
                <c:pt idx="1">
                  <c:v>16.666666666666664</c:v>
                </c:pt>
                <c:pt idx="2">
                  <c:v>12.666666666666671</c:v>
                </c:pt>
                <c:pt idx="3">
                  <c:v>13.600000000000001</c:v>
                </c:pt>
                <c:pt idx="4">
                  <c:v>-21.166666666666664</c:v>
                </c:pt>
                <c:pt idx="5">
                  <c:v>-21.166666666666664</c:v>
                </c:pt>
                <c:pt idx="6">
                  <c:v>-21</c:v>
                </c:pt>
                <c:pt idx="7">
                  <c:v>-6.3333333333333357</c:v>
                </c:pt>
                <c:pt idx="8">
                  <c:v>15.666666666666664</c:v>
                </c:pt>
                <c:pt idx="9">
                  <c:v>16.200000000000003</c:v>
                </c:pt>
                <c:pt idx="10">
                  <c:v>23.6</c:v>
                </c:pt>
                <c:pt idx="11">
                  <c:v>-15.5</c:v>
                </c:pt>
                <c:pt idx="12">
                  <c:v>-19.5</c:v>
                </c:pt>
                <c:pt idx="13">
                  <c:v>-6.6666666666666643</c:v>
                </c:pt>
                <c:pt idx="14">
                  <c:v>-3</c:v>
                </c:pt>
                <c:pt idx="15">
                  <c:v>-1.5</c:v>
                </c:pt>
                <c:pt idx="16">
                  <c:v>4.3999999999999986</c:v>
                </c:pt>
                <c:pt idx="17">
                  <c:v>21</c:v>
                </c:pt>
                <c:pt idx="18">
                  <c:v>-15.5</c:v>
                </c:pt>
                <c:pt idx="19">
                  <c:v>-7.5</c:v>
                </c:pt>
                <c:pt idx="20">
                  <c:v>-8.5</c:v>
                </c:pt>
                <c:pt idx="21">
                  <c:v>1.1666666666666643</c:v>
                </c:pt>
                <c:pt idx="22">
                  <c:v>9.7999999999999972</c:v>
                </c:pt>
                <c:pt idx="23">
                  <c:v>-37.666666666666664</c:v>
                </c:pt>
                <c:pt idx="24">
                  <c:v>-18.833333333333329</c:v>
                </c:pt>
                <c:pt idx="25">
                  <c:v>-16.333333333333336</c:v>
                </c:pt>
                <c:pt idx="26">
                  <c:v>-16.333333333333336</c:v>
                </c:pt>
                <c:pt idx="27">
                  <c:v>-10.399999999999999</c:v>
                </c:pt>
                <c:pt idx="28">
                  <c:v>-6.1666666666666643</c:v>
                </c:pt>
                <c:pt idx="29">
                  <c:v>-10.166666666666664</c:v>
                </c:pt>
                <c:pt idx="30">
                  <c:v>-1</c:v>
                </c:pt>
                <c:pt idx="31">
                  <c:v>1.6666666666666643</c:v>
                </c:pt>
                <c:pt idx="32">
                  <c:v>7</c:v>
                </c:pt>
                <c:pt idx="33">
                  <c:v>10.5</c:v>
                </c:pt>
                <c:pt idx="34">
                  <c:v>13.5</c:v>
                </c:pt>
                <c:pt idx="35">
                  <c:v>12</c:v>
                </c:pt>
                <c:pt idx="36">
                  <c:v>-27</c:v>
                </c:pt>
                <c:pt idx="37">
                  <c:v>-22.5</c:v>
                </c:pt>
                <c:pt idx="38">
                  <c:v>-25</c:v>
                </c:pt>
                <c:pt idx="39">
                  <c:v>-15.5</c:v>
                </c:pt>
                <c:pt idx="40">
                  <c:v>-12.333333333333336</c:v>
                </c:pt>
                <c:pt idx="41">
                  <c:v>-14</c:v>
                </c:pt>
                <c:pt idx="42">
                  <c:v>-9.1666666666666714</c:v>
                </c:pt>
                <c:pt idx="43">
                  <c:v>-1.6666666666666643</c:v>
                </c:pt>
                <c:pt idx="44">
                  <c:v>-7.8333333333333357</c:v>
                </c:pt>
                <c:pt idx="45">
                  <c:v>-10.666666666666671</c:v>
                </c:pt>
                <c:pt idx="46">
                  <c:v>-10.166666666666664</c:v>
                </c:pt>
                <c:pt idx="47">
                  <c:v>-9.1666666666666643</c:v>
                </c:pt>
                <c:pt idx="48">
                  <c:v>-2.6666666666666643</c:v>
                </c:pt>
                <c:pt idx="49">
                  <c:v>-4.5</c:v>
                </c:pt>
                <c:pt idx="50">
                  <c:v>8.5</c:v>
                </c:pt>
                <c:pt idx="51">
                  <c:v>9.6000000000000014</c:v>
                </c:pt>
                <c:pt idx="52">
                  <c:v>11.833333333333336</c:v>
                </c:pt>
                <c:pt idx="53">
                  <c:v>23.799999999999997</c:v>
                </c:pt>
                <c:pt idx="54">
                  <c:v>-21.333333333333336</c:v>
                </c:pt>
                <c:pt idx="55">
                  <c:v>-18.833333333333336</c:v>
                </c:pt>
                <c:pt idx="56">
                  <c:v>-11.666666666666664</c:v>
                </c:pt>
                <c:pt idx="57">
                  <c:v>-13</c:v>
                </c:pt>
                <c:pt idx="58">
                  <c:v>-8</c:v>
                </c:pt>
                <c:pt idx="59">
                  <c:v>-12.166666666666664</c:v>
                </c:pt>
                <c:pt idx="60">
                  <c:v>-4.8333333333333357</c:v>
                </c:pt>
                <c:pt idx="61">
                  <c:v>-4.6666666666666643</c:v>
                </c:pt>
                <c:pt idx="62">
                  <c:v>-2.5</c:v>
                </c:pt>
                <c:pt idx="63">
                  <c:v>-3</c:v>
                </c:pt>
                <c:pt idx="64">
                  <c:v>-0.8333333333333286</c:v>
                </c:pt>
                <c:pt idx="65">
                  <c:v>0.39999999999999858</c:v>
                </c:pt>
                <c:pt idx="66">
                  <c:v>6.6666666666666643</c:v>
                </c:pt>
                <c:pt idx="67">
                  <c:v>-17.666666666666664</c:v>
                </c:pt>
                <c:pt idx="68">
                  <c:v>-13.666666666666671</c:v>
                </c:pt>
                <c:pt idx="69">
                  <c:v>-13.666666666666664</c:v>
                </c:pt>
                <c:pt idx="70">
                  <c:v>-15.333333333333336</c:v>
                </c:pt>
                <c:pt idx="71">
                  <c:v>-11.166666666666664</c:v>
                </c:pt>
                <c:pt idx="72">
                  <c:v>-9.5</c:v>
                </c:pt>
                <c:pt idx="73">
                  <c:v>-11.166666666666664</c:v>
                </c:pt>
                <c:pt idx="74">
                  <c:v>-1.1666666666666643</c:v>
                </c:pt>
                <c:pt idx="75">
                  <c:v>4.3333333333333357</c:v>
                </c:pt>
                <c:pt idx="76">
                  <c:v>-0.8333333333333357</c:v>
                </c:pt>
                <c:pt idx="77">
                  <c:v>3.8333333333333357</c:v>
                </c:pt>
                <c:pt idx="78">
                  <c:v>13.5</c:v>
                </c:pt>
                <c:pt idx="79">
                  <c:v>9.6666666666666643</c:v>
                </c:pt>
                <c:pt idx="80">
                  <c:v>20.333333333333336</c:v>
                </c:pt>
                <c:pt idx="81">
                  <c:v>-21</c:v>
                </c:pt>
                <c:pt idx="82">
                  <c:v>-12.166666666666671</c:v>
                </c:pt>
                <c:pt idx="83">
                  <c:v>-0.3333333333333357</c:v>
                </c:pt>
                <c:pt idx="84">
                  <c:v>-4.6666666666666643</c:v>
                </c:pt>
                <c:pt idx="85">
                  <c:v>-8.2000000000000028</c:v>
                </c:pt>
                <c:pt idx="86">
                  <c:v>0.1666666666666643</c:v>
                </c:pt>
                <c:pt idx="87">
                  <c:v>-0.6666666666666643</c:v>
                </c:pt>
                <c:pt idx="88">
                  <c:v>3</c:v>
                </c:pt>
                <c:pt idx="89">
                  <c:v>8</c:v>
                </c:pt>
                <c:pt idx="90">
                  <c:v>10</c:v>
                </c:pt>
                <c:pt idx="91">
                  <c:v>13</c:v>
                </c:pt>
                <c:pt idx="92">
                  <c:v>-16</c:v>
                </c:pt>
                <c:pt idx="93">
                  <c:v>-11.666666666666664</c:v>
                </c:pt>
                <c:pt idx="94">
                  <c:v>-5.1666666666666643</c:v>
                </c:pt>
                <c:pt idx="95">
                  <c:v>-6.8333333333333357</c:v>
                </c:pt>
                <c:pt idx="96">
                  <c:v>-6.3333333333333357</c:v>
                </c:pt>
                <c:pt idx="97">
                  <c:v>-1.6666666666666643</c:v>
                </c:pt>
                <c:pt idx="98">
                  <c:v>-2.5</c:v>
                </c:pt>
                <c:pt idx="99">
                  <c:v>-5.5</c:v>
                </c:pt>
                <c:pt idx="100">
                  <c:v>1.1666666666666714</c:v>
                </c:pt>
                <c:pt idx="101">
                  <c:v>1.6000000000000014</c:v>
                </c:pt>
                <c:pt idx="102">
                  <c:v>28.666666666666664</c:v>
                </c:pt>
                <c:pt idx="103">
                  <c:v>-30</c:v>
                </c:pt>
                <c:pt idx="104">
                  <c:v>-32.333333333333336</c:v>
                </c:pt>
                <c:pt idx="105">
                  <c:v>-20.5</c:v>
                </c:pt>
                <c:pt idx="106">
                  <c:v>-20.5</c:v>
                </c:pt>
                <c:pt idx="107">
                  <c:v>-16.333333333333336</c:v>
                </c:pt>
                <c:pt idx="108">
                  <c:v>-9</c:v>
                </c:pt>
                <c:pt idx="109">
                  <c:v>-7</c:v>
                </c:pt>
                <c:pt idx="110">
                  <c:v>-4.1666666666666714</c:v>
                </c:pt>
                <c:pt idx="111">
                  <c:v>0.1666666666666643</c:v>
                </c:pt>
                <c:pt idx="112">
                  <c:v>7.8333333333333357</c:v>
                </c:pt>
                <c:pt idx="113">
                  <c:v>5</c:v>
                </c:pt>
                <c:pt idx="114">
                  <c:v>-6.3333333333333357</c:v>
                </c:pt>
                <c:pt idx="115">
                  <c:v>-3.3333333333333357</c:v>
                </c:pt>
                <c:pt idx="116">
                  <c:v>-5.1666666666666714</c:v>
                </c:pt>
                <c:pt idx="117">
                  <c:v>1.1666666666666643</c:v>
                </c:pt>
                <c:pt idx="118">
                  <c:v>1.6666666666666643</c:v>
                </c:pt>
                <c:pt idx="119">
                  <c:v>1.5</c:v>
                </c:pt>
                <c:pt idx="120">
                  <c:v>8.25</c:v>
                </c:pt>
                <c:pt idx="121">
                  <c:v>-23.333333333333336</c:v>
                </c:pt>
                <c:pt idx="122">
                  <c:v>-13.333333333333336</c:v>
                </c:pt>
                <c:pt idx="123">
                  <c:v>-18.25</c:v>
                </c:pt>
                <c:pt idx="124">
                  <c:v>-13.833333333333329</c:v>
                </c:pt>
                <c:pt idx="125">
                  <c:v>-7.3333333333333286</c:v>
                </c:pt>
                <c:pt idx="126">
                  <c:v>-9</c:v>
                </c:pt>
                <c:pt idx="127">
                  <c:v>-10.666666666666664</c:v>
                </c:pt>
                <c:pt idx="128">
                  <c:v>-5.8333333333333357</c:v>
                </c:pt>
                <c:pt idx="129">
                  <c:v>-4</c:v>
                </c:pt>
                <c:pt idx="130">
                  <c:v>-1</c:v>
                </c:pt>
                <c:pt idx="131">
                  <c:v>-1.8333333333333357</c:v>
                </c:pt>
                <c:pt idx="132">
                  <c:v>3.6666666666666643</c:v>
                </c:pt>
                <c:pt idx="133">
                  <c:v>1.6666666666666714</c:v>
                </c:pt>
                <c:pt idx="134">
                  <c:v>7.5</c:v>
                </c:pt>
                <c:pt idx="135">
                  <c:v>-16.833333333333336</c:v>
                </c:pt>
                <c:pt idx="136">
                  <c:v>-14</c:v>
                </c:pt>
                <c:pt idx="137">
                  <c:v>-8.8333333333333286</c:v>
                </c:pt>
                <c:pt idx="138">
                  <c:v>-6.6000000000000014</c:v>
                </c:pt>
                <c:pt idx="139">
                  <c:v>-9.5</c:v>
                </c:pt>
                <c:pt idx="140">
                  <c:v>-7.8333333333333357</c:v>
                </c:pt>
                <c:pt idx="141">
                  <c:v>5</c:v>
                </c:pt>
                <c:pt idx="142">
                  <c:v>4.8333333333333357</c:v>
                </c:pt>
                <c:pt idx="143">
                  <c:v>19.333333333333336</c:v>
                </c:pt>
                <c:pt idx="144">
                  <c:v>-26.666666666666664</c:v>
                </c:pt>
                <c:pt idx="145">
                  <c:v>-14</c:v>
                </c:pt>
                <c:pt idx="146">
                  <c:v>-14.166666666666671</c:v>
                </c:pt>
                <c:pt idx="147">
                  <c:v>2.3333333333333357</c:v>
                </c:pt>
                <c:pt idx="148">
                  <c:v>4.8333333333333357</c:v>
                </c:pt>
                <c:pt idx="149">
                  <c:v>-15.5</c:v>
                </c:pt>
                <c:pt idx="150">
                  <c:v>-9.5</c:v>
                </c:pt>
                <c:pt idx="151">
                  <c:v>1.8333333333333357</c:v>
                </c:pt>
                <c:pt idx="152">
                  <c:v>-0.6666666666666643</c:v>
                </c:pt>
                <c:pt idx="153">
                  <c:v>-22.333333333333336</c:v>
                </c:pt>
                <c:pt idx="154">
                  <c:v>-18.166666666666664</c:v>
                </c:pt>
                <c:pt idx="155">
                  <c:v>-8.3333333333333357</c:v>
                </c:pt>
                <c:pt idx="156">
                  <c:v>15.666666666666664</c:v>
                </c:pt>
                <c:pt idx="157">
                  <c:v>-22.666666666666671</c:v>
                </c:pt>
                <c:pt idx="158">
                  <c:v>-2</c:v>
                </c:pt>
                <c:pt idx="159">
                  <c:v>-0.5</c:v>
                </c:pt>
                <c:pt idx="160">
                  <c:v>-15.833333333333336</c:v>
                </c:pt>
                <c:pt idx="161">
                  <c:v>-53.666666666666671</c:v>
                </c:pt>
                <c:pt idx="162">
                  <c:v>-36.333333333333336</c:v>
                </c:pt>
                <c:pt idx="163">
                  <c:v>-31.833333333333336</c:v>
                </c:pt>
                <c:pt idx="164">
                  <c:v>-26.5</c:v>
                </c:pt>
                <c:pt idx="165">
                  <c:v>-25.333333333333336</c:v>
                </c:pt>
                <c:pt idx="166">
                  <c:v>-19.333333333333336</c:v>
                </c:pt>
                <c:pt idx="167">
                  <c:v>-19.833333333333336</c:v>
                </c:pt>
                <c:pt idx="168">
                  <c:v>-10.5</c:v>
                </c:pt>
                <c:pt idx="169">
                  <c:v>-8.5</c:v>
                </c:pt>
                <c:pt idx="170">
                  <c:v>-3.8333333333333286</c:v>
                </c:pt>
                <c:pt idx="171">
                  <c:v>-3.6000000000000014</c:v>
                </c:pt>
                <c:pt idx="172">
                  <c:v>-9.5</c:v>
                </c:pt>
                <c:pt idx="173">
                  <c:v>-50</c:v>
                </c:pt>
                <c:pt idx="174">
                  <c:v>10.166666666666671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668592"/>
        <c:axId val="217666240"/>
      </c:scatterChart>
      <c:valAx>
        <c:axId val="21766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7666240"/>
        <c:crosses val="autoZero"/>
        <c:crossBetween val="midCat"/>
      </c:valAx>
      <c:valAx>
        <c:axId val="2176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766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://games.espn.com/fhl/tools/projections?" TargetMode="External"/><Relationship Id="rId6" Type="http://schemas.openxmlformats.org/officeDocument/2006/relationships/hyperlink" Target="http://games.espn.com/fhl/tools/projections?&amp;startIndex=120" TargetMode="External"/><Relationship Id="rId5" Type="http://schemas.openxmlformats.org/officeDocument/2006/relationships/hyperlink" Target="http://games.espn.com/fhl/tools/projections?&amp;startIndex=80" TargetMode="External"/><Relationship Id="rId4" Type="http://schemas.openxmlformats.org/officeDocument/2006/relationships/hyperlink" Target="http://games.espn.com/fhl/tools/projections?&amp;startIndex=4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16</xdr:col>
      <xdr:colOff>571501</xdr:colOff>
      <xdr:row>48</xdr:row>
      <xdr:rowOff>133349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50</xdr:row>
      <xdr:rowOff>152399</xdr:rowOff>
    </xdr:from>
    <xdr:to>
      <xdr:col>16</xdr:col>
      <xdr:colOff>638175</xdr:colOff>
      <xdr:row>85</xdr:row>
      <xdr:rowOff>19050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142875</xdr:colOff>
      <xdr:row>1</xdr:row>
      <xdr:rowOff>114300</xdr:rowOff>
    </xdr:to>
    <xdr:pic>
      <xdr:nvPicPr>
        <xdr:cNvPr id="2" name="Image 1" descr="http://g.espncdn.com/s/fhllm/15/images/icons/sml/news_recent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90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114300</xdr:rowOff>
    </xdr:to>
    <xdr:pic>
      <xdr:nvPicPr>
        <xdr:cNvPr id="3" name="Image 2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114300</xdr:rowOff>
    </xdr:to>
    <xdr:pic>
      <xdr:nvPicPr>
        <xdr:cNvPr id="4" name="Image 3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76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114300</xdr:rowOff>
    </xdr:to>
    <xdr:pic>
      <xdr:nvPicPr>
        <xdr:cNvPr id="5" name="Image 4" descr="http://g.espncdn.com/s/fhllm/15/images/icons/sml/news_recent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667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114300</xdr:rowOff>
    </xdr:to>
    <xdr:pic>
      <xdr:nvPicPr>
        <xdr:cNvPr id="6" name="Image 5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429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142875</xdr:colOff>
      <xdr:row>40</xdr:row>
      <xdr:rowOff>114300</xdr:rowOff>
    </xdr:to>
    <xdr:pic>
      <xdr:nvPicPr>
        <xdr:cNvPr id="7" name="Image 6" descr="http://g.espncdn.com/s/fhllm/15/images/icons/sml/news_breaking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620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142875</xdr:colOff>
      <xdr:row>56</xdr:row>
      <xdr:rowOff>114300</xdr:rowOff>
    </xdr:to>
    <xdr:pic>
      <xdr:nvPicPr>
        <xdr:cNvPr id="20" name="Image 19" descr="http://g.espncdn.com/s/fhllm/15/images/icons/sml/news_recent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0668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142875</xdr:colOff>
      <xdr:row>58</xdr:row>
      <xdr:rowOff>114300</xdr:rowOff>
    </xdr:to>
    <xdr:pic>
      <xdr:nvPicPr>
        <xdr:cNvPr id="21" name="Image 20" descr="http://g.espncdn.com/s/fhllm/15/images/icons/sml/news_recent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049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142875</xdr:colOff>
      <xdr:row>62</xdr:row>
      <xdr:rowOff>114300</xdr:rowOff>
    </xdr:to>
    <xdr:pic>
      <xdr:nvPicPr>
        <xdr:cNvPr id="22" name="Image 21" descr="http://g.espncdn.com/s/fhllm/15/images/icons/sml/news_recent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811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142875</xdr:colOff>
      <xdr:row>81</xdr:row>
      <xdr:rowOff>114300</xdr:rowOff>
    </xdr:to>
    <xdr:pic>
      <xdr:nvPicPr>
        <xdr:cNvPr id="23" name="Image 22" descr="http://g.espncdn.com/s/fhllm/15/images/icons/sml/news_recent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5430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142875</xdr:colOff>
      <xdr:row>111</xdr:row>
      <xdr:rowOff>114300</xdr:rowOff>
    </xdr:to>
    <xdr:pic>
      <xdr:nvPicPr>
        <xdr:cNvPr id="24" name="Image 23" descr="http://g.espncdn.com/s/fhllm/15/images/icons/sml/news_recent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1145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142875</xdr:colOff>
      <xdr:row>128</xdr:row>
      <xdr:rowOff>114300</xdr:rowOff>
    </xdr:to>
    <xdr:pic>
      <xdr:nvPicPr>
        <xdr:cNvPr id="25" name="Image 24" descr="http://g.espncdn.com/s/fhllm/15/images/icons/sml/news_recent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384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142875</xdr:colOff>
      <xdr:row>131</xdr:row>
      <xdr:rowOff>114300</xdr:rowOff>
    </xdr:to>
    <xdr:pic>
      <xdr:nvPicPr>
        <xdr:cNvPr id="26" name="Image 25" descr="http://g.espncdn.com/s/fhllm/15/images/icons/sml/news_breaking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49555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142875</xdr:colOff>
      <xdr:row>134</xdr:row>
      <xdr:rowOff>114300</xdr:rowOff>
    </xdr:to>
    <xdr:pic>
      <xdr:nvPicPr>
        <xdr:cNvPr id="27" name="Image 26" descr="http://g.espncdn.com/s/fhllm/15/images/icons/sml/news_recent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5527000"/>
          <a:ext cx="1428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A2:U177" totalsRowShown="0">
  <autoFilter ref="A2:U177"/>
  <sortState ref="A3:T177">
    <sortCondition ref="E2:E177"/>
  </sortState>
  <tableColumns count="21">
    <tableColumn id="1" name="Colonne1" dataDxfId="12"/>
    <tableColumn id="2" name="Prenom"/>
    <tableColumn id="8" name="Nom"/>
    <tableColumn id="15" name="Colonne2" dataDxfId="11">
      <calculatedColumnFormula>Tableau1[[#This Row],[Prenom]]&amp;" "&amp;Tableau1[[#This Row],[Nom]]</calculatedColumnFormula>
    </tableColumn>
    <tableColumn id="11" name="Âge" dataDxfId="10">
      <calculatedColumnFormula>VLOOKUP(Tableau1[[#This Row],[Colonne2]],'BCP stats'!$C$6:$D$305,2,FALSE)</calculatedColumnFormula>
    </tableColumn>
    <tableColumn id="3" name="Colonne32"/>
    <tableColumn id="4" name="Lepool.com" dataDxfId="9"/>
    <tableColumn id="5" name="HM"/>
    <tableColumn id="6" name="Pool Pro"/>
    <tableColumn id="7" name="HN"/>
    <tableColumn id="10" name="ESPN"/>
    <tableColumn id="14" name="CBS"/>
    <tableColumn id="9" name="Moyenne" dataDxfId="8">
      <calculatedColumnFormula>AVERAGE(Tableau1[[#This Row],[Lepool.com]:[CBS]])</calculatedColumnFormula>
    </tableColumn>
    <tableColumn id="12" name="MJ" dataDxfId="0">
      <calculatedColumnFormula>VLOOKUP(Tableau1[[#This Row],[Colonne2]],Final!$B$3:$I$302,4,FALSE)</calculatedColumnFormula>
    </tableColumn>
    <tableColumn id="16" name="Final" dataDxfId="7">
      <calculatedColumnFormula>VLOOKUP(Tableau1[[#This Row],[Colonne2]],Final!$B$3:$I$302,7,FALSE)</calculatedColumnFormula>
    </tableColumn>
    <tableColumn id="17" name="Lepool.com2" dataDxfId="6">
      <calculatedColumnFormula>Tableau1[[#This Row],[Final]]-Tableau1[[#This Row],[Lepool.com]]</calculatedColumnFormula>
    </tableColumn>
    <tableColumn id="18" name="HM2" dataDxfId="5">
      <calculatedColumnFormula>Tableau1[[#This Row],[Final]]-Tableau1[[#This Row],[HM]]</calculatedColumnFormula>
    </tableColumn>
    <tableColumn id="19" name="Pool Pro2" dataDxfId="4">
      <calculatedColumnFormula>Tableau1[[#This Row],[Final]]-Tableau1[[#This Row],[Pool Pro]]</calculatedColumnFormula>
    </tableColumn>
    <tableColumn id="20" name="ESPN2" dataDxfId="3">
      <calculatedColumnFormula>Tableau1[[#This Row],[Final]]-Tableau1[[#This Row],[ESPN]]</calculatedColumnFormula>
    </tableColumn>
    <tableColumn id="21" name="CBS2" dataDxfId="2">
      <calculatedColumnFormula>Tableau1[[#This Row],[Final]]-Tableau1[[#This Row],[CBS]]</calculatedColumnFormula>
    </tableColumn>
    <tableColumn id="22" name="Moyenne2" dataDxfId="1">
      <calculatedColumnFormula>Tableau1[[#This Row],[Final]]-Tableau1[[#This Row],[Moyenne]]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I3:M29" totalsRowShown="0">
  <autoFilter ref="I3:M29"/>
  <sortState ref="I4:M29">
    <sortCondition ref="J3:J29"/>
  </sortState>
  <tableColumns count="5">
    <tableColumn id="1" name="Colonne1"/>
    <tableColumn id="2" name="Colonne2"/>
    <tableColumn id="3" name="PoolPro"/>
    <tableColumn id="4" name="HN"/>
    <tableColumn id="5" name="Colonn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bssports.com/fantasyhockey/players/playerpage/1964559/riley-sheahan" TargetMode="External"/><Relationship Id="rId299" Type="http://schemas.openxmlformats.org/officeDocument/2006/relationships/hyperlink" Target="http://www.cbssports.com/fantasyhockey/players/playerpage/1282428/michael-frolik" TargetMode="External"/><Relationship Id="rId21" Type="http://schemas.openxmlformats.org/officeDocument/2006/relationships/hyperlink" Target="http://www.cbssports.com/fantasyhockey/players/playerpage/433666/ryan-kesler" TargetMode="External"/><Relationship Id="rId63" Type="http://schemas.openxmlformats.org/officeDocument/2006/relationships/hyperlink" Target="http://www.cbssports.com/fantasyhockey/players/playerpage/1606858/kyle-turris" TargetMode="External"/><Relationship Id="rId159" Type="http://schemas.openxmlformats.org/officeDocument/2006/relationships/hyperlink" Target="http://www.cbssports.com/fantasyhockey/players/playerpage/1280606/wayne-simmonds" TargetMode="External"/><Relationship Id="rId324" Type="http://schemas.openxmlformats.org/officeDocument/2006/relationships/hyperlink" Target="http://www.cbssports.com/fantasyhockey/players/playerpage/1639341/josh-bailey" TargetMode="External"/><Relationship Id="rId366" Type="http://schemas.openxmlformats.org/officeDocument/2006/relationships/hyperlink" Target="http://www.cbssports.com/fantasyhockey/players/playerpage/433220/shea-weber" TargetMode="External"/><Relationship Id="rId170" Type="http://schemas.openxmlformats.org/officeDocument/2006/relationships/hyperlink" Target="http://www.cbssports.com/fantasyhockey/players/playerpage/433597/jiri-hudler" TargetMode="External"/><Relationship Id="rId226" Type="http://schemas.openxmlformats.org/officeDocument/2006/relationships/hyperlink" Target="http://www.cbssports.com/fantasyhockey/players/playerpage/2076028/anthony-mantha" TargetMode="External"/><Relationship Id="rId433" Type="http://schemas.openxmlformats.org/officeDocument/2006/relationships/hyperlink" Target="http://www.cbssports.com/fantasyhockey/players/playerpage/1639403/travis-hamonic" TargetMode="External"/><Relationship Id="rId268" Type="http://schemas.openxmlformats.org/officeDocument/2006/relationships/hyperlink" Target="http://www.cbssports.com/fantasyhockey/players/playerpage/1897673/carl-hagelin" TargetMode="External"/><Relationship Id="rId475" Type="http://schemas.openxmlformats.org/officeDocument/2006/relationships/hyperlink" Target="http://www.cbssports.com/fantasyhockey/players/playerpage/1770975/mark-pysyk" TargetMode="External"/><Relationship Id="rId32" Type="http://schemas.openxmlformats.org/officeDocument/2006/relationships/hyperlink" Target="http://www.cbssports.com/fantasyhockey/players/playerpage/2076014/aleksander-barkov" TargetMode="External"/><Relationship Id="rId74" Type="http://schemas.openxmlformats.org/officeDocument/2006/relationships/hyperlink" Target="http://www.cbssports.com/fantasyhockey/players/playerpage/1134161/travis-zajac" TargetMode="External"/><Relationship Id="rId128" Type="http://schemas.openxmlformats.org/officeDocument/2006/relationships/hyperlink" Target="http://www.cbssports.com/fantasyhockey/players/playerpage/1897594/andy-andreoff" TargetMode="External"/><Relationship Id="rId335" Type="http://schemas.openxmlformats.org/officeDocument/2006/relationships/hyperlink" Target="http://www.cbssports.com/fantasyhockey/players/playerpage/347857/scottie-upshall" TargetMode="External"/><Relationship Id="rId377" Type="http://schemas.openxmlformats.org/officeDocument/2006/relationships/hyperlink" Target="http://www.cbssports.com/fantasyhockey/players/playerpage/19791/zdeno-chara" TargetMode="External"/><Relationship Id="rId500" Type="http://schemas.openxmlformats.org/officeDocument/2006/relationships/hyperlink" Target="http://www.cbssports.com/fantasyhockey/players/playerpage/1134147/roman-polak" TargetMode="External"/><Relationship Id="rId5" Type="http://schemas.openxmlformats.org/officeDocument/2006/relationships/hyperlink" Target="http://www.cbssports.com/fantasyhockey/players/playerpage/433588/patrice-bergeron" TargetMode="External"/><Relationship Id="rId181" Type="http://schemas.openxmlformats.org/officeDocument/2006/relationships/hyperlink" Target="http://www.cbssports.com/fantasyhockey/players/playerpage/2147475/david-pastrnak" TargetMode="External"/><Relationship Id="rId237" Type="http://schemas.openxmlformats.org/officeDocument/2006/relationships/hyperlink" Target="http://www.cbssports.com/fantasyhockey/players/playerpage/1707586/erik-condra" TargetMode="External"/><Relationship Id="rId402" Type="http://schemas.openxmlformats.org/officeDocument/2006/relationships/hyperlink" Target="http://www.cbssports.com/fantasyhockey/players/playerpage/435205/john-michael-liles" TargetMode="External"/><Relationship Id="rId279" Type="http://schemas.openxmlformats.org/officeDocument/2006/relationships/hyperlink" Target="http://www.cbssports.com/fantasyhockey/players/playerpage/2000661/tomas-hertl" TargetMode="External"/><Relationship Id="rId444" Type="http://schemas.openxmlformats.org/officeDocument/2006/relationships/hyperlink" Target="http://www.cbssports.com/fantasyhockey/players/playerpage/2147580/trevor-van-riemsdyk" TargetMode="External"/><Relationship Id="rId486" Type="http://schemas.openxmlformats.org/officeDocument/2006/relationships/hyperlink" Target="http://www.cbssports.com/fantasyhockey/players/playerpage/274035/ron-hainsey" TargetMode="External"/><Relationship Id="rId43" Type="http://schemas.openxmlformats.org/officeDocument/2006/relationships/hyperlink" Target="http://www.cbssports.com/fantasyhockey/players/playerpage/1897806/vincent-trocheck" TargetMode="External"/><Relationship Id="rId139" Type="http://schemas.openxmlformats.org/officeDocument/2006/relationships/hyperlink" Target="http://www.cbssports.com/fantasyhockey/players/playerpage/1770930/jacob-josefson" TargetMode="External"/><Relationship Id="rId290" Type="http://schemas.openxmlformats.org/officeDocument/2006/relationships/hyperlink" Target="http://www.cbssports.com/fantasyhockey/players/playerpage/565389/jussi-jokinen" TargetMode="External"/><Relationship Id="rId304" Type="http://schemas.openxmlformats.org/officeDocument/2006/relationships/hyperlink" Target="http://www.cbssports.com/fantasyhockey/players/playerpage/2147336/nikolaj-ehlers" TargetMode="External"/><Relationship Id="rId346" Type="http://schemas.openxmlformats.org/officeDocument/2006/relationships/hyperlink" Target="http://www.cbssports.com/fantasyhockey/players/playerpage/1639439/matt-martin" TargetMode="External"/><Relationship Id="rId388" Type="http://schemas.openxmlformats.org/officeDocument/2006/relationships/hyperlink" Target="http://www.cbssports.com/fantasyhockey/players/playerpage/273310/dan-hamhuis" TargetMode="External"/><Relationship Id="rId511" Type="http://schemas.openxmlformats.org/officeDocument/2006/relationships/hyperlink" Target="http://www.cbssports.com/fantasyhockey/players/playerpage/1770920/erik-gudbranson" TargetMode="External"/><Relationship Id="rId85" Type="http://schemas.openxmlformats.org/officeDocument/2006/relationships/hyperlink" Target="http://www.cbssports.com/fantasyhockey/players/playerpage/2076042/alexander-wennberg" TargetMode="External"/><Relationship Id="rId150" Type="http://schemas.openxmlformats.org/officeDocument/2006/relationships/hyperlink" Target="http://www.cbssports.com/fantasyhockey/players/playerpage/565361/dave-bolland" TargetMode="External"/><Relationship Id="rId192" Type="http://schemas.openxmlformats.org/officeDocument/2006/relationships/hyperlink" Target="http://www.cbssports.com/fantasyhockey/players/playerpage/566058/lee-stempniak" TargetMode="External"/><Relationship Id="rId206" Type="http://schemas.openxmlformats.org/officeDocument/2006/relationships/hyperlink" Target="http://www.cbssports.com/fantasyhockey/players/playerpage/2000681/tom-wilson" TargetMode="External"/><Relationship Id="rId413" Type="http://schemas.openxmlformats.org/officeDocument/2006/relationships/hyperlink" Target="http://www.cbssports.com/fantasyhockey/players/playerpage/2147283/aaron-ekblad" TargetMode="External"/><Relationship Id="rId248" Type="http://schemas.openxmlformats.org/officeDocument/2006/relationships/hyperlink" Target="http://www.cbssports.com/fantasyhockey/players/playerpage/566097/david-clarkson" TargetMode="External"/><Relationship Id="rId455" Type="http://schemas.openxmlformats.org/officeDocument/2006/relationships/hyperlink" Target="http://www.cbssports.com/fantasyhockey/players/playerpage/1137447/dan-girardi" TargetMode="External"/><Relationship Id="rId497" Type="http://schemas.openxmlformats.org/officeDocument/2006/relationships/hyperlink" Target="http://www.cbssports.com/fantasyhockey/players/playerpage/1770933/steven-kampfer" TargetMode="External"/><Relationship Id="rId12" Type="http://schemas.openxmlformats.org/officeDocument/2006/relationships/hyperlink" Target="http://www.cbssports.com/fantasyhockey/players/playerpage/1282469/claude-giroux" TargetMode="External"/><Relationship Id="rId108" Type="http://schemas.openxmlformats.org/officeDocument/2006/relationships/hyperlink" Target="http://www.cbssports.com/fantasyhockey/players/playerpage/2245506/auston-matthews" TargetMode="External"/><Relationship Id="rId315" Type="http://schemas.openxmlformats.org/officeDocument/2006/relationships/hyperlink" Target="http://www.cbssports.com/fantasyhockey/players/playerpage/434880/clarke-macarthur" TargetMode="External"/><Relationship Id="rId357" Type="http://schemas.openxmlformats.org/officeDocument/2006/relationships/hyperlink" Target="http://www.cbssports.com/fantasyhockey/players/playerpage/566030/kris-letang" TargetMode="External"/><Relationship Id="rId54" Type="http://schemas.openxmlformats.org/officeDocument/2006/relationships/hyperlink" Target="http://www.cbssports.com/fantasyhockey/players/playerpage/1897752/jean-gabriel-pageau" TargetMode="External"/><Relationship Id="rId96" Type="http://schemas.openxmlformats.org/officeDocument/2006/relationships/hyperlink" Target="http://www.cbssports.com/fantasyhockey/players/playerpage/2094655/chris-wagner" TargetMode="External"/><Relationship Id="rId161" Type="http://schemas.openxmlformats.org/officeDocument/2006/relationships/hyperlink" Target="http://www.cbssports.com/fantasyhockey/players/playerpage/1280574/patric-hornqvist" TargetMode="External"/><Relationship Id="rId217" Type="http://schemas.openxmlformats.org/officeDocument/2006/relationships/hyperlink" Target="http://www.cbssports.com/fantasyhockey/players/playerpage/1639496/dale-weise" TargetMode="External"/><Relationship Id="rId399" Type="http://schemas.openxmlformats.org/officeDocument/2006/relationships/hyperlink" Target="http://www.cbssports.com/fantasyhockey/players/playerpage/1639440/alec-martinez" TargetMode="External"/><Relationship Id="rId259" Type="http://schemas.openxmlformats.org/officeDocument/2006/relationships/hyperlink" Target="http://www.cbssports.com/fantasyhockey/players/playerpage/369012/patrick-sharp" TargetMode="External"/><Relationship Id="rId424" Type="http://schemas.openxmlformats.org/officeDocument/2006/relationships/hyperlink" Target="http://www.cbssports.com/fantasyhockey/players/playerpage/1707452/david-savard" TargetMode="External"/><Relationship Id="rId466" Type="http://schemas.openxmlformats.org/officeDocument/2006/relationships/hyperlink" Target="http://www.cbssports.com/fantasyhockey/players/playerpage/2147295/stephen-johns" TargetMode="External"/><Relationship Id="rId23" Type="http://schemas.openxmlformats.org/officeDocument/2006/relationships/hyperlink" Target="http://www.cbssports.com/fantasyhockey/players/playerpage/1133462/derick-brassard" TargetMode="External"/><Relationship Id="rId119" Type="http://schemas.openxmlformats.org/officeDocument/2006/relationships/hyperlink" Target="http://www.cbssports.com/fantasyhockey/players/playerpage/2094650/chris-tierney" TargetMode="External"/><Relationship Id="rId270" Type="http://schemas.openxmlformats.org/officeDocument/2006/relationships/hyperlink" Target="http://www.cbssports.com/fantasyhockey/players/playerpage/1897753/ondrej-palat" TargetMode="External"/><Relationship Id="rId326" Type="http://schemas.openxmlformats.org/officeDocument/2006/relationships/hyperlink" Target="http://www.cbssports.com/fantasyhockey/players/playerpage/1133712/jamie-mcginn" TargetMode="External"/><Relationship Id="rId65" Type="http://schemas.openxmlformats.org/officeDocument/2006/relationships/hyperlink" Target="http://www.cbssports.com/fantasyhockey/players/playerpage/1770957/riley-nash" TargetMode="External"/><Relationship Id="rId130" Type="http://schemas.openxmlformats.org/officeDocument/2006/relationships/hyperlink" Target="http://www.cbssports.com/fantasyhockey/players/playerpage/2094620/joakim-nordstrom" TargetMode="External"/><Relationship Id="rId368" Type="http://schemas.openxmlformats.org/officeDocument/2006/relationships/hyperlink" Target="http://www.cbssports.com/fantasyhockey/players/playerpage/1765197/oliver-ekman-larsson" TargetMode="External"/><Relationship Id="rId172" Type="http://schemas.openxmlformats.org/officeDocument/2006/relationships/hyperlink" Target="http://www.cbssports.com/fantasyhockey/players/playerpage/1134106/david-backes" TargetMode="External"/><Relationship Id="rId228" Type="http://schemas.openxmlformats.org/officeDocument/2006/relationships/hyperlink" Target="http://www.cbssports.com/fantasyhockey/players/playerpage/371763/alex-burrows" TargetMode="External"/><Relationship Id="rId435" Type="http://schemas.openxmlformats.org/officeDocument/2006/relationships/hyperlink" Target="http://www.cbssports.com/fantasyhockey/players/playerpage/2051254/andrej-sustr" TargetMode="External"/><Relationship Id="rId477" Type="http://schemas.openxmlformats.org/officeDocument/2006/relationships/hyperlink" Target="http://www.cbssports.com/fantasyhockey/players/playerpage/2178823/noah-hanifin" TargetMode="External"/><Relationship Id="rId281" Type="http://schemas.openxmlformats.org/officeDocument/2006/relationships/hyperlink" Target="http://www.cbssports.com/fantasyhockey/players/playerpage/1899136/brandon-saad" TargetMode="External"/><Relationship Id="rId337" Type="http://schemas.openxmlformats.org/officeDocument/2006/relationships/hyperlink" Target="http://www.cbssports.com/fantasyhockey/players/playerpage/1707392/kyle-clifford" TargetMode="External"/><Relationship Id="rId502" Type="http://schemas.openxmlformats.org/officeDocument/2006/relationships/hyperlink" Target="http://www.cbssports.com/fantasyhockey/players/playerpage/369001/zbynek-michalek" TargetMode="External"/><Relationship Id="rId34" Type="http://schemas.openxmlformats.org/officeDocument/2006/relationships/hyperlink" Target="http://www.cbssports.com/fantasyhockey/players/playerpage/2076027/nathan-mackinnon" TargetMode="External"/><Relationship Id="rId76" Type="http://schemas.openxmlformats.org/officeDocument/2006/relationships/hyperlink" Target="http://www.cbssports.com/fantasyhockey/players/playerpage/19630/matt-cullen" TargetMode="External"/><Relationship Id="rId141" Type="http://schemas.openxmlformats.org/officeDocument/2006/relationships/hyperlink" Target="http://www.cbssports.com/fantasyhockey/players/playerpage/1771009/chris-vandevelde" TargetMode="External"/><Relationship Id="rId379" Type="http://schemas.openxmlformats.org/officeDocument/2006/relationships/hyperlink" Target="http://www.cbssports.com/fantasyhockey/players/playerpage/1286087/anton-stralman" TargetMode="External"/><Relationship Id="rId7" Type="http://schemas.openxmlformats.org/officeDocument/2006/relationships/hyperlink" Target="http://www.cbssports.com/fantasyhockey/players/playerpage/273557/jason-spezza" TargetMode="External"/><Relationship Id="rId183" Type="http://schemas.openxmlformats.org/officeDocument/2006/relationships/hyperlink" Target="http://www.cbssports.com/fantasyhockey/players/playerpage/1897597/cam-atkinson" TargetMode="External"/><Relationship Id="rId239" Type="http://schemas.openxmlformats.org/officeDocument/2006/relationships/hyperlink" Target="http://www.cbssports.com/fantasyhockey/players/playerpage/2054434/dmitrij-jaskin" TargetMode="External"/><Relationship Id="rId390" Type="http://schemas.openxmlformats.org/officeDocument/2006/relationships/hyperlink" Target="http://www.cbssports.com/fantasyhockey/players/playerpage/346966/trevor-daley" TargetMode="External"/><Relationship Id="rId404" Type="http://schemas.openxmlformats.org/officeDocument/2006/relationships/hyperlink" Target="http://www.cbssports.com/fantasyhockey/players/playerpage/565841/mark-streit" TargetMode="External"/><Relationship Id="rId446" Type="http://schemas.openxmlformats.org/officeDocument/2006/relationships/hyperlink" Target="http://www.cbssports.com/fantasyhockey/players/playerpage/1769706/jordie-benn" TargetMode="External"/><Relationship Id="rId250" Type="http://schemas.openxmlformats.org/officeDocument/2006/relationships/hyperlink" Target="http://www.cbssports.com/fantasyhockey/players/playerpage/272754/chris-thorburn" TargetMode="External"/><Relationship Id="rId292" Type="http://schemas.openxmlformats.org/officeDocument/2006/relationships/hyperlink" Target="http://www.cbssports.com/fantasyhockey/players/playerpage/1707461/tomas-tatar" TargetMode="External"/><Relationship Id="rId306" Type="http://schemas.openxmlformats.org/officeDocument/2006/relationships/hyperlink" Target="http://www.cbssports.com/fantasyhockey/players/playerpage/1134160/daniel-winnik" TargetMode="External"/><Relationship Id="rId488" Type="http://schemas.openxmlformats.org/officeDocument/2006/relationships/hyperlink" Target="http://www.cbssports.com/fantasyhockey/players/playerpage/2093843/chris-bigras" TargetMode="External"/><Relationship Id="rId45" Type="http://schemas.openxmlformats.org/officeDocument/2006/relationships/hyperlink" Target="http://www.cbssports.com/fantasyhockey/players/playerpage/1639405/adam-henrique" TargetMode="External"/><Relationship Id="rId87" Type="http://schemas.openxmlformats.org/officeDocument/2006/relationships/hyperlink" Target="http://www.cbssports.com/fantasyhockey/players/playerpage/2147297/jori-lehtera" TargetMode="External"/><Relationship Id="rId110" Type="http://schemas.openxmlformats.org/officeDocument/2006/relationships/hyperlink" Target="http://www.cbssports.com/fantasyhockey/players/playerpage/2093845/joseph-blandisi" TargetMode="External"/><Relationship Id="rId348" Type="http://schemas.openxmlformats.org/officeDocument/2006/relationships/hyperlink" Target="http://www.cbssports.com/fantasyhockey/players/playerpage/1286082/matt-hendricks" TargetMode="External"/><Relationship Id="rId152" Type="http://schemas.openxmlformats.org/officeDocument/2006/relationships/hyperlink" Target="http://www.cbssports.com/fantasyhockey/players/playerpage/368994/brooks-laich" TargetMode="External"/><Relationship Id="rId194" Type="http://schemas.openxmlformats.org/officeDocument/2006/relationships/hyperlink" Target="http://www.cbssports.com/fantasyhockey/players/playerpage/565839/alexander-radulov" TargetMode="External"/><Relationship Id="rId208" Type="http://schemas.openxmlformats.org/officeDocument/2006/relationships/hyperlink" Target="http://www.cbssports.com/fantasyhockey/players/playerpage/273354/jordin-tootoo" TargetMode="External"/><Relationship Id="rId415" Type="http://schemas.openxmlformats.org/officeDocument/2006/relationships/hyperlink" Target="http://www.cbssports.com/fantasyhockey/players/playerpage/1282431/niklas-hjalmarsson" TargetMode="External"/><Relationship Id="rId457" Type="http://schemas.openxmlformats.org/officeDocument/2006/relationships/hyperlink" Target="http://www.cbssports.com/fantasyhockey/players/playerpage/435220/paul-martin" TargetMode="External"/><Relationship Id="rId240" Type="http://schemas.openxmlformats.org/officeDocument/2006/relationships/hyperlink" Target="http://www.cbssports.com/fantasyhockey/players/playerpage/2094638/miikka-salomaki" TargetMode="External"/><Relationship Id="rId261" Type="http://schemas.openxmlformats.org/officeDocument/2006/relationships/hyperlink" Target="http://www.cbssports.com/fantasyhockey/players/playerpage/151203/daniel-sedin" TargetMode="External"/><Relationship Id="rId478" Type="http://schemas.openxmlformats.org/officeDocument/2006/relationships/hyperlink" Target="http://www.cbssports.com/fantasyhockey/players/playerpage/565680/jakub-kindl" TargetMode="External"/><Relationship Id="rId499" Type="http://schemas.openxmlformats.org/officeDocument/2006/relationships/hyperlink" Target="http://www.cbssports.com/fantasyhockey/players/playerpage/2094782/petter-granberg" TargetMode="External"/><Relationship Id="rId14" Type="http://schemas.openxmlformats.org/officeDocument/2006/relationships/hyperlink" Target="http://www.cbssports.com/fantasyhockey/players/playerpage/434820/jeff-carter" TargetMode="External"/><Relationship Id="rId35" Type="http://schemas.openxmlformats.org/officeDocument/2006/relationships/hyperlink" Target="http://www.cbssports.com/fantasyhockey/players/playerpage/1899132/rickard-rakell" TargetMode="External"/><Relationship Id="rId56" Type="http://schemas.openxmlformats.org/officeDocument/2006/relationships/hyperlink" Target="http://www.cbssports.com/fantasyhockey/players/playerpage/1134138/frans-nielsen" TargetMode="External"/><Relationship Id="rId77" Type="http://schemas.openxmlformats.org/officeDocument/2006/relationships/hyperlink" Target="http://www.cbssports.com/fantasyhockey/players/playerpage/566179/valtteri-filppula" TargetMode="External"/><Relationship Id="rId100" Type="http://schemas.openxmlformats.org/officeDocument/2006/relationships/hyperlink" Target="http://www.cbssports.com/fantasyhockey/players/playerpage/1280611/brandon-sutter" TargetMode="External"/><Relationship Id="rId282" Type="http://schemas.openxmlformats.org/officeDocument/2006/relationships/hyperlink" Target="http://www.cbssports.com/fantasyhockey/players/playerpage/1897686/jonathan-huberdeau" TargetMode="External"/><Relationship Id="rId317" Type="http://schemas.openxmlformats.org/officeDocument/2006/relationships/hyperlink" Target="http://www.cbssports.com/fantasyhockey/players/playerpage/1133424/milan-lucic" TargetMode="External"/><Relationship Id="rId338" Type="http://schemas.openxmlformats.org/officeDocument/2006/relationships/hyperlink" Target="http://www.cbssports.com/fantasyhockey/players/playerpage/1776606/brandon-bollig" TargetMode="External"/><Relationship Id="rId359" Type="http://schemas.openxmlformats.org/officeDocument/2006/relationships/hyperlink" Target="http://www.cbssports.com/fantasyhockey/players/playerpage/1282455/pk-subban" TargetMode="External"/><Relationship Id="rId503" Type="http://schemas.openxmlformats.org/officeDocument/2006/relationships/hyperlink" Target="http://www.cbssports.com/fantasyhockey/players/playerpage/2040002/jonas-brodin" TargetMode="External"/><Relationship Id="rId8" Type="http://schemas.openxmlformats.org/officeDocument/2006/relationships/hyperlink" Target="http://www.cbssports.com/fantasyhockey/players/playerpage/1685406/john-tavares" TargetMode="External"/><Relationship Id="rId98" Type="http://schemas.openxmlformats.org/officeDocument/2006/relationships/hyperlink" Target="http://www.cbssports.com/fantasyhockey/players/playerpage/565675/darren-helm" TargetMode="External"/><Relationship Id="rId121" Type="http://schemas.openxmlformats.org/officeDocument/2006/relationships/hyperlink" Target="http://www.cbssports.com/fantasyhockey/players/playerpage/433607/brad-richardson" TargetMode="External"/><Relationship Id="rId142" Type="http://schemas.openxmlformats.org/officeDocument/2006/relationships/hyperlink" Target="http://www.cbssports.com/fantasyhockey/players/playerpage/2147184/william-karlsson" TargetMode="External"/><Relationship Id="rId163" Type="http://schemas.openxmlformats.org/officeDocument/2006/relationships/hyperlink" Target="http://www.cbssports.com/fantasyhockey/players/playerpage/1280617/jakub-voracek" TargetMode="External"/><Relationship Id="rId184" Type="http://schemas.openxmlformats.org/officeDocument/2006/relationships/hyperlink" Target="http://www.cbssports.com/fantasyhockey/players/playerpage/274306/joel-ward" TargetMode="External"/><Relationship Id="rId219" Type="http://schemas.openxmlformats.org/officeDocument/2006/relationships/hyperlink" Target="http://www.cbssports.com/fantasyhockey/players/playerpage/2245503/patrik-laine" TargetMode="External"/><Relationship Id="rId370" Type="http://schemas.openxmlformats.org/officeDocument/2006/relationships/hyperlink" Target="http://www.cbssports.com/fantasyhockey/players/playerpage/1628806/drew-doughty" TargetMode="External"/><Relationship Id="rId391" Type="http://schemas.openxmlformats.org/officeDocument/2006/relationships/hyperlink" Target="http://www.cbssports.com/fantasyhockey/players/playerpage/565842/ryan-suter" TargetMode="External"/><Relationship Id="rId405" Type="http://schemas.openxmlformats.org/officeDocument/2006/relationships/hyperlink" Target="http://www.cbssports.com/fantasyhockey/players/playerpage/1228267/erik-johnson" TargetMode="External"/><Relationship Id="rId426" Type="http://schemas.openxmlformats.org/officeDocument/2006/relationships/hyperlink" Target="http://www.cbssports.com/fantasyhockey/players/playerpage/1770879/justin-braun" TargetMode="External"/><Relationship Id="rId447" Type="http://schemas.openxmlformats.org/officeDocument/2006/relationships/hyperlink" Target="http://www.cbssports.com/fantasyhockey/players/playerpage/2198314/ben-hutton" TargetMode="External"/><Relationship Id="rId230" Type="http://schemas.openxmlformats.org/officeDocument/2006/relationships/hyperlink" Target="http://www.cbssports.com/fantasyhockey/players/playerpage/1133489/chris-stewart" TargetMode="External"/><Relationship Id="rId251" Type="http://schemas.openxmlformats.org/officeDocument/2006/relationships/hyperlink" Target="http://www.cbssports.com/fantasyhockey/players/playerpage/2038300/beau-bennett" TargetMode="External"/><Relationship Id="rId468" Type="http://schemas.openxmlformats.org/officeDocument/2006/relationships/hyperlink" Target="http://www.cbssports.com/fantasyhockey/players/playerpage/1282429/alex-goligoski" TargetMode="External"/><Relationship Id="rId489" Type="http://schemas.openxmlformats.org/officeDocument/2006/relationships/hyperlink" Target="http://www.cbssports.com/fantasyhockey/players/playerpage/205123/nick-schultz" TargetMode="External"/><Relationship Id="rId25" Type="http://schemas.openxmlformats.org/officeDocument/2006/relationships/hyperlink" Target="http://www.cbssports.com/fantasyhockey/players/playerpage/2178633/connor-mcdavid" TargetMode="External"/><Relationship Id="rId46" Type="http://schemas.openxmlformats.org/officeDocument/2006/relationships/hyperlink" Target="http://www.cbssports.com/fantasyhockey/players/playerpage/152183/mike-ribeiro" TargetMode="External"/><Relationship Id="rId67" Type="http://schemas.openxmlformats.org/officeDocument/2006/relationships/hyperlink" Target="http://www.cbssports.com/fantasyhockey/players/playerpage/1134156/carl-soderberg" TargetMode="External"/><Relationship Id="rId272" Type="http://schemas.openxmlformats.org/officeDocument/2006/relationships/hyperlink" Target="http://www.cbssports.com/fantasyhockey/players/playerpage/1897704/gabriel-landeskog" TargetMode="External"/><Relationship Id="rId293" Type="http://schemas.openxmlformats.org/officeDocument/2006/relationships/hyperlink" Target="http://www.cbssports.com/fantasyhockey/players/playerpage/566127/benoit-pouliot" TargetMode="External"/><Relationship Id="rId307" Type="http://schemas.openxmlformats.org/officeDocument/2006/relationships/hyperlink" Target="http://www.cbssports.com/fantasyhockey/players/playerpage/565429/thomas-vanek" TargetMode="External"/><Relationship Id="rId328" Type="http://schemas.openxmlformats.org/officeDocument/2006/relationships/hyperlink" Target="http://www.cbssports.com/fantasyhockey/players/playerpage/1282478/mason-raymond" TargetMode="External"/><Relationship Id="rId349" Type="http://schemas.openxmlformats.org/officeDocument/2006/relationships/hyperlink" Target="http://www.cbssports.com/fantasyhockey/players/playerpage/2147476/nick-paul" TargetMode="External"/><Relationship Id="rId88" Type="http://schemas.openxmlformats.org/officeDocument/2006/relationships/hyperlink" Target="http://www.cbssports.com/fantasyhockey/players/playerpage/2000655/radek-faksa" TargetMode="External"/><Relationship Id="rId111" Type="http://schemas.openxmlformats.org/officeDocument/2006/relationships/hyperlink" Target="http://www.cbssports.com/fantasyhockey/players/playerpage/2094579/erik-haula" TargetMode="External"/><Relationship Id="rId132" Type="http://schemas.openxmlformats.org/officeDocument/2006/relationships/hyperlink" Target="http://www.cbssports.com/fantasyhockey/players/playerpage/2094558/laurent-dauphin" TargetMode="External"/><Relationship Id="rId153" Type="http://schemas.openxmlformats.org/officeDocument/2006/relationships/hyperlink" Target="http://www.cbssports.com/fantasyhockey/players/playerpage/1240390/patrick-kane" TargetMode="External"/><Relationship Id="rId174" Type="http://schemas.openxmlformats.org/officeDocument/2006/relationships/hyperlink" Target="http://www.cbssports.com/fantasyhockey/players/playerpage/565257/bobby-ryan" TargetMode="External"/><Relationship Id="rId195" Type="http://schemas.openxmlformats.org/officeDocument/2006/relationships/hyperlink" Target="http://www.cbssports.com/fantasyhockey/players/playerpage/1493839/kyle-okposo" TargetMode="External"/><Relationship Id="rId209" Type="http://schemas.openxmlformats.org/officeDocument/2006/relationships/hyperlink" Target="http://www.cbssports.com/fantasyhockey/players/playerpage/1961381/jt-brown" TargetMode="External"/><Relationship Id="rId360" Type="http://schemas.openxmlformats.org/officeDocument/2006/relationships/hyperlink" Target="http://www.cbssports.com/fantasyhockey/players/playerpage/1639364/john-carlson" TargetMode="External"/><Relationship Id="rId381" Type="http://schemas.openxmlformats.org/officeDocument/2006/relationships/hyperlink" Target="http://www.cbssports.com/fantasyhockey/players/playerpage/204657/andrei-markov" TargetMode="External"/><Relationship Id="rId416" Type="http://schemas.openxmlformats.org/officeDocument/2006/relationships/hyperlink" Target="http://www.cbssports.com/fantasyhockey/players/playerpage/2000653/cody-ceci" TargetMode="External"/><Relationship Id="rId220" Type="http://schemas.openxmlformats.org/officeDocument/2006/relationships/hyperlink" Target="http://www.cbssports.com/fantasyhockey/players/playerpage/1285575/torrey-mitchell" TargetMode="External"/><Relationship Id="rId241" Type="http://schemas.openxmlformats.org/officeDocument/2006/relationships/hyperlink" Target="http://www.cbssports.com/fantasyhockey/players/playerpage/1707418/zack-kassian" TargetMode="External"/><Relationship Id="rId437" Type="http://schemas.openxmlformats.org/officeDocument/2006/relationships/hyperlink" Target="http://www.cbssports.com/fantasyhockey/players/playerpage/1770919/radko-gudas" TargetMode="External"/><Relationship Id="rId458" Type="http://schemas.openxmlformats.org/officeDocument/2006/relationships/hyperlink" Target="http://www.cbssports.com/fantasyhockey/players/playerpage/1897719/brandon-manning" TargetMode="External"/><Relationship Id="rId479" Type="http://schemas.openxmlformats.org/officeDocument/2006/relationships/hyperlink" Target="http://www.cbssports.com/fantasyhockey/players/playerpage/1707435/john-moore" TargetMode="External"/><Relationship Id="rId15" Type="http://schemas.openxmlformats.org/officeDocument/2006/relationships/hyperlink" Target="http://www.cbssports.com/fantasyhockey/players/playerpage/1133596/david-krejci" TargetMode="External"/><Relationship Id="rId36" Type="http://schemas.openxmlformats.org/officeDocument/2006/relationships/hyperlink" Target="http://www.cbssports.com/fantasyhockey/players/playerpage/1707417/nazem-kadri" TargetMode="External"/><Relationship Id="rId57" Type="http://schemas.openxmlformats.org/officeDocument/2006/relationships/hyperlink" Target="http://www.cbssports.com/fantasyhockey/players/playerpage/1707441/ryan-oreilly" TargetMode="External"/><Relationship Id="rId262" Type="http://schemas.openxmlformats.org/officeDocument/2006/relationships/hyperlink" Target="http://www.cbssports.com/fantasyhockey/players/playerpage/367818/alexander-steen" TargetMode="External"/><Relationship Id="rId283" Type="http://schemas.openxmlformats.org/officeDocument/2006/relationships/hyperlink" Target="http://www.cbssports.com/fantasyhockey/players/playerpage/1897689/boone-jenner" TargetMode="External"/><Relationship Id="rId318" Type="http://schemas.openxmlformats.org/officeDocument/2006/relationships/hyperlink" Target="http://www.cbssports.com/fantasyhockey/players/playerpage/1897611/reid-boucher" TargetMode="External"/><Relationship Id="rId339" Type="http://schemas.openxmlformats.org/officeDocument/2006/relationships/hyperlink" Target="http://www.cbssports.com/fantasyhockey/players/playerpage/1280586/patrick-maroon" TargetMode="External"/><Relationship Id="rId490" Type="http://schemas.openxmlformats.org/officeDocument/2006/relationships/hyperlink" Target="http://www.cbssports.com/fantasyhockey/players/playerpage/1286415/matt-hunwick" TargetMode="External"/><Relationship Id="rId504" Type="http://schemas.openxmlformats.org/officeDocument/2006/relationships/hyperlink" Target="http://www.cbssports.com/fantasyhockey/players/playerpage/2038918/jake-mccabe" TargetMode="External"/><Relationship Id="rId78" Type="http://schemas.openxmlformats.org/officeDocument/2006/relationships/hyperlink" Target="http://www.cbssports.com/fantasyhockey/players/playerpage/2197831/mattias-janmark" TargetMode="External"/><Relationship Id="rId99" Type="http://schemas.openxmlformats.org/officeDocument/2006/relationships/hyperlink" Target="http://www.cbssports.com/fantasyhockey/players/playerpage/2041394/charlie-coyle" TargetMode="External"/><Relationship Id="rId101" Type="http://schemas.openxmlformats.org/officeDocument/2006/relationships/hyperlink" Target="http://www.cbssports.com/fantasyhockey/players/playerpage/151109/chris-kelly" TargetMode="External"/><Relationship Id="rId122" Type="http://schemas.openxmlformats.org/officeDocument/2006/relationships/hyperlink" Target="http://www.cbssports.com/fantasyhockey/players/playerpage/2147494/dennis-rasmussen" TargetMode="External"/><Relationship Id="rId143" Type="http://schemas.openxmlformats.org/officeDocument/2006/relationships/hyperlink" Target="http://www.cbssports.com/fantasyhockey/players/playerpage/2198225/sergey-kalinin" TargetMode="External"/><Relationship Id="rId164" Type="http://schemas.openxmlformats.org/officeDocument/2006/relationships/hyperlink" Target="http://www.cbssports.com/fantasyhockey/players/playerpage/1771071/brendan-gallagher" TargetMode="External"/><Relationship Id="rId185" Type="http://schemas.openxmlformats.org/officeDocument/2006/relationships/hyperlink" Target="http://www.cbssports.com/fantasyhockey/players/playerpage/273213/ales-hemsky" TargetMode="External"/><Relationship Id="rId350" Type="http://schemas.openxmlformats.org/officeDocument/2006/relationships/hyperlink" Target="http://www.cbssports.com/fantasyhockey/players/playerpage/2043047/johan-larsson" TargetMode="External"/><Relationship Id="rId371" Type="http://schemas.openxmlformats.org/officeDocument/2006/relationships/hyperlink" Target="http://www.cbssports.com/fantasyhockey/players/playerpage/435155/mark-giordano" TargetMode="External"/><Relationship Id="rId406" Type="http://schemas.openxmlformats.org/officeDocument/2006/relationships/hyperlink" Target="http://www.cbssports.com/fantasyhockey/players/playerpage/583339/kevin-bieksa" TargetMode="External"/><Relationship Id="rId9" Type="http://schemas.openxmlformats.org/officeDocument/2006/relationships/hyperlink" Target="http://www.cbssports.com/fantasyhockey/players/playerpage/1133460/nicklas-backstrom" TargetMode="External"/><Relationship Id="rId210" Type="http://schemas.openxmlformats.org/officeDocument/2006/relationships/hyperlink" Target="http://www.cbssports.com/fantasyhockey/players/playerpage/433636/dustin-brown" TargetMode="External"/><Relationship Id="rId392" Type="http://schemas.openxmlformats.org/officeDocument/2006/relationships/hyperlink" Target="http://www.cbssports.com/fantasyhockey/players/playerpage/2000665/hampus-lindholm" TargetMode="External"/><Relationship Id="rId427" Type="http://schemas.openxmlformats.org/officeDocument/2006/relationships/hyperlink" Target="http://www.cbssports.com/fantasyhockey/players/playerpage/273550/brooks-orpik" TargetMode="External"/><Relationship Id="rId448" Type="http://schemas.openxmlformats.org/officeDocument/2006/relationships/hyperlink" Target="http://www.cbssports.com/fantasyhockey/players/playerpage/1770992/brendan-smith" TargetMode="External"/><Relationship Id="rId469" Type="http://schemas.openxmlformats.org/officeDocument/2006/relationships/hyperlink" Target="http://www.cbssports.com/fantasyhockey/players/playerpage/2094539/anthony-bitetto" TargetMode="External"/><Relationship Id="rId26" Type="http://schemas.openxmlformats.org/officeDocument/2006/relationships/hyperlink" Target="http://www.cbssports.com/fantasyhockey/players/playerpage/1707454/brayden-schenn" TargetMode="External"/><Relationship Id="rId231" Type="http://schemas.openxmlformats.org/officeDocument/2006/relationships/hyperlink" Target="http://www.cbssports.com/fantasyhockey/players/playerpage/204694/chris-neil" TargetMode="External"/><Relationship Id="rId252" Type="http://schemas.openxmlformats.org/officeDocument/2006/relationships/hyperlink" Target="http://www.cbssports.com/fantasyhockey/players/playerpage/1639346/jamie-benn" TargetMode="External"/><Relationship Id="rId273" Type="http://schemas.openxmlformats.org/officeDocument/2006/relationships/hyperlink" Target="http://www.cbssports.com/fantasyhockey/players/playerpage/1771123/marcus-johansson" TargetMode="External"/><Relationship Id="rId294" Type="http://schemas.openxmlformats.org/officeDocument/2006/relationships/hyperlink" Target="http://www.cbssports.com/fantasyhockey/players/playerpage/2260805/jimmy-vesey" TargetMode="External"/><Relationship Id="rId308" Type="http://schemas.openxmlformats.org/officeDocument/2006/relationships/hyperlink" Target="http://www.cbssports.com/fantasyhockey/players/playerpage/2147081/sam-bennett" TargetMode="External"/><Relationship Id="rId329" Type="http://schemas.openxmlformats.org/officeDocument/2006/relationships/hyperlink" Target="http://www.cbssports.com/fantasyhockey/players/playerpage/2094796/matt-nieto" TargetMode="External"/><Relationship Id="rId480" Type="http://schemas.openxmlformats.org/officeDocument/2006/relationships/hyperlink" Target="http://www.cbssports.com/fantasyhockey/players/playerpage/1769723/dalton-prout" TargetMode="External"/><Relationship Id="rId47" Type="http://schemas.openxmlformats.org/officeDocument/2006/relationships/hyperlink" Target="http://www.cbssports.com/fantasyhockey/players/playerpage/1639481/zack-smith" TargetMode="External"/><Relationship Id="rId68" Type="http://schemas.openxmlformats.org/officeDocument/2006/relationships/hyperlink" Target="http://www.cbssports.com/fantasyhockey/players/playerpage/2147141/leon-draisaitl" TargetMode="External"/><Relationship Id="rId89" Type="http://schemas.openxmlformats.org/officeDocument/2006/relationships/hyperlink" Target="http://www.cbssports.com/fantasyhockey/players/playerpage/1282417/patrik-berglund" TargetMode="External"/><Relationship Id="rId112" Type="http://schemas.openxmlformats.org/officeDocument/2006/relationships/hyperlink" Target="http://www.cbssports.com/fantasyhockey/players/playerpage/1897598/jonathan-marchessault" TargetMode="External"/><Relationship Id="rId133" Type="http://schemas.openxmlformats.org/officeDocument/2006/relationships/hyperlink" Target="http://www.cbssports.com/fantasyhockey/players/playerpage/1713505/mark-letestu" TargetMode="External"/><Relationship Id="rId154" Type="http://schemas.openxmlformats.org/officeDocument/2006/relationships/hyperlink" Target="http://www.cbssports.com/fantasyhockey/players/playerpage/2094594/nikita-kucherov" TargetMode="External"/><Relationship Id="rId175" Type="http://schemas.openxmlformats.org/officeDocument/2006/relationships/hyperlink" Target="http://www.cbssports.com/fantasyhockey/players/playerpage/2147516/nick-schmaltz" TargetMode="External"/><Relationship Id="rId340" Type="http://schemas.openxmlformats.org/officeDocument/2006/relationships/hyperlink" Target="http://www.cbssports.com/fantasyhockey/players/playerpage/2147137/phil-di-giuseppe" TargetMode="External"/><Relationship Id="rId361" Type="http://schemas.openxmlformats.org/officeDocument/2006/relationships/hyperlink" Target="http://www.cbssports.com/fantasyhockey/players/playerpage/1770931/roman-josi" TargetMode="External"/><Relationship Id="rId196" Type="http://schemas.openxmlformats.org/officeDocument/2006/relationships/hyperlink" Target="http://www.cbssports.com/fantasyhockey/players/playerpage/2145886/kevin-hayes" TargetMode="External"/><Relationship Id="rId200" Type="http://schemas.openxmlformats.org/officeDocument/2006/relationships/hyperlink" Target="http://www.cbssports.com/fantasyhockey/players/playerpage/1133619/drew-stafford" TargetMode="External"/><Relationship Id="rId382" Type="http://schemas.openxmlformats.org/officeDocument/2006/relationships/hyperlink" Target="http://www.cbssports.com/fantasyhockey/players/playerpage/1757711/ryan-mcdonagh" TargetMode="External"/><Relationship Id="rId417" Type="http://schemas.openxmlformats.org/officeDocument/2006/relationships/hyperlink" Target="http://www.cbssports.com/fantasyhockey/players/playerpage/1639719/nick-holden" TargetMode="External"/><Relationship Id="rId438" Type="http://schemas.openxmlformats.org/officeDocument/2006/relationships/hyperlink" Target="http://www.cbssports.com/fantasyhockey/players/playerpage/347842/jay-bouwmeester" TargetMode="External"/><Relationship Id="rId459" Type="http://schemas.openxmlformats.org/officeDocument/2006/relationships/hyperlink" Target="http://www.cbssports.com/fantasyhockey/players/playerpage/2000669/ryan-murray" TargetMode="External"/><Relationship Id="rId16" Type="http://schemas.openxmlformats.org/officeDocument/2006/relationships/hyperlink" Target="http://www.cbssports.com/fantasyhockey/players/playerpage/2119761/evgeny-kuznetsov" TargetMode="External"/><Relationship Id="rId221" Type="http://schemas.openxmlformats.org/officeDocument/2006/relationships/hyperlink" Target="http://www.cbssports.com/fantasyhockey/players/playerpage/1707567/tyler-randell" TargetMode="External"/><Relationship Id="rId242" Type="http://schemas.openxmlformats.org/officeDocument/2006/relationships/hyperlink" Target="http://www.cbssports.com/fantasyhockey/players/playerpage/1639479/colton-sceviour" TargetMode="External"/><Relationship Id="rId263" Type="http://schemas.openxmlformats.org/officeDocument/2006/relationships/hyperlink" Target="http://www.cbssports.com/fantasyhockey/players/playerpage/1628803/mikkel-boedker" TargetMode="External"/><Relationship Id="rId284" Type="http://schemas.openxmlformats.org/officeDocument/2006/relationships/hyperlink" Target="http://www.cbssports.com/fantasyhockey/players/playerpage/1770990/jeff-skinner" TargetMode="External"/><Relationship Id="rId319" Type="http://schemas.openxmlformats.org/officeDocument/2006/relationships/hyperlink" Target="http://www.cbssports.com/fantasyhockey/players/playerpage/2146553/viktor-arvidsson" TargetMode="External"/><Relationship Id="rId470" Type="http://schemas.openxmlformats.org/officeDocument/2006/relationships/hyperlink" Target="http://www.cbssports.com/fantasyhockey/players/playerpage/274294/rob-scuderi" TargetMode="External"/><Relationship Id="rId491" Type="http://schemas.openxmlformats.org/officeDocument/2006/relationships/hyperlink" Target="http://www.cbssports.com/fantasyhockey/players/playerpage/1770870/alex-biega" TargetMode="External"/><Relationship Id="rId505" Type="http://schemas.openxmlformats.org/officeDocument/2006/relationships/hyperlink" Target="http://www.cbssports.com/fantasyhockey/players/playerpage/2094405/jyrki-jokipakka" TargetMode="External"/><Relationship Id="rId37" Type="http://schemas.openxmlformats.org/officeDocument/2006/relationships/hyperlink" Target="http://www.cbssports.com/fantasyhockey/players/playerpage/151204/henrik-sedin" TargetMode="External"/><Relationship Id="rId58" Type="http://schemas.openxmlformats.org/officeDocument/2006/relationships/hyperlink" Target="http://www.cbssports.com/fantasyhockey/players/playerpage/2076018/max-domi" TargetMode="External"/><Relationship Id="rId79" Type="http://schemas.openxmlformats.org/officeDocument/2006/relationships/hyperlink" Target="http://www.cbssports.com/fantasyhockey/players/playerpage/1897737/vladislav-namestnikov" TargetMode="External"/><Relationship Id="rId102" Type="http://schemas.openxmlformats.org/officeDocument/2006/relationships/hyperlink" Target="http://www.cbssports.com/fantasyhockey/players/playerpage/2147185/melker-karlsson" TargetMode="External"/><Relationship Id="rId123" Type="http://schemas.openxmlformats.org/officeDocument/2006/relationships/hyperlink" Target="http://www.cbssports.com/fantasyhockey/players/playerpage/2094056/cedric-paquette" TargetMode="External"/><Relationship Id="rId144" Type="http://schemas.openxmlformats.org/officeDocument/2006/relationships/hyperlink" Target="http://www.cbssports.com/fantasyhockey/players/playerpage/2094573/markus-granlund" TargetMode="External"/><Relationship Id="rId330" Type="http://schemas.openxmlformats.org/officeDocument/2006/relationships/hyperlink" Target="http://www.cbssports.com/fantasyhockey/players/playerpage/1280578/dwight-king" TargetMode="External"/><Relationship Id="rId90" Type="http://schemas.openxmlformats.org/officeDocument/2006/relationships/hyperlink" Target="http://www.cbssports.com/fantasyhockey/players/playerpage/20424/mike-fisher" TargetMode="External"/><Relationship Id="rId165" Type="http://schemas.openxmlformats.org/officeDocument/2006/relationships/hyperlink" Target="http://www.cbssports.com/fantasyhockey/players/playerpage/1628812/tj-oshie" TargetMode="External"/><Relationship Id="rId186" Type="http://schemas.openxmlformats.org/officeDocument/2006/relationships/hyperlink" Target="http://www.cbssports.com/fantasyhockey/players/playerpage/1960631/reilly-smith" TargetMode="External"/><Relationship Id="rId351" Type="http://schemas.openxmlformats.org/officeDocument/2006/relationships/hyperlink" Target="http://www.cbssports.com/fantasyhockey/players/playerpage/1707857/viktor-stalberg" TargetMode="External"/><Relationship Id="rId372" Type="http://schemas.openxmlformats.org/officeDocument/2006/relationships/hyperlink" Target="http://www.cbssports.com/fantasyhockey/players/playerpage/1960399/torey-krug" TargetMode="External"/><Relationship Id="rId393" Type="http://schemas.openxmlformats.org/officeDocument/2006/relationships/hyperlink" Target="http://www.cbssports.com/fantasyhockey/players/playerpage/1282446/matt-niskanen" TargetMode="External"/><Relationship Id="rId407" Type="http://schemas.openxmlformats.org/officeDocument/2006/relationships/hyperlink" Target="http://www.cbssports.com/fantasyhockey/players/playerpage/346965/johnny-boychuk" TargetMode="External"/><Relationship Id="rId428" Type="http://schemas.openxmlformats.org/officeDocument/2006/relationships/hyperlink" Target="http://www.cbssports.com/fantasyhockey/players/playerpage/1639513/jason-demers" TargetMode="External"/><Relationship Id="rId449" Type="http://schemas.openxmlformats.org/officeDocument/2006/relationships/hyperlink" Target="http://www.cbssports.com/fantasyhockey/players/playerpage/565398/adam-mcquaid" TargetMode="External"/><Relationship Id="rId211" Type="http://schemas.openxmlformats.org/officeDocument/2006/relationships/hyperlink" Target="http://www.cbssports.com/fantasyhockey/players/playerpage/1707443/richard-panik" TargetMode="External"/><Relationship Id="rId232" Type="http://schemas.openxmlformats.org/officeDocument/2006/relationships/hyperlink" Target="http://www.cbssports.com/fantasyhockey/players/playerpage/2076025/curtis-lazar" TargetMode="External"/><Relationship Id="rId253" Type="http://schemas.openxmlformats.org/officeDocument/2006/relationships/hyperlink" Target="http://www.cbssports.com/fantasyhockey/players/playerpage/559829/alex-ovechkin" TargetMode="External"/><Relationship Id="rId274" Type="http://schemas.openxmlformats.org/officeDocument/2006/relationships/hyperlink" Target="http://www.cbssports.com/fantasyhockey/players/playerpage/565239/andrew-ladd" TargetMode="External"/><Relationship Id="rId295" Type="http://schemas.openxmlformats.org/officeDocument/2006/relationships/hyperlink" Target="http://www.cbssports.com/fantasyhockey/players/playerpage/1778767/jaden-schwartz" TargetMode="External"/><Relationship Id="rId309" Type="http://schemas.openxmlformats.org/officeDocument/2006/relationships/hyperlink" Target="http://www.cbssports.com/fantasyhockey/players/playerpage/1133703/nick-foligno" TargetMode="External"/><Relationship Id="rId460" Type="http://schemas.openxmlformats.org/officeDocument/2006/relationships/hyperlink" Target="http://www.cbssports.com/fantasyhockey/players/playerpage/1892908/alexei-emelin" TargetMode="External"/><Relationship Id="rId481" Type="http://schemas.openxmlformats.org/officeDocument/2006/relationships/hyperlink" Target="http://www.cbssports.com/fantasyhockey/players/playerpage/1899078/frank-corrado" TargetMode="External"/><Relationship Id="rId27" Type="http://schemas.openxmlformats.org/officeDocument/2006/relationships/hyperlink" Target="http://www.cbssports.com/fantasyhockey/players/playerpage/2000657/alex-galchenyuk" TargetMode="External"/><Relationship Id="rId48" Type="http://schemas.openxmlformats.org/officeDocument/2006/relationships/hyperlink" Target="http://www.cbssports.com/fantasyhockey/players/playerpage/2147285/robby-fabbri" TargetMode="External"/><Relationship Id="rId69" Type="http://schemas.openxmlformats.org/officeDocument/2006/relationships/hyperlink" Target="http://www.cbssports.com/fantasyhockey/players/playerpage/2094401/seth-griffith" TargetMode="External"/><Relationship Id="rId113" Type="http://schemas.openxmlformats.org/officeDocument/2006/relationships/hyperlink" Target="http://www.cbssports.com/fantasyhockey/players/playerpage/1899096/tyler-graovac" TargetMode="External"/><Relationship Id="rId134" Type="http://schemas.openxmlformats.org/officeDocument/2006/relationships/hyperlink" Target="http://www.cbssports.com/fantasyhockey/players/playerpage/1133593/stephen-gionta" TargetMode="External"/><Relationship Id="rId320" Type="http://schemas.openxmlformats.org/officeDocument/2006/relationships/hyperlink" Target="http://www.cbssports.com/fantasyhockey/players/playerpage/152286/jason-chimera" TargetMode="External"/><Relationship Id="rId80" Type="http://schemas.openxmlformats.org/officeDocument/2006/relationships/hyperlink" Target="http://www.cbssports.com/fantasyhockey/players/playerpage/1770889/joe-colborne" TargetMode="External"/><Relationship Id="rId155" Type="http://schemas.openxmlformats.org/officeDocument/2006/relationships/hyperlink" Target="http://www.cbssports.com/fantasyhockey/players/playerpage/1133422/phil-kessel" TargetMode="External"/><Relationship Id="rId176" Type="http://schemas.openxmlformats.org/officeDocument/2006/relationships/hyperlink" Target="http://www.cbssports.com/fantasyhockey/players/playerpage/19368/shane-doan" TargetMode="External"/><Relationship Id="rId197" Type="http://schemas.openxmlformats.org/officeDocument/2006/relationships/hyperlink" Target="http://www.cbssports.com/fantasyhockey/players/playerpage/205109/marian-gaborik" TargetMode="External"/><Relationship Id="rId341" Type="http://schemas.openxmlformats.org/officeDocument/2006/relationships/hyperlink" Target="http://www.cbssports.com/fantasyhockey/players/playerpage/1769712/micheal-ferland" TargetMode="External"/><Relationship Id="rId362" Type="http://schemas.openxmlformats.org/officeDocument/2006/relationships/hyperlink" Target="http://www.cbssports.com/fantasyhockey/players/playerpage/435185/duncan-keith" TargetMode="External"/><Relationship Id="rId383" Type="http://schemas.openxmlformats.org/officeDocument/2006/relationships/hyperlink" Target="http://www.cbssports.com/fantasyhockey/players/playerpage/1639463/alex-pietrangelo" TargetMode="External"/><Relationship Id="rId418" Type="http://schemas.openxmlformats.org/officeDocument/2006/relationships/hyperlink" Target="http://www.cbssports.com/fantasyhockey/players/playerpage/1897812/david-warsofsky" TargetMode="External"/><Relationship Id="rId439" Type="http://schemas.openxmlformats.org/officeDocument/2006/relationships/hyperlink" Target="http://www.cbssports.com/fantasyhockey/players/playerpage/2094815/chris-wideman" TargetMode="External"/><Relationship Id="rId201" Type="http://schemas.openxmlformats.org/officeDocument/2006/relationships/hyperlink" Target="http://www.cbssports.com/fantasyhockey/players/playerpage/2197818/joonas-donskoi" TargetMode="External"/><Relationship Id="rId222" Type="http://schemas.openxmlformats.org/officeDocument/2006/relationships/hyperlink" Target="http://www.cbssports.com/fantasyhockey/players/playerpage/2094564/jesper-fast" TargetMode="External"/><Relationship Id="rId243" Type="http://schemas.openxmlformats.org/officeDocument/2006/relationships/hyperlink" Target="http://www.cbssports.com/fantasyhockey/players/playerpage/274253/brian-gionta" TargetMode="External"/><Relationship Id="rId264" Type="http://schemas.openxmlformats.org/officeDocument/2006/relationships/hyperlink" Target="http://www.cbssports.com/fantasyhockey/players/playerpage/368971/michael-cammalleri" TargetMode="External"/><Relationship Id="rId285" Type="http://schemas.openxmlformats.org/officeDocument/2006/relationships/hyperlink" Target="http://www.cbssports.com/fantasyhockey/players/playerpage/151240/henrik-zetterberg" TargetMode="External"/><Relationship Id="rId450" Type="http://schemas.openxmlformats.org/officeDocument/2006/relationships/hyperlink" Target="http://www.cbssports.com/fantasyhockey/players/playerpage/433601/marc-methot" TargetMode="External"/><Relationship Id="rId471" Type="http://schemas.openxmlformats.org/officeDocument/2006/relationships/hyperlink" Target="http://www.cbssports.com/fantasyhockey/players/playerpage/1133591/jonathan-ericsson" TargetMode="External"/><Relationship Id="rId506" Type="http://schemas.openxmlformats.org/officeDocument/2006/relationships/hyperlink" Target="http://www.cbssports.com/fantasyhockey/players/playerpage/566407/mark-stuart" TargetMode="External"/><Relationship Id="rId17" Type="http://schemas.openxmlformats.org/officeDocument/2006/relationships/hyperlink" Target="http://www.cbssports.com/fantasyhockey/players/playerpage/19634/joe-thornton" TargetMode="External"/><Relationship Id="rId38" Type="http://schemas.openxmlformats.org/officeDocument/2006/relationships/hyperlink" Target="http://www.cbssports.com/fantasyhockey/players/playerpage/1133423/bryan-little" TargetMode="External"/><Relationship Id="rId59" Type="http://schemas.openxmlformats.org/officeDocument/2006/relationships/hyperlink" Target="http://www.cbssports.com/fantasyhockey/players/playerpage/1280555/mikael-backlund" TargetMode="External"/><Relationship Id="rId103" Type="http://schemas.openxmlformats.org/officeDocument/2006/relationships/hyperlink" Target="http://www.cbssports.com/fantasyhockey/players/playerpage/1282169/paul-byron" TargetMode="External"/><Relationship Id="rId124" Type="http://schemas.openxmlformats.org/officeDocument/2006/relationships/hyperlink" Target="http://www.cbssports.com/fantasyhockey/players/playerpage/1707933/andrew-desjardins" TargetMode="External"/><Relationship Id="rId310" Type="http://schemas.openxmlformats.org/officeDocument/2006/relationships/hyperlink" Target="http://www.cbssports.com/fantasyhockey/players/playerpage/1284625/andrew-cogliano" TargetMode="External"/><Relationship Id="rId492" Type="http://schemas.openxmlformats.org/officeDocument/2006/relationships/hyperlink" Target="http://www.cbssports.com/fantasyhockey/players/playerpage/2147652/brett-pesce" TargetMode="External"/><Relationship Id="rId70" Type="http://schemas.openxmlformats.org/officeDocument/2006/relationships/hyperlink" Target="http://www.cbssports.com/fantasyhockey/players/playerpage/1707849/tyler-bozak" TargetMode="External"/><Relationship Id="rId91" Type="http://schemas.openxmlformats.org/officeDocument/2006/relationships/hyperlink" Target="http://www.cbssports.com/fantasyhockey/players/playerpage/1707465/linden-vey" TargetMode="External"/><Relationship Id="rId145" Type="http://schemas.openxmlformats.org/officeDocument/2006/relationships/hyperlink" Target="http://www.cbssports.com/fantasyhockey/players/playerpage/152173/derek-mackenzie" TargetMode="External"/><Relationship Id="rId166" Type="http://schemas.openxmlformats.org/officeDocument/2006/relationships/hyperlink" Target="http://www.cbssports.com/fantasyhockey/players/playerpage/1771018/mats-zuccarello" TargetMode="External"/><Relationship Id="rId187" Type="http://schemas.openxmlformats.org/officeDocument/2006/relationships/hyperlink" Target="http://www.cbssports.com/fantasyhockey/players/playerpage/19096/jarome-iginla" TargetMode="External"/><Relationship Id="rId331" Type="http://schemas.openxmlformats.org/officeDocument/2006/relationships/hyperlink" Target="http://www.cbssports.com/fantasyhockey/players/playerpage/1639361/matt-calvert" TargetMode="External"/><Relationship Id="rId352" Type="http://schemas.openxmlformats.org/officeDocument/2006/relationships/hyperlink" Target="http://www.cbssports.com/fantasyhockey/players/playerpage/1137126/matt-moulson" TargetMode="External"/><Relationship Id="rId373" Type="http://schemas.openxmlformats.org/officeDocument/2006/relationships/hyperlink" Target="http://www.cbssports.com/fantasyhockey/players/playerpage/1770986/kevin-shattenkirk" TargetMode="External"/><Relationship Id="rId394" Type="http://schemas.openxmlformats.org/officeDocument/2006/relationships/hyperlink" Target="http://www.cbssports.com/fantasyhockey/players/playerpage/2000666/olli-maatta" TargetMode="External"/><Relationship Id="rId408" Type="http://schemas.openxmlformats.org/officeDocument/2006/relationships/hyperlink" Target="http://www.cbssports.com/fantasyhockey/players/playerpage/204443/francois-beauchemin" TargetMode="External"/><Relationship Id="rId429" Type="http://schemas.openxmlformats.org/officeDocument/2006/relationships/hyperlink" Target="http://www.cbssports.com/fantasyhockey/players/playerpage/273331/johnny-oduya" TargetMode="External"/><Relationship Id="rId1" Type="http://schemas.openxmlformats.org/officeDocument/2006/relationships/hyperlink" Target="http://www.cbssports.com/fantasyhockey/players/playerpage/1128973/evgeni-malkin" TargetMode="External"/><Relationship Id="rId212" Type="http://schemas.openxmlformats.org/officeDocument/2006/relationships/hyperlink" Target="http://www.cbssports.com/fantasyhockey/players/playerpage/433648/eric-fehr" TargetMode="External"/><Relationship Id="rId233" Type="http://schemas.openxmlformats.org/officeDocument/2006/relationships/hyperlink" Target="http://www.cbssports.com/fantasyhockey/players/playerpage/2198328/jake-virtanen" TargetMode="External"/><Relationship Id="rId254" Type="http://schemas.openxmlformats.org/officeDocument/2006/relationships/hyperlink" Target="http://www.cbssports.com/fantasyhockey/players/playerpage/2197859/artemi-panarin" TargetMode="External"/><Relationship Id="rId440" Type="http://schemas.openxmlformats.org/officeDocument/2006/relationships/hyperlink" Target="http://www.cbssports.com/fantasyhockey/players/playerpage/2076023/seth-jones" TargetMode="External"/><Relationship Id="rId28" Type="http://schemas.openxmlformats.org/officeDocument/2006/relationships/hyperlink" Target="http://www.cbssports.com/fantasyhockey/players/playerpage/274304/antoine-vermette" TargetMode="External"/><Relationship Id="rId49" Type="http://schemas.openxmlformats.org/officeDocument/2006/relationships/hyperlink" Target="http://www.cbssports.com/fantasyhockey/players/playerpage/1892911/jt-miller" TargetMode="External"/><Relationship Id="rId114" Type="http://schemas.openxmlformats.org/officeDocument/2006/relationships/hyperlink" Target="http://www.cbssports.com/fantasyhockey/players/playerpage/2178635/dylan-strome" TargetMode="External"/><Relationship Id="rId275" Type="http://schemas.openxmlformats.org/officeDocument/2006/relationships/hyperlink" Target="http://www.cbssports.com/fantasyhockey/players/playerpage/19674/patrick-marleau" TargetMode="External"/><Relationship Id="rId296" Type="http://schemas.openxmlformats.org/officeDocument/2006/relationships/hyperlink" Target="http://www.cbssports.com/fantasyhockey/players/playerpage/2038244/leo-komarov" TargetMode="External"/><Relationship Id="rId300" Type="http://schemas.openxmlformats.org/officeDocument/2006/relationships/hyperlink" Target="http://www.cbssports.com/fantasyhockey/players/playerpage/2053408/anders-lee" TargetMode="External"/><Relationship Id="rId461" Type="http://schemas.openxmlformats.org/officeDocument/2006/relationships/hyperlink" Target="http://www.cbssports.com/fantasyhockey/players/playerpage/565423/marc-staal" TargetMode="External"/><Relationship Id="rId482" Type="http://schemas.openxmlformats.org/officeDocument/2006/relationships/hyperlink" Target="http://www.cbssports.com/fantasyhockey/players/playerpage/2094615/connor-murphy" TargetMode="External"/><Relationship Id="rId60" Type="http://schemas.openxmlformats.org/officeDocument/2006/relationships/hyperlink" Target="http://www.cbssports.com/fantasyhockey/players/playerpage/1897763/victor-rask" TargetMode="External"/><Relationship Id="rId81" Type="http://schemas.openxmlformats.org/officeDocument/2006/relationships/hyperlink" Target="http://www.cbssports.com/fantasyhockey/players/playerpage/1899125/ryan-nugent-hopkins" TargetMode="External"/><Relationship Id="rId135" Type="http://schemas.openxmlformats.org/officeDocument/2006/relationships/hyperlink" Target="http://www.cbssports.com/fantasyhockey/players/playerpage/2094643/nick-shore" TargetMode="External"/><Relationship Id="rId156" Type="http://schemas.openxmlformats.org/officeDocument/2006/relationships/hyperlink" Target="http://www.cbssports.com/fantasyhockey/players/playerpage/1778768/vladimir-tarasenko" TargetMode="External"/><Relationship Id="rId177" Type="http://schemas.openxmlformats.org/officeDocument/2006/relationships/hyperlink" Target="http://www.cbssports.com/fantasyhockey/players/playerpage/1970778/jakob-silfverberg" TargetMode="External"/><Relationship Id="rId198" Type="http://schemas.openxmlformats.org/officeDocument/2006/relationships/hyperlink" Target="http://www.cbssports.com/fantasyhockey/players/playerpage/2147507/bryan-rust" TargetMode="External"/><Relationship Id="rId321" Type="http://schemas.openxmlformats.org/officeDocument/2006/relationships/hyperlink" Target="http://www.cbssports.com/fantasyhockey/players/playerpage/2095287/michael-raffl" TargetMode="External"/><Relationship Id="rId342" Type="http://schemas.openxmlformats.org/officeDocument/2006/relationships/hyperlink" Target="http://www.cbssports.com/fantasyhockey/players/playerpage/2147108/pierre-edouard-bellemare" TargetMode="External"/><Relationship Id="rId363" Type="http://schemas.openxmlformats.org/officeDocument/2006/relationships/hyperlink" Target="http://www.cbssports.com/fantasyhockey/players/playerpage/2094406/john-klingberg" TargetMode="External"/><Relationship Id="rId384" Type="http://schemas.openxmlformats.org/officeDocument/2006/relationships/hyperlink" Target="http://www.cbssports.com/fantasyhockey/players/playerpage/1897652/mattias-ekholm" TargetMode="External"/><Relationship Id="rId419" Type="http://schemas.openxmlformats.org/officeDocument/2006/relationships/hyperlink" Target="http://www.cbssports.com/fantasyhockey/players/playerpage/2000671/derrick-pouliot" TargetMode="External"/><Relationship Id="rId202" Type="http://schemas.openxmlformats.org/officeDocument/2006/relationships/hyperlink" Target="http://www.cbssports.com/fantasyhockey/players/playerpage/565363/troy-brouwer" TargetMode="External"/><Relationship Id="rId223" Type="http://schemas.openxmlformats.org/officeDocument/2006/relationships/hyperlink" Target="http://www.cbssports.com/fantasyhockey/players/playerpage/565360/jared-boll" TargetMode="External"/><Relationship Id="rId244" Type="http://schemas.openxmlformats.org/officeDocument/2006/relationships/hyperlink" Target="http://www.cbssports.com/fantasyhockey/players/playerpage/1770901/emerson-etem" TargetMode="External"/><Relationship Id="rId430" Type="http://schemas.openxmlformats.org/officeDocument/2006/relationships/hyperlink" Target="http://www.cbssports.com/fantasyhockey/players/playerpage/1639484/jared-spurgeon" TargetMode="External"/><Relationship Id="rId18" Type="http://schemas.openxmlformats.org/officeDocument/2006/relationships/hyperlink" Target="http://www.cbssports.com/fantasyhockey/players/playerpage/1282170/logan-couture" TargetMode="External"/><Relationship Id="rId39" Type="http://schemas.openxmlformats.org/officeDocument/2006/relationships/hyperlink" Target="http://www.cbssports.com/fantasyhockey/players/playerpage/1114920/paul-stastny" TargetMode="External"/><Relationship Id="rId265" Type="http://schemas.openxmlformats.org/officeDocument/2006/relationships/hyperlink" Target="http://www.cbssports.com/fantasyhockey/players/playerpage/2076019/jonathan-drouin" TargetMode="External"/><Relationship Id="rId286" Type="http://schemas.openxmlformats.org/officeDocument/2006/relationships/hyperlink" Target="http://www.cbssports.com/fantasyhockey/players/playerpage/1639343/matt-beleskey" TargetMode="External"/><Relationship Id="rId451" Type="http://schemas.openxmlformats.org/officeDocument/2006/relationships/hyperlink" Target="http://www.cbssports.com/fantasyhockey/players/playerpage/1707431/brayden-mcnabb" TargetMode="External"/><Relationship Id="rId472" Type="http://schemas.openxmlformats.org/officeDocument/2006/relationships/hyperlink" Target="http://www.cbssports.com/fantasyhockey/players/playerpage/1707412/carl-gunnarsson" TargetMode="External"/><Relationship Id="rId493" Type="http://schemas.openxmlformats.org/officeDocument/2006/relationships/hyperlink" Target="http://www.cbssports.com/fantasyhockey/players/playerpage/1137448/andy-greene" TargetMode="External"/><Relationship Id="rId507" Type="http://schemas.openxmlformats.org/officeDocument/2006/relationships/hyperlink" Target="http://www.cbssports.com/fantasyhockey/players/playerpage/371784/josh-gorges" TargetMode="External"/><Relationship Id="rId50" Type="http://schemas.openxmlformats.org/officeDocument/2006/relationships/hyperlink" Target="http://www.cbssports.com/fantasyhockey/players/playerpage/1282477/mathieu-perreault" TargetMode="External"/><Relationship Id="rId104" Type="http://schemas.openxmlformats.org/officeDocument/2006/relationships/hyperlink" Target="http://www.cbssports.com/fantasyhockey/players/playerpage/2198231/pavel-zacha" TargetMode="External"/><Relationship Id="rId125" Type="http://schemas.openxmlformats.org/officeDocument/2006/relationships/hyperlink" Target="http://www.cbssports.com/fantasyhockey/players/playerpage/2093866/colton-sissons" TargetMode="External"/><Relationship Id="rId146" Type="http://schemas.openxmlformats.org/officeDocument/2006/relationships/hyperlink" Target="http://www.cbssports.com/fantasyhockey/players/playerpage/1137120/ryan-carter" TargetMode="External"/><Relationship Id="rId167" Type="http://schemas.openxmlformats.org/officeDocument/2006/relationships/hyperlink" Target="http://www.cbssports.com/fantasyhockey/players/playerpage/19668/marian-hossa" TargetMode="External"/><Relationship Id="rId188" Type="http://schemas.openxmlformats.org/officeDocument/2006/relationships/hyperlink" Target="http://www.cbssports.com/fantasyhockey/players/playerpage/565668/loui-eriksson" TargetMode="External"/><Relationship Id="rId311" Type="http://schemas.openxmlformats.org/officeDocument/2006/relationships/hyperlink" Target="http://www.cbssports.com/fantasyhockey/players/playerpage/2094560/anthony-duclair" TargetMode="External"/><Relationship Id="rId332" Type="http://schemas.openxmlformats.org/officeDocument/2006/relationships/hyperlink" Target="http://www.cbssports.com/fantasyhockey/players/playerpage/1960880/jason-zucker" TargetMode="External"/><Relationship Id="rId353" Type="http://schemas.openxmlformats.org/officeDocument/2006/relationships/hyperlink" Target="http://www.cbssports.com/fantasyhockey/players/playerpage/152194/shawn-thornton" TargetMode="External"/><Relationship Id="rId374" Type="http://schemas.openxmlformats.org/officeDocument/2006/relationships/hyperlink" Target="http://www.cbssports.com/fantasyhockey/players/playerpage/433604/dion-phaneuf" TargetMode="External"/><Relationship Id="rId395" Type="http://schemas.openxmlformats.org/officeDocument/2006/relationships/hyperlink" Target="http://www.cbssports.com/fantasyhockey/players/playerpage/565379/mike-green" TargetMode="External"/><Relationship Id="rId409" Type="http://schemas.openxmlformats.org/officeDocument/2006/relationships/hyperlink" Target="http://www.cbssports.com/fantasyhockey/players/playerpage/2076037/ryan-pulock" TargetMode="External"/><Relationship Id="rId71" Type="http://schemas.openxmlformats.org/officeDocument/2006/relationships/hyperlink" Target="http://www.cbssports.com/fantasyhockey/players/playerpage/2059787/brock-nelson" TargetMode="External"/><Relationship Id="rId92" Type="http://schemas.openxmlformats.org/officeDocument/2006/relationships/hyperlink" Target="http://www.cbssports.com/fantasyhockey/players/playerpage/433611/eric-staal" TargetMode="External"/><Relationship Id="rId213" Type="http://schemas.openxmlformats.org/officeDocument/2006/relationships/hyperlink" Target="http://www.cbssports.com/fantasyhockey/players/playerpage/2094595/tom-kuhnhackl" TargetMode="External"/><Relationship Id="rId234" Type="http://schemas.openxmlformats.org/officeDocument/2006/relationships/hyperlink" Target="http://www.cbssports.com/fantasyhockey/players/playerpage/1639425/nikolay-kulemin" TargetMode="External"/><Relationship Id="rId420" Type="http://schemas.openxmlformats.org/officeDocument/2006/relationships/hyperlink" Target="http://www.cbssports.com/fantasyhockey/players/playerpage/2094613/kevan-miller" TargetMode="External"/><Relationship Id="rId2" Type="http://schemas.openxmlformats.org/officeDocument/2006/relationships/hyperlink" Target="http://www.cbssports.com/fantasyhockey/players/playerpage/559301/sidney-crosby" TargetMode="External"/><Relationship Id="rId29" Type="http://schemas.openxmlformats.org/officeDocument/2006/relationships/hyperlink" Target="http://www.cbssports.com/fantasyhockey/players/playerpage/1685404/matt-duchene" TargetMode="External"/><Relationship Id="rId255" Type="http://schemas.openxmlformats.org/officeDocument/2006/relationships/hyperlink" Target="http://www.cbssports.com/fantasyhockey/players/playerpage/1133425/brad-marchand" TargetMode="External"/><Relationship Id="rId276" Type="http://schemas.openxmlformats.org/officeDocument/2006/relationships/hyperlink" Target="http://www.cbssports.com/fantasyhockey/players/playerpage/1966327/chris-kreider" TargetMode="External"/><Relationship Id="rId297" Type="http://schemas.openxmlformats.org/officeDocument/2006/relationships/hyperlink" Target="http://www.cbssports.com/fantasyhockey/players/playerpage/1899135/antoine-roussel" TargetMode="External"/><Relationship Id="rId441" Type="http://schemas.openxmlformats.org/officeDocument/2006/relationships/hyperlink" Target="http://www.cbssports.com/fantasyhockey/players/playerpage/565421/andrej-sekera" TargetMode="External"/><Relationship Id="rId462" Type="http://schemas.openxmlformats.org/officeDocument/2006/relationships/hyperlink" Target="http://www.cbssports.com/fantasyhockey/players/playerpage/1707453/marco-scandella" TargetMode="External"/><Relationship Id="rId483" Type="http://schemas.openxmlformats.org/officeDocument/2006/relationships/hyperlink" Target="http://www.cbssports.com/fantasyhockey/players/playerpage/1892909/adam-larsson" TargetMode="External"/><Relationship Id="rId40" Type="http://schemas.openxmlformats.org/officeDocument/2006/relationships/hyperlink" Target="http://www.cbssports.com/fantasyhockey/players/playerpage/1769728/ryan-spooner" TargetMode="External"/><Relationship Id="rId115" Type="http://schemas.openxmlformats.org/officeDocument/2006/relationships/hyperlink" Target="http://www.cbssports.com/fantasyhockey/players/playerpage/1133473/trevor-lewis" TargetMode="External"/><Relationship Id="rId136" Type="http://schemas.openxmlformats.org/officeDocument/2006/relationships/hyperlink" Target="http://www.cbssports.com/fantasyhockey/players/playerpage/2044867/brian-flynn" TargetMode="External"/><Relationship Id="rId157" Type="http://schemas.openxmlformats.org/officeDocument/2006/relationships/hyperlink" Target="http://www.cbssports.com/fantasyhockey/players/playerpage/433603/corey-perry" TargetMode="External"/><Relationship Id="rId178" Type="http://schemas.openxmlformats.org/officeDocument/2006/relationships/hyperlink" Target="http://www.cbssports.com/fantasyhockey/players/playerpage/19278/jaromir-jagr" TargetMode="External"/><Relationship Id="rId301" Type="http://schemas.openxmlformats.org/officeDocument/2006/relationships/hyperlink" Target="http://www.cbssports.com/fantasyhockey/players/playerpage/2146557/kevin-fiala" TargetMode="External"/><Relationship Id="rId322" Type="http://schemas.openxmlformats.org/officeDocument/2006/relationships/hyperlink" Target="http://www.cbssports.com/fantasyhockey/players/playerpage/1897762/shane-prince" TargetMode="External"/><Relationship Id="rId343" Type="http://schemas.openxmlformats.org/officeDocument/2006/relationships/hyperlink" Target="http://www.cbssports.com/fantasyhockey/players/playerpage/1707405/marcus-foligno" TargetMode="External"/><Relationship Id="rId364" Type="http://schemas.openxmlformats.org/officeDocument/2006/relationships/hyperlink" Target="http://www.cbssports.com/fantasyhockey/players/playerpage/566539/dustin-byfuglien" TargetMode="External"/><Relationship Id="rId61" Type="http://schemas.openxmlformats.org/officeDocument/2006/relationships/hyperlink" Target="http://www.cbssports.com/fantasyhockey/players/playerpage/2147463/william-nylander" TargetMode="External"/><Relationship Id="rId82" Type="http://schemas.openxmlformats.org/officeDocument/2006/relationships/hyperlink" Target="http://www.cbssports.com/fantasyhockey/players/playerpage/2076022/bo-horvat" TargetMode="External"/><Relationship Id="rId199" Type="http://schemas.openxmlformats.org/officeDocument/2006/relationships/hyperlink" Target="http://www.cbssports.com/fantasyhockey/players/playerpage/1899100/jimmy-hayes" TargetMode="External"/><Relationship Id="rId203" Type="http://schemas.openxmlformats.org/officeDocument/2006/relationships/hyperlink" Target="http://www.cbssports.com/fantasyhockey/players/playerpage/1765199/nino-niederreiter" TargetMode="External"/><Relationship Id="rId385" Type="http://schemas.openxmlformats.org/officeDocument/2006/relationships/hyperlink" Target="http://www.cbssports.com/fantasyhockey/players/playerpage/1770908/cam-fowler" TargetMode="External"/><Relationship Id="rId19" Type="http://schemas.openxmlformats.org/officeDocument/2006/relationships/hyperlink" Target="http://www.cbssports.com/fantasyhockey/players/playerpage/1769716/ryan-johansen" TargetMode="External"/><Relationship Id="rId224" Type="http://schemas.openxmlformats.org/officeDocument/2006/relationships/hyperlink" Target="http://www.cbssports.com/fantasyhockey/players/playerpage/1897766/matt-read" TargetMode="External"/><Relationship Id="rId245" Type="http://schemas.openxmlformats.org/officeDocument/2006/relationships/hyperlink" Target="http://www.cbssports.com/fantasyhockey/players/playerpage/2178852/mikko-rantanen" TargetMode="External"/><Relationship Id="rId266" Type="http://schemas.openxmlformats.org/officeDocument/2006/relationships/hyperlink" Target="http://www.cbssports.com/fantasyhockey/players/playerpage/346970/rick-nash" TargetMode="External"/><Relationship Id="rId287" Type="http://schemas.openxmlformats.org/officeDocument/2006/relationships/hyperlink" Target="http://www.cbssports.com/fantasyhockey/players/playerpage/2094409/curtis-mckenzie" TargetMode="External"/><Relationship Id="rId410" Type="http://schemas.openxmlformats.org/officeDocument/2006/relationships/hyperlink" Target="http://www.cbssports.com/fantasyhockey/players/playerpage/1282459/yannick-weber" TargetMode="External"/><Relationship Id="rId431" Type="http://schemas.openxmlformats.org/officeDocument/2006/relationships/hyperlink" Target="http://www.cbssports.com/fantasyhockey/players/playerpage/1770890/ian-cole" TargetMode="External"/><Relationship Id="rId452" Type="http://schemas.openxmlformats.org/officeDocument/2006/relationships/hyperlink" Target="http://www.cbssports.com/fantasyhockey/players/playerpage/1771081/alex-petrovic" TargetMode="External"/><Relationship Id="rId473" Type="http://schemas.openxmlformats.org/officeDocument/2006/relationships/hyperlink" Target="http://www.cbssports.com/fantasyhockey/players/playerpage/1286081/toby-enstrom" TargetMode="External"/><Relationship Id="rId494" Type="http://schemas.openxmlformats.org/officeDocument/2006/relationships/hyperlink" Target="http://www.cbssports.com/fantasyhockey/players/playerpage/1707557/ben-chiarot" TargetMode="External"/><Relationship Id="rId508" Type="http://schemas.openxmlformats.org/officeDocument/2006/relationships/hyperlink" Target="http://www.cbssports.com/fantasyhockey/players/playerpage/1639520/ben-lovejoy" TargetMode="External"/><Relationship Id="rId30" Type="http://schemas.openxmlformats.org/officeDocument/2006/relationships/hyperlink" Target="http://www.cbssports.com/fantasyhockey/players/playerpage/2076030/sean-monahan" TargetMode="External"/><Relationship Id="rId105" Type="http://schemas.openxmlformats.org/officeDocument/2006/relationships/hyperlink" Target="http://www.cbssports.com/fantasyhockey/players/playerpage/2147496/sam-reinhart" TargetMode="External"/><Relationship Id="rId126" Type="http://schemas.openxmlformats.org/officeDocument/2006/relationships/hyperlink" Target="http://www.cbssports.com/fantasyhockey/players/playerpage/1280567/sam-gagner" TargetMode="External"/><Relationship Id="rId147" Type="http://schemas.openxmlformats.org/officeDocument/2006/relationships/hyperlink" Target="http://www.cbssports.com/fantasyhockey/players/playerpage/204707/steve-ott" TargetMode="External"/><Relationship Id="rId168" Type="http://schemas.openxmlformats.org/officeDocument/2006/relationships/hyperlink" Target="http://www.cbssports.com/fantasyhockey/players/playerpage/1771005/tyler-toffoli" TargetMode="External"/><Relationship Id="rId312" Type="http://schemas.openxmlformats.org/officeDocument/2006/relationships/hyperlink" Target="http://www.cbssports.com/fantasyhockey/players/playerpage/2147521/conor-sheary" TargetMode="External"/><Relationship Id="rId333" Type="http://schemas.openxmlformats.org/officeDocument/2006/relationships/hyperlink" Target="http://www.cbssports.com/fantasyhockey/players/playerpage/1137195/cody-mcleod" TargetMode="External"/><Relationship Id="rId354" Type="http://schemas.openxmlformats.org/officeDocument/2006/relationships/hyperlink" Target="http://www.cbssports.com/fantasyhockey/players/playerpage/1707397/nicolas-deslauriers" TargetMode="External"/><Relationship Id="rId51" Type="http://schemas.openxmlformats.org/officeDocument/2006/relationships/hyperlink" Target="http://www.cbssports.com/fantasyhockey/players/playerpage/1897634/sean-couturier" TargetMode="External"/><Relationship Id="rId72" Type="http://schemas.openxmlformats.org/officeDocument/2006/relationships/hyperlink" Target="http://www.cbssports.com/fantasyhockey/players/playerpage/2178632/jack-eichel" TargetMode="External"/><Relationship Id="rId93" Type="http://schemas.openxmlformats.org/officeDocument/2006/relationships/hyperlink" Target="http://www.cbssports.com/fantasyhockey/players/playerpage/1639595/david-desharnais" TargetMode="External"/><Relationship Id="rId189" Type="http://schemas.openxmlformats.org/officeDocument/2006/relationships/hyperlink" Target="http://www.cbssports.com/fantasyhockey/players/playerpage/1899139/andrew-shaw" TargetMode="External"/><Relationship Id="rId375" Type="http://schemas.openxmlformats.org/officeDocument/2006/relationships/hyperlink" Target="http://www.cbssports.com/fantasyhockey/players/playerpage/1133727/marc-edouard-vlasic" TargetMode="External"/><Relationship Id="rId396" Type="http://schemas.openxmlformats.org/officeDocument/2006/relationships/hyperlink" Target="http://www.cbssports.com/fantasyhockey/players/playerpage/2197860/colton-parayko" TargetMode="External"/><Relationship Id="rId3" Type="http://schemas.openxmlformats.org/officeDocument/2006/relationships/hyperlink" Target="http://www.cbssports.com/fantasyhockey/players/playerpage/1757712/tyler-seguin" TargetMode="External"/><Relationship Id="rId214" Type="http://schemas.openxmlformats.org/officeDocument/2006/relationships/hyperlink" Target="http://www.cbssports.com/fantasyhockey/players/playerpage/2094395/oliver-bjorkstrand" TargetMode="External"/><Relationship Id="rId235" Type="http://schemas.openxmlformats.org/officeDocument/2006/relationships/hyperlink" Target="http://www.cbssports.com/fantasyhockey/players/playerpage/2000682/nail-yakupov" TargetMode="External"/><Relationship Id="rId256" Type="http://schemas.openxmlformats.org/officeDocument/2006/relationships/hyperlink" Target="http://www.cbssports.com/fantasyhockey/players/playerpage/1628813/max-pacioretty" TargetMode="External"/><Relationship Id="rId277" Type="http://schemas.openxmlformats.org/officeDocument/2006/relationships/hyperlink" Target="http://www.cbssports.com/fantasyhockey/players/playerpage/2042076/alex-killorn" TargetMode="External"/><Relationship Id="rId298" Type="http://schemas.openxmlformats.org/officeDocument/2006/relationships/hyperlink" Target="http://www.cbssports.com/fantasyhockey/players/playerpage/1282181/david-perron" TargetMode="External"/><Relationship Id="rId400" Type="http://schemas.openxmlformats.org/officeDocument/2006/relationships/hyperlink" Target="http://www.cbssports.com/fantasyhockey/players/playerpage/1770942/nick-leddy" TargetMode="External"/><Relationship Id="rId421" Type="http://schemas.openxmlformats.org/officeDocument/2006/relationships/hyperlink" Target="http://www.cbssports.com/fantasyhockey/players/playerpage/2094561/brian-dumoulin" TargetMode="External"/><Relationship Id="rId442" Type="http://schemas.openxmlformats.org/officeDocument/2006/relationships/hyperlink" Target="http://www.cbssports.com/fantasyhockey/players/playerpage/1280571/thomas-hickey" TargetMode="External"/><Relationship Id="rId463" Type="http://schemas.openxmlformats.org/officeDocument/2006/relationships/hyperlink" Target="http://www.cbssports.com/fantasyhockey/players/playerpage/1897644/brenden-dillon" TargetMode="External"/><Relationship Id="rId484" Type="http://schemas.openxmlformats.org/officeDocument/2006/relationships/hyperlink" Target="http://www.cbssports.com/fantasyhockey/players/playerpage/1771089/chris-tanev" TargetMode="External"/><Relationship Id="rId116" Type="http://schemas.openxmlformats.org/officeDocument/2006/relationships/hyperlink" Target="http://www.cbssports.com/fantasyhockey/players/playerpage/566122/john-mitchell" TargetMode="External"/><Relationship Id="rId137" Type="http://schemas.openxmlformats.org/officeDocument/2006/relationships/hyperlink" Target="http://www.cbssports.com/fantasyhockey/players/playerpage/2076016/marko-dano" TargetMode="External"/><Relationship Id="rId158" Type="http://schemas.openxmlformats.org/officeDocument/2006/relationships/hyperlink" Target="http://www.cbssports.com/fantasyhockey/players/playerpage/565402/james-neal" TargetMode="External"/><Relationship Id="rId302" Type="http://schemas.openxmlformats.org/officeDocument/2006/relationships/hyperlink" Target="http://www.cbssports.com/fantasyhockey/players/playerpage/1689412/colin-wilson" TargetMode="External"/><Relationship Id="rId323" Type="http://schemas.openxmlformats.org/officeDocument/2006/relationships/hyperlink" Target="http://www.cbssports.com/fantasyhockey/players/playerpage/1899072/sven-baertschi" TargetMode="External"/><Relationship Id="rId344" Type="http://schemas.openxmlformats.org/officeDocument/2006/relationships/hyperlink" Target="http://www.cbssports.com/fantasyhockey/players/playerpage/2094050/jordan-martinook" TargetMode="External"/><Relationship Id="rId20" Type="http://schemas.openxmlformats.org/officeDocument/2006/relationships/hyperlink" Target="http://www.cbssports.com/fantasyhockey/players/playerpage/1897780/mark-scheifele" TargetMode="External"/><Relationship Id="rId41" Type="http://schemas.openxmlformats.org/officeDocument/2006/relationships/hyperlink" Target="http://www.cbssports.com/fantasyhockey/players/playerpage/1743550/nick-bonino" TargetMode="External"/><Relationship Id="rId62" Type="http://schemas.openxmlformats.org/officeDocument/2006/relationships/hyperlink" Target="http://www.cbssports.com/fantasyhockey/players/playerpage/1134121/martin-hanzal" TargetMode="External"/><Relationship Id="rId83" Type="http://schemas.openxmlformats.org/officeDocument/2006/relationships/hyperlink" Target="http://www.cbssports.com/fantasyhockey/players/playerpage/2197887/frank-vatrano" TargetMode="External"/><Relationship Id="rId179" Type="http://schemas.openxmlformats.org/officeDocument/2006/relationships/hyperlink" Target="http://www.cbssports.com/fantasyhockey/players/playerpage/1283869/teddy-purcell" TargetMode="External"/><Relationship Id="rId365" Type="http://schemas.openxmlformats.org/officeDocument/2006/relationships/hyperlink" Target="http://www.cbssports.com/fantasyhockey/players/playerpage/1685405/victor-hedman" TargetMode="External"/><Relationship Id="rId386" Type="http://schemas.openxmlformats.org/officeDocument/2006/relationships/hyperlink" Target="http://www.cbssports.com/fantasyhockey/players/playerpage/1897675/dougie-hamilton" TargetMode="External"/><Relationship Id="rId190" Type="http://schemas.openxmlformats.org/officeDocument/2006/relationships/hyperlink" Target="http://www.cbssports.com/fantasyhockey/players/playerpage/1897791/craig-smith" TargetMode="External"/><Relationship Id="rId204" Type="http://schemas.openxmlformats.org/officeDocument/2006/relationships/hyperlink" Target="http://www.cbssports.com/fantasyhockey/players/playerpage/272751/jason-pominville" TargetMode="External"/><Relationship Id="rId225" Type="http://schemas.openxmlformats.org/officeDocument/2006/relationships/hyperlink" Target="http://www.cbssports.com/fantasyhockey/players/playerpage/1771015/tommy-wingels" TargetMode="External"/><Relationship Id="rId246" Type="http://schemas.openxmlformats.org/officeDocument/2006/relationships/hyperlink" Target="http://www.cbssports.com/fantasyhockey/players/playerpage/1899092/stanislav-galiev" TargetMode="External"/><Relationship Id="rId267" Type="http://schemas.openxmlformats.org/officeDocument/2006/relationships/hyperlink" Target="http://www.cbssports.com/fantasyhockey/players/playerpage/1757713/taylor-hall" TargetMode="External"/><Relationship Id="rId288" Type="http://schemas.openxmlformats.org/officeDocument/2006/relationships/hyperlink" Target="http://www.cbssports.com/fantasyhockey/players/playerpage/204569/scott-hartnell" TargetMode="External"/><Relationship Id="rId411" Type="http://schemas.openxmlformats.org/officeDocument/2006/relationships/hyperlink" Target="http://www.cbssports.com/fantasyhockey/players/playerpage/433212/kevin-klein" TargetMode="External"/><Relationship Id="rId432" Type="http://schemas.openxmlformats.org/officeDocument/2006/relationships/hyperlink" Target="http://www.cbssports.com/fantasyhockey/players/playerpage/1639667/jason-garrison" TargetMode="External"/><Relationship Id="rId453" Type="http://schemas.openxmlformats.org/officeDocument/2006/relationships/hyperlink" Target="http://www.cbssports.com/fantasyhockey/players/playerpage/2053880/danny-dekeyser" TargetMode="External"/><Relationship Id="rId474" Type="http://schemas.openxmlformats.org/officeDocument/2006/relationships/hyperlink" Target="http://www.cbssports.com/fantasyhockey/players/playerpage/2094777/dylan-demelo" TargetMode="External"/><Relationship Id="rId509" Type="http://schemas.openxmlformats.org/officeDocument/2006/relationships/hyperlink" Target="http://www.cbssports.com/fantasyhockey/players/playerpage/1707518/dmitry-kulikov" TargetMode="External"/><Relationship Id="rId106" Type="http://schemas.openxmlformats.org/officeDocument/2006/relationships/hyperlink" Target="http://www.cbssports.com/fantasyhockey/players/playerpage/2198317/jared-mccann" TargetMode="External"/><Relationship Id="rId127" Type="http://schemas.openxmlformats.org/officeDocument/2006/relationships/hyperlink" Target="http://www.cbssports.com/fantasyhockey/players/playerpage/2095135/luke-glendening" TargetMode="External"/><Relationship Id="rId313" Type="http://schemas.openxmlformats.org/officeDocument/2006/relationships/hyperlink" Target="http://www.cbssports.com/fantasyhockey/players/playerpage/565815/blake-comeau" TargetMode="External"/><Relationship Id="rId495" Type="http://schemas.openxmlformats.org/officeDocument/2006/relationships/hyperlink" Target="http://www.cbssports.com/fantasyhockey/players/playerpage/2094608/alexei-marchenko" TargetMode="External"/><Relationship Id="rId10" Type="http://schemas.openxmlformats.org/officeDocument/2006/relationships/hyperlink" Target="http://www.cbssports.com/fantasyhockey/players/playerpage/433595/ryan-getzlaf" TargetMode="External"/><Relationship Id="rId31" Type="http://schemas.openxmlformats.org/officeDocument/2006/relationships/hyperlink" Target="http://www.cbssports.com/fantasyhockey/players/playerpage/1897821/mika-zibanejad" TargetMode="External"/><Relationship Id="rId52" Type="http://schemas.openxmlformats.org/officeDocument/2006/relationships/hyperlink" Target="http://www.cbssports.com/fantasyhockey/players/playerpage/566104/brandon-dubinsky" TargetMode="External"/><Relationship Id="rId73" Type="http://schemas.openxmlformats.org/officeDocument/2006/relationships/hyperlink" Target="http://www.cbssports.com/fantasyhockey/players/playerpage/2054009/nick-bjugstad" TargetMode="External"/><Relationship Id="rId94" Type="http://schemas.openxmlformats.org/officeDocument/2006/relationships/hyperlink" Target="http://www.cbssports.com/fantasyhockey/players/playerpage/1605163/jay-beagle" TargetMode="External"/><Relationship Id="rId148" Type="http://schemas.openxmlformats.org/officeDocument/2006/relationships/hyperlink" Target="http://www.cbssports.com/fantasyhockey/players/playerpage/368528/boyd-gordon" TargetMode="External"/><Relationship Id="rId169" Type="http://schemas.openxmlformats.org/officeDocument/2006/relationships/hyperlink" Target="http://www.cbssports.com/fantasyhockey/players/playerpage/273227/pa-parenteau" TargetMode="External"/><Relationship Id="rId334" Type="http://schemas.openxmlformats.org/officeDocument/2006/relationships/hyperlink" Target="http://www.cbssports.com/fantasyhockey/players/playerpage/2147499/nick-ritchie" TargetMode="External"/><Relationship Id="rId355" Type="http://schemas.openxmlformats.org/officeDocument/2006/relationships/hyperlink" Target="http://www.cbssports.com/fantasyhockey/players/playerpage/565358/bryan-bickell" TargetMode="External"/><Relationship Id="rId376" Type="http://schemas.openxmlformats.org/officeDocument/2006/relationships/hyperlink" Target="http://www.cbssports.com/fantasyhockey/players/playerpage/1639452/jake-muzzin" TargetMode="External"/><Relationship Id="rId397" Type="http://schemas.openxmlformats.org/officeDocument/2006/relationships/hyperlink" Target="http://www.cbssports.com/fantasyhockey/players/playerpage/19784/brian-campbell" TargetMode="External"/><Relationship Id="rId4" Type="http://schemas.openxmlformats.org/officeDocument/2006/relationships/hyperlink" Target="http://www.cbssports.com/fantasyhockey/players/playerpage/1628816/steven-stamkos" TargetMode="External"/><Relationship Id="rId180" Type="http://schemas.openxmlformats.org/officeDocument/2006/relationships/hyperlink" Target="http://www.cbssports.com/fantasyhockey/players/playerpage/2076021/ryan-hartman" TargetMode="External"/><Relationship Id="rId215" Type="http://schemas.openxmlformats.org/officeDocument/2006/relationships/hyperlink" Target="http://www.cbssports.com/fantasyhockey/players/playerpage/1897797/ryan-strome" TargetMode="External"/><Relationship Id="rId236" Type="http://schemas.openxmlformats.org/officeDocument/2006/relationships/hyperlink" Target="http://www.cbssports.com/fantasyhockey/players/playerpage/2245512/jesse-puljujarvi" TargetMode="External"/><Relationship Id="rId257" Type="http://schemas.openxmlformats.org/officeDocument/2006/relationships/hyperlink" Target="http://www.cbssports.com/fantasyhockey/players/playerpage/2123003/johnny-gaudreau" TargetMode="External"/><Relationship Id="rId278" Type="http://schemas.openxmlformats.org/officeDocument/2006/relationships/hyperlink" Target="http://www.cbssports.com/fantasyhockey/players/playerpage/1689413/james-van-riemsdyk" TargetMode="External"/><Relationship Id="rId401" Type="http://schemas.openxmlformats.org/officeDocument/2006/relationships/hyperlink" Target="http://www.cbssports.com/fantasyhockey/players/playerpage/1639357/tj-brodie" TargetMode="External"/><Relationship Id="rId422" Type="http://schemas.openxmlformats.org/officeDocument/2006/relationships/hyperlink" Target="http://www.cbssports.com/fantasyhockey/players/playerpage/435194/niklas-kronwall" TargetMode="External"/><Relationship Id="rId443" Type="http://schemas.openxmlformats.org/officeDocument/2006/relationships/hyperlink" Target="http://www.cbssports.com/fantasyhockey/players/playerpage/2000654/matt-dumba" TargetMode="External"/><Relationship Id="rId464" Type="http://schemas.openxmlformats.org/officeDocument/2006/relationships/hyperlink" Target="http://www.cbssports.com/fantasyhockey/players/playerpage/204526/deryk-engelland" TargetMode="External"/><Relationship Id="rId303" Type="http://schemas.openxmlformats.org/officeDocument/2006/relationships/hyperlink" Target="http://www.cbssports.com/fantasyhockey/players/playerpage/2076015/andre-burakovsky" TargetMode="External"/><Relationship Id="rId485" Type="http://schemas.openxmlformats.org/officeDocument/2006/relationships/hyperlink" Target="http://www.cbssports.com/fantasyhockey/players/playerpage/1707759/simon-despres" TargetMode="External"/><Relationship Id="rId42" Type="http://schemas.openxmlformats.org/officeDocument/2006/relationships/hyperlink" Target="http://www.cbssports.com/fantasyhockey/players/playerpage/1286409/artem-anisimov" TargetMode="External"/><Relationship Id="rId84" Type="http://schemas.openxmlformats.org/officeDocument/2006/relationships/hyperlink" Target="http://www.cbssports.com/fantasyhockey/players/playerpage/1639390/tyler-ennis" TargetMode="External"/><Relationship Id="rId138" Type="http://schemas.openxmlformats.org/officeDocument/2006/relationships/hyperlink" Target="http://www.cbssports.com/fantasyhockey/players/playerpage/435114/kyle-brodziak" TargetMode="External"/><Relationship Id="rId345" Type="http://schemas.openxmlformats.org/officeDocument/2006/relationships/hyperlink" Target="http://www.cbssports.com/fantasyhockey/players/playerpage/1639352/lance-bouma" TargetMode="External"/><Relationship Id="rId387" Type="http://schemas.openxmlformats.org/officeDocument/2006/relationships/hyperlink" Target="http://www.cbssports.com/fantasyhockey/players/playerpage/1707401/ryan-ellis" TargetMode="External"/><Relationship Id="rId510" Type="http://schemas.openxmlformats.org/officeDocument/2006/relationships/hyperlink" Target="http://www.cbssports.com/fantasyhockey/players/playerpage/1770902/mark-fayne" TargetMode="External"/><Relationship Id="rId191" Type="http://schemas.openxmlformats.org/officeDocument/2006/relationships/hyperlink" Target="http://www.cbssports.com/fantasyhockey/players/playerpage/566017/jannik-hansen" TargetMode="External"/><Relationship Id="rId205" Type="http://schemas.openxmlformats.org/officeDocument/2006/relationships/hyperlink" Target="http://www.cbssports.com/fantasyhockey/players/playerpage/2197880/nikita-soshnikov" TargetMode="External"/><Relationship Id="rId247" Type="http://schemas.openxmlformats.org/officeDocument/2006/relationships/hyperlink" Target="http://www.cbssports.com/fantasyhockey/players/playerpage/2095130/joel-armia" TargetMode="External"/><Relationship Id="rId412" Type="http://schemas.openxmlformats.org/officeDocument/2006/relationships/hyperlink" Target="http://www.cbssports.com/fantasyhockey/players/playerpage/2000673/morgan-rielly" TargetMode="External"/><Relationship Id="rId107" Type="http://schemas.openxmlformats.org/officeDocument/2006/relationships/hyperlink" Target="http://www.cbssports.com/fantasyhockey/players/playerpage/1133476/shawn-matthias" TargetMode="External"/><Relationship Id="rId289" Type="http://schemas.openxmlformats.org/officeDocument/2006/relationships/hyperlink" Target="http://www.cbssports.com/fantasyhockey/players/playerpage/1606856/justin-abdelkader" TargetMode="External"/><Relationship Id="rId454" Type="http://schemas.openxmlformats.org/officeDocument/2006/relationships/hyperlink" Target="http://www.cbssports.com/fantasyhockey/players/playerpage/433590/braydon-coburn" TargetMode="External"/><Relationship Id="rId496" Type="http://schemas.openxmlformats.org/officeDocument/2006/relationships/hyperlink" Target="http://www.cbssports.com/fantasyhockey/players/playerpage/2076043/nikita-zadorov" TargetMode="External"/><Relationship Id="rId11" Type="http://schemas.openxmlformats.org/officeDocument/2006/relationships/hyperlink" Target="http://www.cbssports.com/fantasyhockey/players/playerpage/565682/anze-kopitar" TargetMode="External"/><Relationship Id="rId53" Type="http://schemas.openxmlformats.org/officeDocument/2006/relationships/hyperlink" Target="http://www.cbssports.com/fantasyhockey/players/playerpage/1770972/brandon-pirri" TargetMode="External"/><Relationship Id="rId149" Type="http://schemas.openxmlformats.org/officeDocument/2006/relationships/hyperlink" Target="http://www.cbssports.com/fantasyhockey/players/playerpage/2000659/zemgus-girgensons" TargetMode="External"/><Relationship Id="rId314" Type="http://schemas.openxmlformats.org/officeDocument/2006/relationships/hyperlink" Target="http://www.cbssports.com/fantasyhockey/players/playerpage/2245520/matthew-tkachuk" TargetMode="External"/><Relationship Id="rId356" Type="http://schemas.openxmlformats.org/officeDocument/2006/relationships/hyperlink" Target="http://www.cbssports.com/fantasyhockey/players/playerpage/433206/brent-burns" TargetMode="External"/><Relationship Id="rId398" Type="http://schemas.openxmlformats.org/officeDocument/2006/relationships/hyperlink" Target="http://www.cbssports.com/fantasyhockey/players/playerpage/566137/keith-yandle" TargetMode="External"/><Relationship Id="rId95" Type="http://schemas.openxmlformats.org/officeDocument/2006/relationships/hyperlink" Target="http://www.cbssports.com/fantasyhockey/players/playerpage/2094584/calle-jarnkrok" TargetMode="External"/><Relationship Id="rId160" Type="http://schemas.openxmlformats.org/officeDocument/2006/relationships/hyperlink" Target="http://www.cbssports.com/fantasyhockey/players/playerpage/1622609/blake-wheeler" TargetMode="External"/><Relationship Id="rId216" Type="http://schemas.openxmlformats.org/officeDocument/2006/relationships/hyperlink" Target="http://www.cbssports.com/fantasyhockey/players/playerpage/2076026/elias-lindholm" TargetMode="External"/><Relationship Id="rId423" Type="http://schemas.openxmlformats.org/officeDocument/2006/relationships/hyperlink" Target="http://www.cbssports.com/fantasyhockey/players/playerpage/1897666/jake-gardiner" TargetMode="External"/><Relationship Id="rId258" Type="http://schemas.openxmlformats.org/officeDocument/2006/relationships/hyperlink" Target="http://www.cbssports.com/fantasyhockey/players/playerpage/2000656/filip-forsberg" TargetMode="External"/><Relationship Id="rId465" Type="http://schemas.openxmlformats.org/officeDocument/2006/relationships/hyperlink" Target="http://www.cbssports.com/fantasyhockey/players/playerpage/1899123/joe-morrow" TargetMode="External"/><Relationship Id="rId22" Type="http://schemas.openxmlformats.org/officeDocument/2006/relationships/hyperlink" Target="http://www.cbssports.com/fantasyhockey/players/playerpage/1903257/tyler-johnson" TargetMode="External"/><Relationship Id="rId64" Type="http://schemas.openxmlformats.org/officeDocument/2006/relationships/hyperlink" Target="http://www.cbssports.com/fantasyhockey/players/playerpage/1707514/cody-eakin" TargetMode="External"/><Relationship Id="rId118" Type="http://schemas.openxmlformats.org/officeDocument/2006/relationships/hyperlink" Target="http://www.cbssports.com/fantasyhockey/players/playerpage/2000664/scott-laughton" TargetMode="External"/><Relationship Id="rId325" Type="http://schemas.openxmlformats.org/officeDocument/2006/relationships/hyperlink" Target="http://www.cbssports.com/fantasyhockey/players/playerpage/372289/joffrey-lupul" TargetMode="External"/><Relationship Id="rId367" Type="http://schemas.openxmlformats.org/officeDocument/2006/relationships/hyperlink" Target="http://www.cbssports.com/fantasyhockey/players/playerpage/435267/brent-seabrook" TargetMode="External"/><Relationship Id="rId171" Type="http://schemas.openxmlformats.org/officeDocument/2006/relationships/hyperlink" Target="http://www.cbssports.com/fantasyhockey/players/playerpage/204851/justin-williams" TargetMode="External"/><Relationship Id="rId227" Type="http://schemas.openxmlformats.org/officeDocument/2006/relationships/hyperlink" Target="http://www.cbssports.com/fantasyhockey/players/playerpage/1280563/derek-dorsett" TargetMode="External"/><Relationship Id="rId269" Type="http://schemas.openxmlformats.org/officeDocument/2006/relationships/hyperlink" Target="http://www.cbssports.com/fantasyhockey/players/playerpage/557239/zach-parise" TargetMode="External"/><Relationship Id="rId434" Type="http://schemas.openxmlformats.org/officeDocument/2006/relationships/hyperlink" Target="http://www.cbssports.com/fantasyhockey/players/playerpage/20109/michal-rozsival" TargetMode="External"/><Relationship Id="rId476" Type="http://schemas.openxmlformats.org/officeDocument/2006/relationships/hyperlink" Target="http://www.cbssports.com/fantasyhockey/players/playerpage/1628805/taylor-chorney" TargetMode="External"/><Relationship Id="rId33" Type="http://schemas.openxmlformats.org/officeDocument/2006/relationships/hyperlink" Target="http://www.cbssports.com/fantasyhockey/players/playerpage/369005/tomas-plekanec" TargetMode="External"/><Relationship Id="rId129" Type="http://schemas.openxmlformats.org/officeDocument/2006/relationships/hyperlink" Target="http://www.cbssports.com/fantasyhockey/players/playerpage/1812123/marcus-kruger" TargetMode="External"/><Relationship Id="rId280" Type="http://schemas.openxmlformats.org/officeDocument/2006/relationships/hyperlink" Target="http://www.cbssports.com/fantasyhockey/players/playerpage/2147277/daniel-carr" TargetMode="External"/><Relationship Id="rId336" Type="http://schemas.openxmlformats.org/officeDocument/2006/relationships/hyperlink" Target="http://www.cbssports.com/fantasyhockey/players/playerpage/433214/milan-michalek" TargetMode="External"/><Relationship Id="rId501" Type="http://schemas.openxmlformats.org/officeDocument/2006/relationships/hyperlink" Target="http://www.cbssports.com/fantasyhockey/players/playerpage/1639526/paul-postma" TargetMode="External"/><Relationship Id="rId75" Type="http://schemas.openxmlformats.org/officeDocument/2006/relationships/hyperlink" Target="http://www.cbssports.com/fantasyhockey/players/playerpage/1133726/jordan-staal" TargetMode="External"/><Relationship Id="rId140" Type="http://schemas.openxmlformats.org/officeDocument/2006/relationships/hyperlink" Target="http://www.cbssports.com/fantasyhockey/players/playerpage/2000678/teuvo-teravainen" TargetMode="External"/><Relationship Id="rId182" Type="http://schemas.openxmlformats.org/officeDocument/2006/relationships/hyperlink" Target="http://www.cbssports.com/fantasyhockey/players/playerpage/1639388/jordan-eberle" TargetMode="External"/><Relationship Id="rId378" Type="http://schemas.openxmlformats.org/officeDocument/2006/relationships/hyperlink" Target="http://www.cbssports.com/fantasyhockey/players/playerpage/1707381/tyson-barrie" TargetMode="External"/><Relationship Id="rId403" Type="http://schemas.openxmlformats.org/officeDocument/2006/relationships/hyperlink" Target="http://www.cbssports.com/fantasyhockey/players/playerpage/1639453/tyler-myers" TargetMode="External"/><Relationship Id="rId6" Type="http://schemas.openxmlformats.org/officeDocument/2006/relationships/hyperlink" Target="http://www.cbssports.com/fantasyhockey/players/playerpage/1133717/joe-pavelski" TargetMode="External"/><Relationship Id="rId238" Type="http://schemas.openxmlformats.org/officeDocument/2006/relationships/hyperlink" Target="http://www.cbssports.com/fantasyhockey/players/playerpage/1897665/ryan-garbutt" TargetMode="External"/><Relationship Id="rId445" Type="http://schemas.openxmlformats.org/officeDocument/2006/relationships/hyperlink" Target="http://www.cbssports.com/fantasyhockey/players/playerpage/2094652/zach-trotman" TargetMode="External"/><Relationship Id="rId487" Type="http://schemas.openxmlformats.org/officeDocument/2006/relationships/hyperlink" Target="http://www.cbssports.com/fantasyhockey/players/playerpage/2197878/jaccob-slavin" TargetMode="External"/><Relationship Id="rId291" Type="http://schemas.openxmlformats.org/officeDocument/2006/relationships/hyperlink" Target="http://www.cbssports.com/fantasyhockey/players/playerpage/1707561/evander-kane" TargetMode="External"/><Relationship Id="rId305" Type="http://schemas.openxmlformats.org/officeDocument/2006/relationships/hyperlink" Target="http://www.cbssports.com/fantasyhockey/players/playerpage/2000670/tanner-pearson" TargetMode="External"/><Relationship Id="rId347" Type="http://schemas.openxmlformats.org/officeDocument/2006/relationships/hyperlink" Target="http://www.cbssports.com/fantasyhockey/players/playerpage/1897713/adam-lowry" TargetMode="External"/><Relationship Id="rId44" Type="http://schemas.openxmlformats.org/officeDocument/2006/relationships/hyperlink" Target="http://www.cbssports.com/fantasyhockey/players/playerpage/2147354/dylan-larkin" TargetMode="External"/><Relationship Id="rId86" Type="http://schemas.openxmlformats.org/officeDocument/2006/relationships/hyperlink" Target="http://www.cbssports.com/fantasyhockey/players/playerpage/1282214/brian-boyle" TargetMode="External"/><Relationship Id="rId151" Type="http://schemas.openxmlformats.org/officeDocument/2006/relationships/hyperlink" Target="http://www.cbssports.com/fantasyhockey/players/playerpage/274275/jay-mcclement" TargetMode="External"/><Relationship Id="rId389" Type="http://schemas.openxmlformats.org/officeDocument/2006/relationships/hyperlink" Target="http://www.cbssports.com/fantasyhockey/players/playerpage/1661360/david-schlemko" TargetMode="External"/><Relationship Id="rId193" Type="http://schemas.openxmlformats.org/officeDocument/2006/relationships/hyperlink" Target="http://www.cbssports.com/fantasyhockey/players/playerpage/1897745/gustav-nyquist" TargetMode="External"/><Relationship Id="rId207" Type="http://schemas.openxmlformats.org/officeDocument/2006/relationships/hyperlink" Target="http://www.cbssports.com/fantasyhockey/players/playerpage/151231/radim-vrbata" TargetMode="External"/><Relationship Id="rId249" Type="http://schemas.openxmlformats.org/officeDocument/2006/relationships/hyperlink" Target="http://www.cbssports.com/fantasyhockey/players/playerpage/2050261/alex-chiasson" TargetMode="External"/><Relationship Id="rId414" Type="http://schemas.openxmlformats.org/officeDocument/2006/relationships/hyperlink" Target="http://www.cbssports.com/fantasyhockey/players/playerpage/1639486/michael-stone" TargetMode="External"/><Relationship Id="rId456" Type="http://schemas.openxmlformats.org/officeDocument/2006/relationships/hyperlink" Target="http://www.cbssports.com/fantasyhockey/players/playerpage/1133601/andrew-macdonald" TargetMode="External"/><Relationship Id="rId498" Type="http://schemas.openxmlformats.org/officeDocument/2006/relationships/hyperlink" Target="http://www.cbssports.com/fantasyhockey/players/playerpage/1770947/martin-marincin" TargetMode="External"/><Relationship Id="rId13" Type="http://schemas.openxmlformats.org/officeDocument/2006/relationships/hyperlink" Target="http://www.cbssports.com/fantasyhockey/players/playerpage/1282456/jonathan-toews" TargetMode="External"/><Relationship Id="rId109" Type="http://schemas.openxmlformats.org/officeDocument/2006/relationships/hyperlink" Target="http://www.cbssports.com/fantasyhockey/players/playerpage/2184557/mitchell-marner" TargetMode="External"/><Relationship Id="rId260" Type="http://schemas.openxmlformats.org/officeDocument/2006/relationships/hyperlink" Target="http://www.cbssports.com/fantasyhockey/players/playerpage/1137449/mike-hoffman" TargetMode="External"/><Relationship Id="rId316" Type="http://schemas.openxmlformats.org/officeDocument/2006/relationships/hyperlink" Target="http://www.cbssports.com/fantasyhockey/players/playerpage/2076034/valeri-nichushkin" TargetMode="External"/><Relationship Id="rId55" Type="http://schemas.openxmlformats.org/officeDocument/2006/relationships/hyperlink" Target="http://www.cbssports.com/fantasyhockey/players/playerpage/566114/mikko-koivu" TargetMode="External"/><Relationship Id="rId97" Type="http://schemas.openxmlformats.org/officeDocument/2006/relationships/hyperlink" Target="http://www.cbssports.com/fantasyhockey/players/playerpage/2036205/mikael-granlund" TargetMode="External"/><Relationship Id="rId120" Type="http://schemas.openxmlformats.org/officeDocument/2006/relationships/hyperlink" Target="http://www.cbssports.com/fantasyhockey/players/playerpage/2000660/mikhail-grigorenko" TargetMode="External"/><Relationship Id="rId358" Type="http://schemas.openxmlformats.org/officeDocument/2006/relationships/hyperlink" Target="http://www.cbssports.com/fantasyhockey/players/playerpage/1697789/erik-karlsson" TargetMode="External"/><Relationship Id="rId162" Type="http://schemas.openxmlformats.org/officeDocument/2006/relationships/hyperlink" Target="http://www.cbssports.com/fantasyhockey/players/playerpage/1770996/mark-stone" TargetMode="External"/><Relationship Id="rId218" Type="http://schemas.openxmlformats.org/officeDocument/2006/relationships/hyperlink" Target="http://www.cbssports.com/fantasyhockey/players/playerpage/1133704/michael-grabner" TargetMode="External"/><Relationship Id="rId425" Type="http://schemas.openxmlformats.org/officeDocument/2006/relationships/hyperlink" Target="http://www.cbssports.com/fantasyhockey/players/playerpage/2076038/rasmus-ristolainen" TargetMode="External"/><Relationship Id="rId467" Type="http://schemas.openxmlformats.org/officeDocument/2006/relationships/hyperlink" Target="http://www.cbssports.com/fantasyhockey/players/playerpage/1707471/calvin-de-haan" TargetMode="External"/><Relationship Id="rId271" Type="http://schemas.openxmlformats.org/officeDocument/2006/relationships/hyperlink" Target="http://www.cbssports.com/fantasyhockey/players/playerpage/435197/chris-kunitz" TargetMode="External"/><Relationship Id="rId24" Type="http://schemas.openxmlformats.org/officeDocument/2006/relationships/hyperlink" Target="http://www.cbssports.com/fantasyhockey/players/playerpage/1770995/derek-stepan" TargetMode="External"/><Relationship Id="rId66" Type="http://schemas.openxmlformats.org/officeDocument/2006/relationships/hyperlink" Target="http://www.cbssports.com/fantasyhockey/players/playerpage/1628807/lars-eller" TargetMode="External"/><Relationship Id="rId131" Type="http://schemas.openxmlformats.org/officeDocument/2006/relationships/hyperlink" Target="http://www.cbssports.com/fantasyhockey/players/playerpage/1899080/phillip-danault" TargetMode="External"/><Relationship Id="rId327" Type="http://schemas.openxmlformats.org/officeDocument/2006/relationships/hyperlink" Target="http://www.cbssports.com/fantasyhockey/players/playerpage/2147085/christian-dvorak" TargetMode="External"/><Relationship Id="rId369" Type="http://schemas.openxmlformats.org/officeDocument/2006/relationships/hyperlink" Target="http://www.cbssports.com/fantasyhockey/players/playerpage/2146558/shayne-gostisbehere" TargetMode="External"/><Relationship Id="rId173" Type="http://schemas.openxmlformats.org/officeDocument/2006/relationships/hyperlink" Target="http://www.cbssports.com/fantasyhockey/players/playerpage/1770966/kyle-palmieri" TargetMode="External"/><Relationship Id="rId229" Type="http://schemas.openxmlformats.org/officeDocument/2006/relationships/hyperlink" Target="http://www.cbssports.com/fantasyhockey/players/playerpage/1133466/cal-clutterbuck" TargetMode="External"/><Relationship Id="rId380" Type="http://schemas.openxmlformats.org/officeDocument/2006/relationships/hyperlink" Target="http://www.cbssports.com/fantasyhockey/players/playerpage/1897659/justin-faulk" TargetMode="External"/><Relationship Id="rId436" Type="http://schemas.openxmlformats.org/officeDocument/2006/relationships/hyperlink" Target="http://www.cbssports.com/fantasyhockey/players/playerpage/2000679/jacob-trou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7"/>
  <sheetViews>
    <sheetView zoomScale="90" zoomScaleNormal="90" workbookViewId="0">
      <pane ySplit="2" topLeftCell="A141" activePane="bottomLeft" state="frozen"/>
      <selection pane="bottomLeft" activeCell="Q163" sqref="Q163"/>
    </sheetView>
  </sheetViews>
  <sheetFormatPr baseColWidth="10" defaultColWidth="11.42578125" defaultRowHeight="15" x14ac:dyDescent="0.25"/>
  <cols>
    <col min="2" max="2" width="17" bestFit="1" customWidth="1"/>
    <col min="3" max="3" width="16.42578125" customWidth="1"/>
    <col min="4" max="4" width="20.28515625" bestFit="1" customWidth="1"/>
    <col min="5" max="5" width="20.28515625" customWidth="1"/>
    <col min="6" max="6" width="3.85546875" customWidth="1"/>
    <col min="7" max="7" width="11" style="10"/>
    <col min="13" max="13" width="11" style="9"/>
    <col min="14" max="14" width="11.42578125" style="9"/>
    <col min="15" max="15" width="11.85546875" style="9" bestFit="1" customWidth="1"/>
  </cols>
  <sheetData>
    <row r="1" spans="1:21" x14ac:dyDescent="0.25">
      <c r="P1" s="26" t="s">
        <v>1927</v>
      </c>
      <c r="Q1" s="26"/>
      <c r="R1" s="26"/>
      <c r="S1" s="26"/>
      <c r="T1" s="26"/>
      <c r="U1" s="26"/>
    </row>
    <row r="2" spans="1:21" x14ac:dyDescent="0.25">
      <c r="A2" t="s">
        <v>154</v>
      </c>
      <c r="B2" t="s">
        <v>711</v>
      </c>
      <c r="C2" t="s">
        <v>712</v>
      </c>
      <c r="D2" t="s">
        <v>1687</v>
      </c>
      <c r="E2" t="s">
        <v>4974</v>
      </c>
      <c r="F2" t="s">
        <v>461</v>
      </c>
      <c r="G2" s="10" t="s">
        <v>96</v>
      </c>
      <c r="H2" t="s">
        <v>155</v>
      </c>
      <c r="I2" t="s">
        <v>156</v>
      </c>
      <c r="J2" t="s">
        <v>157</v>
      </c>
      <c r="K2" t="s">
        <v>714</v>
      </c>
      <c r="L2" t="s">
        <v>1682</v>
      </c>
      <c r="M2" s="9" t="s">
        <v>713</v>
      </c>
      <c r="N2" s="9" t="s">
        <v>4975</v>
      </c>
      <c r="O2" s="9" t="s">
        <v>1926</v>
      </c>
      <c r="P2" t="s">
        <v>1928</v>
      </c>
      <c r="Q2" t="s">
        <v>1929</v>
      </c>
      <c r="R2" t="s">
        <v>1930</v>
      </c>
      <c r="S2" t="s">
        <v>1931</v>
      </c>
      <c r="T2" t="s">
        <v>1932</v>
      </c>
      <c r="U2" t="s">
        <v>1933</v>
      </c>
    </row>
    <row r="3" spans="1:21" ht="15.75" thickBot="1" x14ac:dyDescent="0.3">
      <c r="A3" s="2"/>
      <c r="B3" t="s">
        <v>268</v>
      </c>
      <c r="C3" t="s">
        <v>269</v>
      </c>
      <c r="D3" t="str">
        <f>Tableau1[[#This Row],[Prenom]]&amp;" "&amp;Tableau1[[#This Row],[Nom]]</f>
        <v>Patrik Laine</v>
      </c>
      <c r="E3">
        <f>VLOOKUP(Tableau1[[#This Row],[Colonne2]],'BCP stats'!$C$6:$D$305,2,FALSE)</f>
        <v>18</v>
      </c>
      <c r="G3" s="12">
        <v>60</v>
      </c>
      <c r="H3">
        <v>48</v>
      </c>
      <c r="J3">
        <v>46</v>
      </c>
      <c r="K3">
        <v>43</v>
      </c>
      <c r="L3">
        <v>37</v>
      </c>
      <c r="M3" s="9">
        <f>AVERAGE(Tableau1[[#This Row],[Lepool.com]:[CBS]])</f>
        <v>46.8</v>
      </c>
      <c r="N3" s="9">
        <f>VLOOKUP(Tableau1[[#This Row],[Colonne2]],Final!$B$3:$I$302,4,FALSE)</f>
        <v>73</v>
      </c>
      <c r="O3" s="9">
        <f>VLOOKUP(Tableau1[[#This Row],[Colonne2]],Final!$B$3:$I$302,7,FALSE)</f>
        <v>64</v>
      </c>
      <c r="P3">
        <f>Tableau1[[#This Row],[Final]]-Tableau1[[#This Row],[Lepool.com]]</f>
        <v>4</v>
      </c>
      <c r="Q3">
        <f>Tableau1[[#This Row],[Final]]-Tableau1[[#This Row],[HM]]</f>
        <v>16</v>
      </c>
      <c r="R3">
        <f>Tableau1[[#This Row],[Final]]-Tableau1[[#This Row],[Pool Pro]]</f>
        <v>64</v>
      </c>
      <c r="S3">
        <f>Tableau1[[#This Row],[Final]]-Tableau1[[#This Row],[ESPN]]</f>
        <v>21</v>
      </c>
      <c r="T3">
        <f>Tableau1[[#This Row],[Final]]-Tableau1[[#This Row],[CBS]]</f>
        <v>27</v>
      </c>
      <c r="U3">
        <f>Tableau1[[#This Row],[Final]]-Tableau1[[#This Row],[Moyenne]]</f>
        <v>17.200000000000003</v>
      </c>
    </row>
    <row r="4" spans="1:21" ht="15.75" thickBot="1" x14ac:dyDescent="0.3">
      <c r="A4" s="1"/>
      <c r="B4" t="s">
        <v>1285</v>
      </c>
      <c r="C4" t="s">
        <v>1286</v>
      </c>
      <c r="D4" t="str">
        <f>Tableau1[[#This Row],[Prenom]]&amp;" "&amp;Tableau1[[#This Row],[Nom]]</f>
        <v>Mitchell Marner</v>
      </c>
      <c r="E4">
        <f>VLOOKUP(Tableau1[[#This Row],[Colonne2]],'BCP stats'!$C$6:$D$305,2,FALSE)</f>
        <v>19</v>
      </c>
      <c r="G4" s="22"/>
      <c r="H4">
        <v>48</v>
      </c>
      <c r="J4">
        <v>49</v>
      </c>
      <c r="L4">
        <v>36</v>
      </c>
      <c r="M4" s="21">
        <f>AVERAGE(Tableau1[[#This Row],[Lepool.com]:[CBS]])</f>
        <v>44.333333333333336</v>
      </c>
      <c r="N4" s="21">
        <f>VLOOKUP(Tableau1[[#This Row],[Colonne2]],Final!$B$3:$I$302,4,FALSE)</f>
        <v>77</v>
      </c>
      <c r="O4" s="9">
        <f>VLOOKUP(Tableau1[[#This Row],[Colonne2]],Final!$B$3:$I$302,7,FALSE)</f>
        <v>61</v>
      </c>
      <c r="P4">
        <f>Tableau1[[#This Row],[Final]]-Tableau1[[#This Row],[Lepool.com]]</f>
        <v>61</v>
      </c>
      <c r="Q4">
        <f>Tableau1[[#This Row],[Final]]-Tableau1[[#This Row],[HM]]</f>
        <v>13</v>
      </c>
      <c r="R4">
        <f>Tableau1[[#This Row],[Final]]-Tableau1[[#This Row],[Pool Pro]]</f>
        <v>61</v>
      </c>
      <c r="S4">
        <f>Tableau1[[#This Row],[Final]]-Tableau1[[#This Row],[ESPN]]</f>
        <v>61</v>
      </c>
      <c r="T4">
        <f>Tableau1[[#This Row],[Final]]-Tableau1[[#This Row],[CBS]]</f>
        <v>25</v>
      </c>
      <c r="U4">
        <f>Tableau1[[#This Row],[Final]]-Tableau1[[#This Row],[Moyenne]]</f>
        <v>16.666666666666664</v>
      </c>
    </row>
    <row r="5" spans="1:21" ht="15.75" thickBot="1" x14ac:dyDescent="0.3">
      <c r="A5" s="1"/>
      <c r="B5" t="s">
        <v>160</v>
      </c>
      <c r="C5" t="s">
        <v>161</v>
      </c>
      <c r="D5" t="str">
        <f>Tableau1[[#This Row],[Prenom]]&amp;" "&amp;Tableau1[[#This Row],[Nom]]</f>
        <v>Connor McDavid</v>
      </c>
      <c r="E5">
        <f>VLOOKUP(Tableau1[[#This Row],[Colonne2]],'BCP stats'!$C$6:$D$305,2,FALSE)</f>
        <v>19</v>
      </c>
      <c r="G5" s="13">
        <v>90</v>
      </c>
      <c r="H5">
        <v>87</v>
      </c>
      <c r="I5">
        <v>85</v>
      </c>
      <c r="J5">
        <v>96</v>
      </c>
      <c r="K5">
        <v>84</v>
      </c>
      <c r="L5">
        <v>82</v>
      </c>
      <c r="M5" s="14">
        <f>AVERAGE(Tableau1[[#This Row],[Lepool.com]:[CBS]])</f>
        <v>87.333333333333329</v>
      </c>
      <c r="N5" s="27">
        <f>VLOOKUP(Tableau1[[#This Row],[Colonne2]],Final!$B$3:$I$302,4,FALSE)</f>
        <v>82</v>
      </c>
      <c r="O5" s="9">
        <f>VLOOKUP(Tableau1[[#This Row],[Colonne2]],Final!$B$3:$I$302,7,FALSE)</f>
        <v>100</v>
      </c>
      <c r="P5">
        <f>Tableau1[[#This Row],[Final]]-Tableau1[[#This Row],[Lepool.com]]</f>
        <v>10</v>
      </c>
      <c r="Q5">
        <f>Tableau1[[#This Row],[Final]]-Tableau1[[#This Row],[HM]]</f>
        <v>13</v>
      </c>
      <c r="R5">
        <f>Tableau1[[#This Row],[Final]]-Tableau1[[#This Row],[Pool Pro]]</f>
        <v>15</v>
      </c>
      <c r="S5">
        <f>Tableau1[[#This Row],[Final]]-Tableau1[[#This Row],[ESPN]]</f>
        <v>16</v>
      </c>
      <c r="T5">
        <f>Tableau1[[#This Row],[Final]]-Tableau1[[#This Row],[CBS]]</f>
        <v>18</v>
      </c>
      <c r="U5">
        <f>Tableau1[[#This Row],[Final]]-Tableau1[[#This Row],[Moyenne]]</f>
        <v>12.666666666666671</v>
      </c>
    </row>
    <row r="6" spans="1:21" ht="15.75" thickBot="1" x14ac:dyDescent="0.3">
      <c r="A6" s="2"/>
      <c r="B6" t="s">
        <v>220</v>
      </c>
      <c r="C6" t="s">
        <v>221</v>
      </c>
      <c r="D6" t="str">
        <f>Tableau1[[#This Row],[Prenom]]&amp;" "&amp;Tableau1[[#This Row],[Nom]]</f>
        <v>Auston Matthews</v>
      </c>
      <c r="E6">
        <f>VLOOKUP(Tableau1[[#This Row],[Colonne2]],'BCP stats'!$C$6:$D$305,2,FALSE)</f>
        <v>19</v>
      </c>
      <c r="G6" s="13">
        <v>67</v>
      </c>
      <c r="H6">
        <v>52</v>
      </c>
      <c r="J6">
        <v>65</v>
      </c>
      <c r="K6">
        <v>56</v>
      </c>
      <c r="L6">
        <v>37</v>
      </c>
      <c r="M6" s="9">
        <f>AVERAGE(Tableau1[[#This Row],[Lepool.com]:[CBS]])</f>
        <v>55.4</v>
      </c>
      <c r="N6" s="9">
        <f>VLOOKUP(Tableau1[[#This Row],[Colonne2]],Final!$B$3:$I$302,4,FALSE)</f>
        <v>82</v>
      </c>
      <c r="O6" s="9">
        <f>VLOOKUP(Tableau1[[#This Row],[Colonne2]],Final!$B$3:$I$302,7,FALSE)</f>
        <v>69</v>
      </c>
      <c r="P6">
        <f>Tableau1[[#This Row],[Final]]-Tableau1[[#This Row],[Lepool.com]]</f>
        <v>2</v>
      </c>
      <c r="Q6">
        <f>Tableau1[[#This Row],[Final]]-Tableau1[[#This Row],[HM]]</f>
        <v>17</v>
      </c>
      <c r="R6">
        <f>Tableau1[[#This Row],[Final]]-Tableau1[[#This Row],[Pool Pro]]</f>
        <v>69</v>
      </c>
      <c r="S6">
        <f>Tableau1[[#This Row],[Final]]-Tableau1[[#This Row],[ESPN]]</f>
        <v>13</v>
      </c>
      <c r="T6">
        <f>Tableau1[[#This Row],[Final]]-Tableau1[[#This Row],[CBS]]</f>
        <v>32</v>
      </c>
      <c r="U6">
        <f>Tableau1[[#This Row],[Final]]-Tableau1[[#This Row],[Moyenne]]</f>
        <v>13.600000000000001</v>
      </c>
    </row>
    <row r="7" spans="1:21" ht="15.75" thickBot="1" x14ac:dyDescent="0.3">
      <c r="A7" s="1"/>
      <c r="B7" t="s">
        <v>286</v>
      </c>
      <c r="C7" t="s">
        <v>287</v>
      </c>
      <c r="D7" t="str">
        <f>Tableau1[[#This Row],[Prenom]]&amp;" "&amp;Tableau1[[#This Row],[Nom]]</f>
        <v>Dylan Larkin</v>
      </c>
      <c r="E7">
        <f>VLOOKUP(Tableau1[[#This Row],[Colonne2]],'BCP stats'!$C$6:$D$305,2,FALSE)</f>
        <v>20</v>
      </c>
      <c r="G7" s="13">
        <v>58</v>
      </c>
      <c r="H7">
        <v>52</v>
      </c>
      <c r="I7">
        <v>53</v>
      </c>
      <c r="J7">
        <v>55</v>
      </c>
      <c r="K7">
        <v>54</v>
      </c>
      <c r="L7">
        <v>47</v>
      </c>
      <c r="M7" s="9">
        <f>AVERAGE(Tableau1[[#This Row],[Lepool.com]:[CBS]])</f>
        <v>53.166666666666664</v>
      </c>
      <c r="N7" s="9">
        <f>VLOOKUP(Tableau1[[#This Row],[Colonne2]],Final!$B$3:$I$302,4,FALSE)</f>
        <v>80</v>
      </c>
      <c r="O7" s="9">
        <f>VLOOKUP(Tableau1[[#This Row],[Colonne2]],Final!$B$3:$I$302,7,FALSE)</f>
        <v>32</v>
      </c>
      <c r="P7">
        <f>Tableau1[[#This Row],[Final]]-Tableau1[[#This Row],[Lepool.com]]</f>
        <v>-26</v>
      </c>
      <c r="Q7">
        <f>Tableau1[[#This Row],[Final]]-Tableau1[[#This Row],[HM]]</f>
        <v>-20</v>
      </c>
      <c r="R7">
        <f>Tableau1[[#This Row],[Final]]-Tableau1[[#This Row],[Pool Pro]]</f>
        <v>-21</v>
      </c>
      <c r="S7">
        <f>Tableau1[[#This Row],[Final]]-Tableau1[[#This Row],[ESPN]]</f>
        <v>-22</v>
      </c>
      <c r="T7">
        <f>Tableau1[[#This Row],[Final]]-Tableau1[[#This Row],[CBS]]</f>
        <v>-15</v>
      </c>
      <c r="U7">
        <f>Tableau1[[#This Row],[Final]]-Tableau1[[#This Row],[Moyenne]]</f>
        <v>-21.166666666666664</v>
      </c>
    </row>
    <row r="8" spans="1:21" ht="15.75" thickBot="1" x14ac:dyDescent="0.3">
      <c r="A8" s="1"/>
      <c r="B8" t="s">
        <v>397</v>
      </c>
      <c r="C8" t="s">
        <v>421</v>
      </c>
      <c r="D8" t="str">
        <f>Tableau1[[#This Row],[Prenom]]&amp;" "&amp;Tableau1[[#This Row],[Nom]]</f>
        <v>Sam Bennett</v>
      </c>
      <c r="E8">
        <f>VLOOKUP(Tableau1[[#This Row],[Colonne2]],'BCP stats'!$C$6:$D$305,2,FALSE)</f>
        <v>20</v>
      </c>
      <c r="G8" s="22">
        <v>48</v>
      </c>
      <c r="H8">
        <v>46</v>
      </c>
      <c r="I8">
        <v>51</v>
      </c>
      <c r="J8">
        <v>54</v>
      </c>
      <c r="K8">
        <v>48</v>
      </c>
      <c r="L8">
        <v>36</v>
      </c>
      <c r="M8" s="9">
        <f>AVERAGE(Tableau1[[#This Row],[Lepool.com]:[CBS]])</f>
        <v>47.166666666666664</v>
      </c>
      <c r="N8" s="9">
        <f>VLOOKUP(Tableau1[[#This Row],[Colonne2]],Final!$B$3:$I$302,4,FALSE)</f>
        <v>81</v>
      </c>
      <c r="O8" s="9">
        <f>VLOOKUP(Tableau1[[#This Row],[Colonne2]],Final!$B$3:$I$302,7,FALSE)</f>
        <v>26</v>
      </c>
      <c r="P8">
        <f>Tableau1[[#This Row],[Final]]-Tableau1[[#This Row],[Lepool.com]]</f>
        <v>-22</v>
      </c>
      <c r="Q8">
        <f>Tableau1[[#This Row],[Final]]-Tableau1[[#This Row],[HM]]</f>
        <v>-20</v>
      </c>
      <c r="R8">
        <f>Tableau1[[#This Row],[Final]]-Tableau1[[#This Row],[Pool Pro]]</f>
        <v>-25</v>
      </c>
      <c r="S8">
        <f>Tableau1[[#This Row],[Final]]-Tableau1[[#This Row],[ESPN]]</f>
        <v>-22</v>
      </c>
      <c r="T8">
        <f>Tableau1[[#This Row],[Final]]-Tableau1[[#This Row],[CBS]]</f>
        <v>-10</v>
      </c>
      <c r="U8">
        <f>Tableau1[[#This Row],[Final]]-Tableau1[[#This Row],[Moyenne]]</f>
        <v>-21.166666666666664</v>
      </c>
    </row>
    <row r="9" spans="1:21" ht="15.75" thickBot="1" x14ac:dyDescent="0.3">
      <c r="A9" s="2"/>
      <c r="B9" t="s">
        <v>415</v>
      </c>
      <c r="C9" t="s">
        <v>416</v>
      </c>
      <c r="D9" t="str">
        <f>Tableau1[[#This Row],[Prenom]]&amp;" "&amp;Tableau1[[#This Row],[Nom]]</f>
        <v>Robby Fabbri</v>
      </c>
      <c r="E9">
        <f>VLOOKUP(Tableau1[[#This Row],[Colonne2]],'BCP stats'!$C$6:$D$305,2,FALSE)</f>
        <v>20</v>
      </c>
      <c r="G9" s="22">
        <v>48</v>
      </c>
      <c r="H9">
        <v>48</v>
      </c>
      <c r="I9">
        <v>51</v>
      </c>
      <c r="J9">
        <v>54</v>
      </c>
      <c r="K9">
        <v>49</v>
      </c>
      <c r="L9">
        <v>50</v>
      </c>
      <c r="M9" s="9">
        <f>AVERAGE(Tableau1[[#This Row],[Lepool.com]:[CBS]])</f>
        <v>50</v>
      </c>
      <c r="N9" s="9">
        <f>VLOOKUP(Tableau1[[#This Row],[Colonne2]],Final!$B$3:$I$302,4,FALSE)</f>
        <v>51</v>
      </c>
      <c r="O9" s="9">
        <f>VLOOKUP(Tableau1[[#This Row],[Colonne2]],Final!$B$3:$I$302,7,FALSE)</f>
        <v>29</v>
      </c>
      <c r="P9">
        <f>Tableau1[[#This Row],[Final]]-Tableau1[[#This Row],[Lepool.com]]</f>
        <v>-19</v>
      </c>
      <c r="Q9">
        <f>Tableau1[[#This Row],[Final]]-Tableau1[[#This Row],[HM]]</f>
        <v>-19</v>
      </c>
      <c r="R9">
        <f>Tableau1[[#This Row],[Final]]-Tableau1[[#This Row],[Pool Pro]]</f>
        <v>-22</v>
      </c>
      <c r="S9">
        <f>Tableau1[[#This Row],[Final]]-Tableau1[[#This Row],[ESPN]]</f>
        <v>-20</v>
      </c>
      <c r="T9">
        <f>Tableau1[[#This Row],[Final]]-Tableau1[[#This Row],[CBS]]</f>
        <v>-21</v>
      </c>
      <c r="U9">
        <f>Tableau1[[#This Row],[Final]]-Tableau1[[#This Row],[Moyenne]]</f>
        <v>-21</v>
      </c>
    </row>
    <row r="10" spans="1:21" ht="15.75" thickBot="1" x14ac:dyDescent="0.3">
      <c r="A10" s="1"/>
      <c r="B10" t="s">
        <v>214</v>
      </c>
      <c r="C10" t="s">
        <v>215</v>
      </c>
      <c r="D10" t="str">
        <f>Tableau1[[#This Row],[Prenom]]&amp;" "&amp;Tableau1[[#This Row],[Nom]]</f>
        <v>Jack Eichel</v>
      </c>
      <c r="E10">
        <f>VLOOKUP(Tableau1[[#This Row],[Colonne2]],'BCP stats'!$C$6:$D$305,2,FALSE)</f>
        <v>20</v>
      </c>
      <c r="G10" s="13">
        <v>68</v>
      </c>
      <c r="H10">
        <v>65</v>
      </c>
      <c r="I10">
        <v>66</v>
      </c>
      <c r="J10">
        <v>63</v>
      </c>
      <c r="K10">
        <v>64</v>
      </c>
      <c r="L10">
        <v>54</v>
      </c>
      <c r="M10" s="9">
        <f>AVERAGE(Tableau1[[#This Row],[Lepool.com]:[CBS]])</f>
        <v>63.333333333333336</v>
      </c>
      <c r="N10" s="9">
        <f>VLOOKUP(Tableau1[[#This Row],[Colonne2]],Final!$B$3:$I$302,4,FALSE)</f>
        <v>61</v>
      </c>
      <c r="O10" s="9">
        <f>VLOOKUP(Tableau1[[#This Row],[Colonne2]],Final!$B$3:$I$302,7,FALSE)</f>
        <v>57</v>
      </c>
      <c r="P10">
        <f>Tableau1[[#This Row],[Final]]-Tableau1[[#This Row],[Lepool.com]]</f>
        <v>-11</v>
      </c>
      <c r="Q10">
        <f>Tableau1[[#This Row],[Final]]-Tableau1[[#This Row],[HM]]</f>
        <v>-8</v>
      </c>
      <c r="R10">
        <f>Tableau1[[#This Row],[Final]]-Tableau1[[#This Row],[Pool Pro]]</f>
        <v>-9</v>
      </c>
      <c r="S10">
        <f>Tableau1[[#This Row],[Final]]-Tableau1[[#This Row],[ESPN]]</f>
        <v>-7</v>
      </c>
      <c r="T10">
        <f>Tableau1[[#This Row],[Final]]-Tableau1[[#This Row],[CBS]]</f>
        <v>3</v>
      </c>
      <c r="U10">
        <f>Tableau1[[#This Row],[Final]]-Tableau1[[#This Row],[Moyenne]]</f>
        <v>-6.3333333333333357</v>
      </c>
    </row>
    <row r="11" spans="1:21" ht="15.75" thickBot="1" x14ac:dyDescent="0.3">
      <c r="A11" s="1"/>
      <c r="B11" t="s">
        <v>383</v>
      </c>
      <c r="C11" t="s">
        <v>384</v>
      </c>
      <c r="D11" t="str">
        <f>Tableau1[[#This Row],[Prenom]]&amp;" "&amp;Tableau1[[#This Row],[Nom]]</f>
        <v>Nikolaj Ehlers</v>
      </c>
      <c r="E11">
        <f>VLOOKUP(Tableau1[[#This Row],[Colonne2]],'BCP stats'!$C$6:$D$305,2,FALSE)</f>
        <v>20</v>
      </c>
      <c r="G11" s="22">
        <v>50</v>
      </c>
      <c r="H11">
        <v>49</v>
      </c>
      <c r="I11">
        <v>46</v>
      </c>
      <c r="J11">
        <v>55</v>
      </c>
      <c r="K11">
        <v>48</v>
      </c>
      <c r="L11">
        <v>42</v>
      </c>
      <c r="M11" s="9">
        <f>AVERAGE(Tableau1[[#This Row],[Lepool.com]:[CBS]])</f>
        <v>48.333333333333336</v>
      </c>
      <c r="N11" s="9">
        <f>VLOOKUP(Tableau1[[#This Row],[Colonne2]],Final!$B$3:$I$302,4,FALSE)</f>
        <v>82</v>
      </c>
      <c r="O11" s="9">
        <f>VLOOKUP(Tableau1[[#This Row],[Colonne2]],Final!$B$3:$I$302,7,FALSE)</f>
        <v>64</v>
      </c>
      <c r="P11">
        <f>Tableau1[[#This Row],[Final]]-Tableau1[[#This Row],[Lepool.com]]</f>
        <v>14</v>
      </c>
      <c r="Q11">
        <f>Tableau1[[#This Row],[Final]]-Tableau1[[#This Row],[HM]]</f>
        <v>15</v>
      </c>
      <c r="R11">
        <f>Tableau1[[#This Row],[Final]]-Tableau1[[#This Row],[Pool Pro]]</f>
        <v>18</v>
      </c>
      <c r="S11">
        <f>Tableau1[[#This Row],[Final]]-Tableau1[[#This Row],[ESPN]]</f>
        <v>16</v>
      </c>
      <c r="T11">
        <f>Tableau1[[#This Row],[Final]]-Tableau1[[#This Row],[CBS]]</f>
        <v>22</v>
      </c>
      <c r="U11">
        <f>Tableau1[[#This Row],[Final]]-Tableau1[[#This Row],[Moyenne]]</f>
        <v>15.666666666666664</v>
      </c>
    </row>
    <row r="12" spans="1:21" ht="15.75" thickBot="1" x14ac:dyDescent="0.3">
      <c r="A12" s="2"/>
      <c r="B12" t="s">
        <v>1239</v>
      </c>
      <c r="C12" t="s">
        <v>1240</v>
      </c>
      <c r="D12" t="str">
        <f>Tableau1[[#This Row],[Prenom]]&amp;" "&amp;Tableau1[[#This Row],[Nom]]</f>
        <v>William Nylander</v>
      </c>
      <c r="E12">
        <f>VLOOKUP(Tableau1[[#This Row],[Colonne2]],'BCP stats'!$C$6:$D$305,2,FALSE)</f>
        <v>20</v>
      </c>
      <c r="G12" s="22"/>
      <c r="H12">
        <v>41</v>
      </c>
      <c r="I12">
        <v>42</v>
      </c>
      <c r="J12">
        <v>42</v>
      </c>
      <c r="K12">
        <v>47</v>
      </c>
      <c r="L12">
        <v>52</v>
      </c>
      <c r="M12" s="21">
        <f>AVERAGE(Tableau1[[#This Row],[Lepool.com]:[CBS]])</f>
        <v>44.8</v>
      </c>
      <c r="N12" s="21">
        <f>VLOOKUP(Tableau1[[#This Row],[Colonne2]],Final!$B$3:$I$302,4,FALSE)</f>
        <v>81</v>
      </c>
      <c r="O12" s="9">
        <f>VLOOKUP(Tableau1[[#This Row],[Colonne2]],Final!$B$3:$I$302,7,FALSE)</f>
        <v>61</v>
      </c>
      <c r="P12">
        <f>Tableau1[[#This Row],[Final]]-Tableau1[[#This Row],[Lepool.com]]</f>
        <v>61</v>
      </c>
      <c r="Q12">
        <f>Tableau1[[#This Row],[Final]]-Tableau1[[#This Row],[HM]]</f>
        <v>20</v>
      </c>
      <c r="R12">
        <f>Tableau1[[#This Row],[Final]]-Tableau1[[#This Row],[Pool Pro]]</f>
        <v>19</v>
      </c>
      <c r="S12">
        <f>Tableau1[[#This Row],[Final]]-Tableau1[[#This Row],[ESPN]]</f>
        <v>14</v>
      </c>
      <c r="T12">
        <f>Tableau1[[#This Row],[Final]]-Tableau1[[#This Row],[CBS]]</f>
        <v>9</v>
      </c>
      <c r="U12">
        <f>Tableau1[[#This Row],[Final]]-Tableau1[[#This Row],[Moyenne]]</f>
        <v>16.200000000000003</v>
      </c>
    </row>
    <row r="13" spans="1:21" ht="15.75" thickBot="1" x14ac:dyDescent="0.3">
      <c r="A13" s="1"/>
      <c r="B13" t="s">
        <v>231</v>
      </c>
      <c r="C13" t="s">
        <v>1353</v>
      </c>
      <c r="D13" t="str">
        <f>Tableau1[[#This Row],[Prenom]]&amp;" "&amp;Tableau1[[#This Row],[Nom]]</f>
        <v>David Pastrnak</v>
      </c>
      <c r="E13">
        <f>VLOOKUP(Tableau1[[#This Row],[Colonne2]],'BCP stats'!$C$6:$D$305,2,FALSE)</f>
        <v>20</v>
      </c>
      <c r="G13" s="22"/>
      <c r="H13">
        <v>48</v>
      </c>
      <c r="I13">
        <v>47</v>
      </c>
      <c r="J13">
        <v>52</v>
      </c>
      <c r="K13">
        <v>43</v>
      </c>
      <c r="L13">
        <v>42</v>
      </c>
      <c r="M13" s="21">
        <f>AVERAGE(Tableau1[[#This Row],[Lepool.com]:[CBS]])</f>
        <v>46.4</v>
      </c>
      <c r="N13" s="21">
        <f>VLOOKUP(Tableau1[[#This Row],[Colonne2]],Final!$B$3:$I$302,4,FALSE)</f>
        <v>75</v>
      </c>
      <c r="O13" s="9">
        <f>VLOOKUP(Tableau1[[#This Row],[Colonne2]],Final!$B$3:$I$302,7,FALSE)</f>
        <v>70</v>
      </c>
      <c r="P13">
        <f>Tableau1[[#This Row],[Final]]-Tableau1[[#This Row],[Lepool.com]]</f>
        <v>70</v>
      </c>
      <c r="Q13">
        <f>Tableau1[[#This Row],[Final]]-Tableau1[[#This Row],[HM]]</f>
        <v>22</v>
      </c>
      <c r="R13">
        <f>Tableau1[[#This Row],[Final]]-Tableau1[[#This Row],[Pool Pro]]</f>
        <v>23</v>
      </c>
      <c r="S13">
        <f>Tableau1[[#This Row],[Final]]-Tableau1[[#This Row],[ESPN]]</f>
        <v>27</v>
      </c>
      <c r="T13">
        <f>Tableau1[[#This Row],[Final]]-Tableau1[[#This Row],[CBS]]</f>
        <v>28</v>
      </c>
      <c r="U13">
        <f>Tableau1[[#This Row],[Final]]-Tableau1[[#This Row],[Moyenne]]</f>
        <v>23.6</v>
      </c>
    </row>
    <row r="14" spans="1:21" ht="15.75" thickBot="1" x14ac:dyDescent="0.3">
      <c r="A14" s="1"/>
      <c r="B14" t="s">
        <v>190</v>
      </c>
      <c r="C14" t="s">
        <v>191</v>
      </c>
      <c r="D14" t="str">
        <f>Tableau1[[#This Row],[Prenom]]&amp;" "&amp;Tableau1[[#This Row],[Nom]]</f>
        <v>Aleksander Barkov</v>
      </c>
      <c r="E14">
        <f>VLOOKUP(Tableau1[[#This Row],[Colonne2]],'BCP stats'!$C$6:$D$305,2,FALSE)</f>
        <v>21</v>
      </c>
      <c r="G14" s="13">
        <v>73</v>
      </c>
      <c r="H14">
        <v>71</v>
      </c>
      <c r="I14">
        <v>66</v>
      </c>
      <c r="J14">
        <v>71</v>
      </c>
      <c r="K14">
        <v>59</v>
      </c>
      <c r="L14">
        <v>65</v>
      </c>
      <c r="M14" s="9">
        <f>AVERAGE(Tableau1[[#This Row],[Lepool.com]:[CBS]])</f>
        <v>67.5</v>
      </c>
      <c r="N14" s="9">
        <f>VLOOKUP(Tableau1[[#This Row],[Colonne2]],Final!$B$3:$I$302,4,FALSE)</f>
        <v>61</v>
      </c>
      <c r="O14" s="9">
        <f>VLOOKUP(Tableau1[[#This Row],[Colonne2]],Final!$B$3:$I$302,7,FALSE)</f>
        <v>52</v>
      </c>
      <c r="P14">
        <f>Tableau1[[#This Row],[Final]]-Tableau1[[#This Row],[Lepool.com]]</f>
        <v>-21</v>
      </c>
      <c r="Q14">
        <f>Tableau1[[#This Row],[Final]]-Tableau1[[#This Row],[HM]]</f>
        <v>-19</v>
      </c>
      <c r="R14">
        <f>Tableau1[[#This Row],[Final]]-Tableau1[[#This Row],[Pool Pro]]</f>
        <v>-14</v>
      </c>
      <c r="S14">
        <f>Tableau1[[#This Row],[Final]]-Tableau1[[#This Row],[ESPN]]</f>
        <v>-7</v>
      </c>
      <c r="T14">
        <f>Tableau1[[#This Row],[Final]]-Tableau1[[#This Row],[CBS]]</f>
        <v>-13</v>
      </c>
      <c r="U14">
        <f>Tableau1[[#This Row],[Final]]-Tableau1[[#This Row],[Moyenne]]</f>
        <v>-15.5</v>
      </c>
    </row>
    <row r="15" spans="1:21" ht="15.75" thickBot="1" x14ac:dyDescent="0.3">
      <c r="A15" s="2"/>
      <c r="B15" t="s">
        <v>216</v>
      </c>
      <c r="C15" t="s">
        <v>259</v>
      </c>
      <c r="D15" t="str">
        <f>Tableau1[[#This Row],[Prenom]]&amp;" "&amp;Tableau1[[#This Row],[Nom]]</f>
        <v>Max Domi</v>
      </c>
      <c r="E15">
        <f>VLOOKUP(Tableau1[[#This Row],[Colonne2]],'BCP stats'!$C$6:$D$305,2,FALSE)</f>
        <v>21</v>
      </c>
      <c r="G15" s="13">
        <v>61</v>
      </c>
      <c r="H15">
        <v>55</v>
      </c>
      <c r="I15">
        <v>61</v>
      </c>
      <c r="J15">
        <v>59</v>
      </c>
      <c r="K15">
        <v>58</v>
      </c>
      <c r="L15">
        <v>51</v>
      </c>
      <c r="M15" s="9">
        <f>AVERAGE(Tableau1[[#This Row],[Lepool.com]:[CBS]])</f>
        <v>57.5</v>
      </c>
      <c r="N15" s="9">
        <f>VLOOKUP(Tableau1[[#This Row],[Colonne2]],Final!$B$3:$I$302,4,FALSE)</f>
        <v>59</v>
      </c>
      <c r="O15" s="9">
        <f>VLOOKUP(Tableau1[[#This Row],[Colonne2]],Final!$B$3:$I$302,7,FALSE)</f>
        <v>38</v>
      </c>
      <c r="P15">
        <f>Tableau1[[#This Row],[Final]]-Tableau1[[#This Row],[Lepool.com]]</f>
        <v>-23</v>
      </c>
      <c r="Q15">
        <f>Tableau1[[#This Row],[Final]]-Tableau1[[#This Row],[HM]]</f>
        <v>-17</v>
      </c>
      <c r="R15">
        <f>Tableau1[[#This Row],[Final]]-Tableau1[[#This Row],[Pool Pro]]</f>
        <v>-23</v>
      </c>
      <c r="S15">
        <f>Tableau1[[#This Row],[Final]]-Tableau1[[#This Row],[ESPN]]</f>
        <v>-20</v>
      </c>
      <c r="T15">
        <f>Tableau1[[#This Row],[Final]]-Tableau1[[#This Row],[CBS]]</f>
        <v>-13</v>
      </c>
      <c r="U15">
        <f>Tableau1[[#This Row],[Final]]-Tableau1[[#This Row],[Moyenne]]</f>
        <v>-19.5</v>
      </c>
    </row>
    <row r="16" spans="1:21" ht="15.75" thickBot="1" x14ac:dyDescent="0.3">
      <c r="A16" s="1"/>
      <c r="B16" t="s">
        <v>235</v>
      </c>
      <c r="C16" t="s">
        <v>236</v>
      </c>
      <c r="D16" t="str">
        <f>Tableau1[[#This Row],[Prenom]]&amp;" "&amp;Tableau1[[#This Row],[Nom]]</f>
        <v>Nathan MacKinnon</v>
      </c>
      <c r="E16">
        <f>VLOOKUP(Tableau1[[#This Row],[Colonne2]],'BCP stats'!$C$6:$D$305,2,FALSE)</f>
        <v>21</v>
      </c>
      <c r="G16" s="13">
        <v>64</v>
      </c>
      <c r="H16">
        <v>61</v>
      </c>
      <c r="I16">
        <v>62</v>
      </c>
      <c r="J16">
        <v>60</v>
      </c>
      <c r="K16">
        <v>53</v>
      </c>
      <c r="L16">
        <v>58</v>
      </c>
      <c r="M16" s="9">
        <f>AVERAGE(Tableau1[[#This Row],[Lepool.com]:[CBS]])</f>
        <v>59.666666666666664</v>
      </c>
      <c r="N16" s="9">
        <f>VLOOKUP(Tableau1[[#This Row],[Colonne2]],Final!$B$3:$I$302,4,FALSE)</f>
        <v>82</v>
      </c>
      <c r="O16" s="9">
        <f>VLOOKUP(Tableau1[[#This Row],[Colonne2]],Final!$B$3:$I$302,7,FALSE)</f>
        <v>53</v>
      </c>
      <c r="P16">
        <f>Tableau1[[#This Row],[Final]]-Tableau1[[#This Row],[Lepool.com]]</f>
        <v>-11</v>
      </c>
      <c r="Q16">
        <f>Tableau1[[#This Row],[Final]]-Tableau1[[#This Row],[HM]]</f>
        <v>-8</v>
      </c>
      <c r="R16">
        <f>Tableau1[[#This Row],[Final]]-Tableau1[[#This Row],[Pool Pro]]</f>
        <v>-9</v>
      </c>
      <c r="S16">
        <f>Tableau1[[#This Row],[Final]]-Tableau1[[#This Row],[ESPN]]</f>
        <v>0</v>
      </c>
      <c r="T16">
        <f>Tableau1[[#This Row],[Final]]-Tableau1[[#This Row],[CBS]]</f>
        <v>-5</v>
      </c>
      <c r="U16">
        <f>Tableau1[[#This Row],[Final]]-Tableau1[[#This Row],[Moyenne]]</f>
        <v>-6.6666666666666643</v>
      </c>
    </row>
    <row r="17" spans="1:21" ht="15.75" thickBot="1" x14ac:dyDescent="0.3">
      <c r="A17" s="1"/>
      <c r="B17" t="s">
        <v>218</v>
      </c>
      <c r="C17" t="s">
        <v>396</v>
      </c>
      <c r="D17" t="str">
        <f>Tableau1[[#This Row],[Prenom]]&amp;" "&amp;Tableau1[[#This Row],[Nom]]</f>
        <v>Jonathan Drouin</v>
      </c>
      <c r="E17">
        <f>VLOOKUP(Tableau1[[#This Row],[Colonne2]],'BCP stats'!$C$6:$D$305,2,FALSE)</f>
        <v>21</v>
      </c>
      <c r="G17" s="22">
        <v>49</v>
      </c>
      <c r="H17">
        <v>59</v>
      </c>
      <c r="I17">
        <v>62</v>
      </c>
      <c r="J17">
        <v>63</v>
      </c>
      <c r="K17">
        <v>43</v>
      </c>
      <c r="L17">
        <v>60</v>
      </c>
      <c r="M17" s="9">
        <f>AVERAGE(Tableau1[[#This Row],[Lepool.com]:[CBS]])</f>
        <v>56</v>
      </c>
      <c r="N17" s="9">
        <f>VLOOKUP(Tableau1[[#This Row],[Colonne2]],Final!$B$3:$I$302,4,FALSE)</f>
        <v>73</v>
      </c>
      <c r="O17" s="9">
        <f>VLOOKUP(Tableau1[[#This Row],[Colonne2]],Final!$B$3:$I$302,7,FALSE)</f>
        <v>53</v>
      </c>
      <c r="P17">
        <f>Tableau1[[#This Row],[Final]]-Tableau1[[#This Row],[Lepool.com]]</f>
        <v>4</v>
      </c>
      <c r="Q17">
        <f>Tableau1[[#This Row],[Final]]-Tableau1[[#This Row],[HM]]</f>
        <v>-6</v>
      </c>
      <c r="R17">
        <f>Tableau1[[#This Row],[Final]]-Tableau1[[#This Row],[Pool Pro]]</f>
        <v>-9</v>
      </c>
      <c r="S17">
        <f>Tableau1[[#This Row],[Final]]-Tableau1[[#This Row],[ESPN]]</f>
        <v>10</v>
      </c>
      <c r="T17">
        <f>Tableau1[[#This Row],[Final]]-Tableau1[[#This Row],[CBS]]</f>
        <v>-7</v>
      </c>
      <c r="U17">
        <f>Tableau1[[#This Row],[Final]]-Tableau1[[#This Row],[Moyenne]]</f>
        <v>-3</v>
      </c>
    </row>
    <row r="18" spans="1:21" ht="15.75" thickBot="1" x14ac:dyDescent="0.3">
      <c r="A18" s="2"/>
      <c r="B18" t="s">
        <v>397</v>
      </c>
      <c r="C18" t="s">
        <v>398</v>
      </c>
      <c r="D18" t="str">
        <f>Tableau1[[#This Row],[Prenom]]&amp;" "&amp;Tableau1[[#This Row],[Nom]]</f>
        <v>Sam Reinhart</v>
      </c>
      <c r="E18">
        <f>VLOOKUP(Tableau1[[#This Row],[Colonne2]],'BCP stats'!$C$6:$D$305,2,FALSE)</f>
        <v>21</v>
      </c>
      <c r="G18" s="22">
        <v>49</v>
      </c>
      <c r="H18">
        <v>50</v>
      </c>
      <c r="I18">
        <v>47</v>
      </c>
      <c r="J18">
        <v>58</v>
      </c>
      <c r="K18">
        <v>46</v>
      </c>
      <c r="L18">
        <v>41</v>
      </c>
      <c r="M18" s="9">
        <f>AVERAGE(Tableau1[[#This Row],[Lepool.com]:[CBS]])</f>
        <v>48.5</v>
      </c>
      <c r="N18" s="9">
        <f>VLOOKUP(Tableau1[[#This Row],[Colonne2]],Final!$B$3:$I$302,4,FALSE)</f>
        <v>79</v>
      </c>
      <c r="O18" s="9">
        <f>VLOOKUP(Tableau1[[#This Row],[Colonne2]],Final!$B$3:$I$302,7,FALSE)</f>
        <v>47</v>
      </c>
      <c r="P18">
        <f>Tableau1[[#This Row],[Final]]-Tableau1[[#This Row],[Lepool.com]]</f>
        <v>-2</v>
      </c>
      <c r="Q18">
        <f>Tableau1[[#This Row],[Final]]-Tableau1[[#This Row],[HM]]</f>
        <v>-3</v>
      </c>
      <c r="R18">
        <f>Tableau1[[#This Row],[Final]]-Tableau1[[#This Row],[Pool Pro]]</f>
        <v>0</v>
      </c>
      <c r="S18">
        <f>Tableau1[[#This Row],[Final]]-Tableau1[[#This Row],[ESPN]]</f>
        <v>1</v>
      </c>
      <c r="T18">
        <f>Tableau1[[#This Row],[Final]]-Tableau1[[#This Row],[CBS]]</f>
        <v>6</v>
      </c>
      <c r="U18">
        <f>Tableau1[[#This Row],[Final]]-Tableau1[[#This Row],[Moyenne]]</f>
        <v>-1.5</v>
      </c>
    </row>
    <row r="19" spans="1:21" ht="15.75" thickBot="1" x14ac:dyDescent="0.3">
      <c r="A19" s="1"/>
      <c r="B19" t="s">
        <v>411</v>
      </c>
      <c r="C19" t="s">
        <v>412</v>
      </c>
      <c r="D19" t="str">
        <f>Tableau1[[#This Row],[Prenom]]&amp;" "&amp;Tableau1[[#This Row],[Nom]]</f>
        <v>Bo Horvat</v>
      </c>
      <c r="E19">
        <f>VLOOKUP(Tableau1[[#This Row],[Colonne2]],'BCP stats'!$C$6:$D$305,2,FALSE)</f>
        <v>21</v>
      </c>
      <c r="G19" s="22">
        <v>49</v>
      </c>
      <c r="H19">
        <v>44</v>
      </c>
      <c r="I19">
        <v>48</v>
      </c>
      <c r="J19">
        <v>53</v>
      </c>
      <c r="L19">
        <v>44</v>
      </c>
      <c r="M19" s="9">
        <f>AVERAGE(Tableau1[[#This Row],[Lepool.com]:[CBS]])</f>
        <v>47.6</v>
      </c>
      <c r="N19" s="9">
        <f>VLOOKUP(Tableau1[[#This Row],[Colonne2]],Final!$B$3:$I$302,4,FALSE)</f>
        <v>81</v>
      </c>
      <c r="O19" s="9">
        <f>VLOOKUP(Tableau1[[#This Row],[Colonne2]],Final!$B$3:$I$302,7,FALSE)</f>
        <v>52</v>
      </c>
      <c r="P19">
        <f>Tableau1[[#This Row],[Final]]-Tableau1[[#This Row],[Lepool.com]]</f>
        <v>3</v>
      </c>
      <c r="Q19">
        <f>Tableau1[[#This Row],[Final]]-Tableau1[[#This Row],[HM]]</f>
        <v>8</v>
      </c>
      <c r="R19">
        <f>Tableau1[[#This Row],[Final]]-Tableau1[[#This Row],[Pool Pro]]</f>
        <v>4</v>
      </c>
      <c r="S19">
        <f>Tableau1[[#This Row],[Final]]-Tableau1[[#This Row],[ESPN]]</f>
        <v>52</v>
      </c>
      <c r="T19">
        <f>Tableau1[[#This Row],[Final]]-Tableau1[[#This Row],[CBS]]</f>
        <v>8</v>
      </c>
      <c r="U19">
        <f>Tableau1[[#This Row],[Final]]-Tableau1[[#This Row],[Moyenne]]</f>
        <v>4.3999999999999986</v>
      </c>
    </row>
    <row r="20" spans="1:21" ht="15.75" thickBot="1" x14ac:dyDescent="0.3">
      <c r="A20" s="1"/>
      <c r="B20" t="s">
        <v>337</v>
      </c>
      <c r="C20" t="s">
        <v>338</v>
      </c>
      <c r="D20" t="str">
        <f>Tableau1[[#This Row],[Prenom]]&amp;" "&amp;Tableau1[[#This Row],[Nom]]</f>
        <v>Leon Draisaitl</v>
      </c>
      <c r="E20">
        <f>VLOOKUP(Tableau1[[#This Row],[Colonne2]],'BCP stats'!$C$6:$D$305,2,FALSE)</f>
        <v>21</v>
      </c>
      <c r="G20" s="22">
        <v>53</v>
      </c>
      <c r="H20">
        <v>58</v>
      </c>
      <c r="I20">
        <v>60</v>
      </c>
      <c r="J20">
        <v>52</v>
      </c>
      <c r="K20">
        <v>56</v>
      </c>
      <c r="L20">
        <v>57</v>
      </c>
      <c r="M20" s="9">
        <f>AVERAGE(Tableau1[[#This Row],[Lepool.com]:[CBS]])</f>
        <v>56</v>
      </c>
      <c r="N20" s="9">
        <f>VLOOKUP(Tableau1[[#This Row],[Colonne2]],Final!$B$3:$I$302,4,FALSE)</f>
        <v>82</v>
      </c>
      <c r="O20" s="9">
        <f>VLOOKUP(Tableau1[[#This Row],[Colonne2]],Final!$B$3:$I$302,7,FALSE)</f>
        <v>77</v>
      </c>
      <c r="P20">
        <f>Tableau1[[#This Row],[Final]]-Tableau1[[#This Row],[Lepool.com]]</f>
        <v>24</v>
      </c>
      <c r="Q20">
        <f>Tableau1[[#This Row],[Final]]-Tableau1[[#This Row],[HM]]</f>
        <v>19</v>
      </c>
      <c r="R20">
        <f>Tableau1[[#This Row],[Final]]-Tableau1[[#This Row],[Pool Pro]]</f>
        <v>17</v>
      </c>
      <c r="S20">
        <f>Tableau1[[#This Row],[Final]]-Tableau1[[#This Row],[ESPN]]</f>
        <v>21</v>
      </c>
      <c r="T20">
        <f>Tableau1[[#This Row],[Final]]-Tableau1[[#This Row],[CBS]]</f>
        <v>20</v>
      </c>
      <c r="U20">
        <f>Tableau1[[#This Row],[Final]]-Tableau1[[#This Row],[Moyenne]]</f>
        <v>21</v>
      </c>
    </row>
    <row r="21" spans="1:21" ht="15.75" thickBot="1" x14ac:dyDescent="0.3">
      <c r="A21" s="2"/>
      <c r="B21" t="s">
        <v>233</v>
      </c>
      <c r="C21" t="s">
        <v>234</v>
      </c>
      <c r="D21" t="str">
        <f>Tableau1[[#This Row],[Prenom]]&amp;" "&amp;Tableau1[[#This Row],[Nom]]</f>
        <v>Alex Galchenyuk</v>
      </c>
      <c r="E21">
        <f>VLOOKUP(Tableau1[[#This Row],[Colonne2]],'BCP stats'!$C$6:$D$305,2,FALSE)</f>
        <v>22</v>
      </c>
      <c r="G21" s="13">
        <v>64</v>
      </c>
      <c r="H21">
        <v>61</v>
      </c>
      <c r="I21">
        <v>62</v>
      </c>
      <c r="J21">
        <v>64</v>
      </c>
      <c r="K21">
        <v>48</v>
      </c>
      <c r="L21">
        <v>58</v>
      </c>
      <c r="M21" s="9">
        <f>AVERAGE(Tableau1[[#This Row],[Lepool.com]:[CBS]])</f>
        <v>59.5</v>
      </c>
      <c r="N21" s="9">
        <f>VLOOKUP(Tableau1[[#This Row],[Colonne2]],Final!$B$3:$I$302,4,FALSE)</f>
        <v>61</v>
      </c>
      <c r="O21" s="9">
        <f>VLOOKUP(Tableau1[[#This Row],[Colonne2]],Final!$B$3:$I$302,7,FALSE)</f>
        <v>44</v>
      </c>
      <c r="P21">
        <f>Tableau1[[#This Row],[Final]]-Tableau1[[#This Row],[Lepool.com]]</f>
        <v>-20</v>
      </c>
      <c r="Q21">
        <f>Tableau1[[#This Row],[Final]]-Tableau1[[#This Row],[HM]]</f>
        <v>-17</v>
      </c>
      <c r="R21">
        <f>Tableau1[[#This Row],[Final]]-Tableau1[[#This Row],[Pool Pro]]</f>
        <v>-18</v>
      </c>
      <c r="S21">
        <f>Tableau1[[#This Row],[Final]]-Tableau1[[#This Row],[ESPN]]</f>
        <v>-4</v>
      </c>
      <c r="T21">
        <f>Tableau1[[#This Row],[Final]]-Tableau1[[#This Row],[CBS]]</f>
        <v>-14</v>
      </c>
      <c r="U21">
        <f>Tableau1[[#This Row],[Final]]-Tableau1[[#This Row],[Moyenne]]</f>
        <v>-15.5</v>
      </c>
    </row>
    <row r="22" spans="1:21" ht="15.75" thickBot="1" x14ac:dyDescent="0.3">
      <c r="A22" s="1"/>
      <c r="B22" t="s">
        <v>194</v>
      </c>
      <c r="C22" t="s">
        <v>195</v>
      </c>
      <c r="D22" t="str">
        <f>Tableau1[[#This Row],[Prenom]]&amp;" "&amp;Tableau1[[#This Row],[Nom]]</f>
        <v>Filip Forsberg</v>
      </c>
      <c r="E22">
        <f>VLOOKUP(Tableau1[[#This Row],[Colonne2]],'BCP stats'!$C$6:$D$305,2,FALSE)</f>
        <v>22</v>
      </c>
      <c r="G22" s="13">
        <v>72</v>
      </c>
      <c r="H22">
        <v>68</v>
      </c>
      <c r="I22">
        <v>67</v>
      </c>
      <c r="J22">
        <v>65</v>
      </c>
      <c r="K22">
        <v>57</v>
      </c>
      <c r="L22">
        <v>64</v>
      </c>
      <c r="M22" s="9">
        <f>AVERAGE(Tableau1[[#This Row],[Lepool.com]:[CBS]])</f>
        <v>65.5</v>
      </c>
      <c r="N22" s="9">
        <f>VLOOKUP(Tableau1[[#This Row],[Colonne2]],Final!$B$3:$I$302,4,FALSE)</f>
        <v>82</v>
      </c>
      <c r="O22" s="9">
        <f>VLOOKUP(Tableau1[[#This Row],[Colonne2]],Final!$B$3:$I$302,7,FALSE)</f>
        <v>58</v>
      </c>
      <c r="P22">
        <f>Tableau1[[#This Row],[Final]]-Tableau1[[#This Row],[Lepool.com]]</f>
        <v>-14</v>
      </c>
      <c r="Q22">
        <f>Tableau1[[#This Row],[Final]]-Tableau1[[#This Row],[HM]]</f>
        <v>-10</v>
      </c>
      <c r="R22">
        <f>Tableau1[[#This Row],[Final]]-Tableau1[[#This Row],[Pool Pro]]</f>
        <v>-9</v>
      </c>
      <c r="S22">
        <f>Tableau1[[#This Row],[Final]]-Tableau1[[#This Row],[ESPN]]</f>
        <v>1</v>
      </c>
      <c r="T22">
        <f>Tableau1[[#This Row],[Final]]-Tableau1[[#This Row],[CBS]]</f>
        <v>-6</v>
      </c>
      <c r="U22">
        <f>Tableau1[[#This Row],[Final]]-Tableau1[[#This Row],[Moyenne]]</f>
        <v>-7.5</v>
      </c>
    </row>
    <row r="23" spans="1:21" ht="15.75" thickBot="1" x14ac:dyDescent="0.3">
      <c r="A23" s="1"/>
      <c r="B23" t="s">
        <v>210</v>
      </c>
      <c r="C23" t="s">
        <v>211</v>
      </c>
      <c r="D23" t="str">
        <f>Tableau1[[#This Row],[Prenom]]&amp;" "&amp;Tableau1[[#This Row],[Nom]]</f>
        <v>Sean Monahan</v>
      </c>
      <c r="E23">
        <f>VLOOKUP(Tableau1[[#This Row],[Colonne2]],'BCP stats'!$C$6:$D$305,2,FALSE)</f>
        <v>22</v>
      </c>
      <c r="G23" s="13">
        <v>69</v>
      </c>
      <c r="H23">
        <v>68</v>
      </c>
      <c r="I23">
        <v>66</v>
      </c>
      <c r="J23">
        <v>68</v>
      </c>
      <c r="K23">
        <v>68</v>
      </c>
      <c r="L23">
        <v>60</v>
      </c>
      <c r="M23" s="9">
        <f>AVERAGE(Tableau1[[#This Row],[Lepool.com]:[CBS]])</f>
        <v>66.5</v>
      </c>
      <c r="N23" s="9">
        <f>VLOOKUP(Tableau1[[#This Row],[Colonne2]],Final!$B$3:$I$302,4,FALSE)</f>
        <v>82</v>
      </c>
      <c r="O23" s="9">
        <f>VLOOKUP(Tableau1[[#This Row],[Colonne2]],Final!$B$3:$I$302,7,FALSE)</f>
        <v>58</v>
      </c>
      <c r="P23">
        <f>Tableau1[[#This Row],[Final]]-Tableau1[[#This Row],[Lepool.com]]</f>
        <v>-11</v>
      </c>
      <c r="Q23">
        <f>Tableau1[[#This Row],[Final]]-Tableau1[[#This Row],[HM]]</f>
        <v>-10</v>
      </c>
      <c r="R23">
        <f>Tableau1[[#This Row],[Final]]-Tableau1[[#This Row],[Pool Pro]]</f>
        <v>-8</v>
      </c>
      <c r="S23">
        <f>Tableau1[[#This Row],[Final]]-Tableau1[[#This Row],[ESPN]]</f>
        <v>-10</v>
      </c>
      <c r="T23">
        <f>Tableau1[[#This Row],[Final]]-Tableau1[[#This Row],[CBS]]</f>
        <v>-2</v>
      </c>
      <c r="U23">
        <f>Tableau1[[#This Row],[Final]]-Tableau1[[#This Row],[Moyenne]]</f>
        <v>-8.5</v>
      </c>
    </row>
    <row r="24" spans="1:21" ht="15.75" thickBot="1" x14ac:dyDescent="0.3">
      <c r="A24" s="2"/>
      <c r="B24" t="s">
        <v>453</v>
      </c>
      <c r="C24" t="s">
        <v>454</v>
      </c>
      <c r="D24" t="str">
        <f>Tableau1[[#This Row],[Prenom]]&amp;" "&amp;Tableau1[[#This Row],[Nom]]</f>
        <v>Rasmus Ristolainen</v>
      </c>
      <c r="E24">
        <f>VLOOKUP(Tableau1[[#This Row],[Colonne2]],'BCP stats'!$C$6:$D$305,2,FALSE)</f>
        <v>22</v>
      </c>
      <c r="G24" s="22">
        <v>45</v>
      </c>
      <c r="H24">
        <v>47</v>
      </c>
      <c r="I24">
        <v>45</v>
      </c>
      <c r="J24">
        <v>46</v>
      </c>
      <c r="K24">
        <v>41</v>
      </c>
      <c r="L24">
        <v>39</v>
      </c>
      <c r="M24" s="9">
        <f>AVERAGE(Tableau1[[#This Row],[Lepool.com]:[CBS]])</f>
        <v>43.833333333333336</v>
      </c>
      <c r="N24" s="9">
        <f>VLOOKUP(Tableau1[[#This Row],[Colonne2]],Final!$B$3:$I$302,4,FALSE)</f>
        <v>79</v>
      </c>
      <c r="O24" s="9">
        <f>VLOOKUP(Tableau1[[#This Row],[Colonne2]],Final!$B$3:$I$302,7,FALSE)</f>
        <v>45</v>
      </c>
      <c r="P24">
        <f>Tableau1[[#This Row],[Final]]-Tableau1[[#This Row],[Lepool.com]]</f>
        <v>0</v>
      </c>
      <c r="Q24">
        <f>Tableau1[[#This Row],[Final]]-Tableau1[[#This Row],[HM]]</f>
        <v>-2</v>
      </c>
      <c r="R24">
        <f>Tableau1[[#This Row],[Final]]-Tableau1[[#This Row],[Pool Pro]]</f>
        <v>0</v>
      </c>
      <c r="S24">
        <f>Tableau1[[#This Row],[Final]]-Tableau1[[#This Row],[ESPN]]</f>
        <v>4</v>
      </c>
      <c r="T24">
        <f>Tableau1[[#This Row],[Final]]-Tableau1[[#This Row],[CBS]]</f>
        <v>6</v>
      </c>
      <c r="U24">
        <f>Tableau1[[#This Row],[Final]]-Tableau1[[#This Row],[Moyenne]]</f>
        <v>1.1666666666666643</v>
      </c>
    </row>
    <row r="25" spans="1:21" ht="15.75" thickBot="1" x14ac:dyDescent="0.3">
      <c r="A25" s="1"/>
      <c r="B25" t="s">
        <v>174</v>
      </c>
      <c r="C25" t="s">
        <v>370</v>
      </c>
      <c r="D25" t="str">
        <f>Tableau1[[#This Row],[Prenom]]&amp;" "&amp;Tableau1[[#This Row],[Nom]]</f>
        <v>Alexander Wennberg</v>
      </c>
      <c r="E25">
        <f>VLOOKUP(Tableau1[[#This Row],[Colonne2]],'BCP stats'!$C$6:$D$305,2,FALSE)</f>
        <v>22</v>
      </c>
      <c r="G25" s="22">
        <v>51</v>
      </c>
      <c r="H25">
        <v>52</v>
      </c>
      <c r="I25">
        <v>42</v>
      </c>
      <c r="J25">
        <v>52</v>
      </c>
      <c r="L25">
        <v>49</v>
      </c>
      <c r="M25" s="9">
        <f>AVERAGE(Tableau1[[#This Row],[Lepool.com]:[CBS]])</f>
        <v>49.2</v>
      </c>
      <c r="N25" s="9">
        <f>VLOOKUP(Tableau1[[#This Row],[Colonne2]],Final!$B$3:$I$302,4,FALSE)</f>
        <v>80</v>
      </c>
      <c r="O25" s="9">
        <f>VLOOKUP(Tableau1[[#This Row],[Colonne2]],Final!$B$3:$I$302,7,FALSE)</f>
        <v>59</v>
      </c>
      <c r="P25">
        <f>Tableau1[[#This Row],[Final]]-Tableau1[[#This Row],[Lepool.com]]</f>
        <v>8</v>
      </c>
      <c r="Q25">
        <f>Tableau1[[#This Row],[Final]]-Tableau1[[#This Row],[HM]]</f>
        <v>7</v>
      </c>
      <c r="R25">
        <f>Tableau1[[#This Row],[Final]]-Tableau1[[#This Row],[Pool Pro]]</f>
        <v>17</v>
      </c>
      <c r="S25">
        <f>Tableau1[[#This Row],[Final]]-Tableau1[[#This Row],[ESPN]]</f>
        <v>59</v>
      </c>
      <c r="T25">
        <f>Tableau1[[#This Row],[Final]]-Tableau1[[#This Row],[CBS]]</f>
        <v>10</v>
      </c>
      <c r="U25">
        <f>Tableau1[[#This Row],[Final]]-Tableau1[[#This Row],[Moyenne]]</f>
        <v>9.7999999999999972</v>
      </c>
    </row>
    <row r="26" spans="1:21" ht="15.75" thickBot="1" x14ac:dyDescent="0.3">
      <c r="A26" s="1"/>
      <c r="B26" t="s">
        <v>218</v>
      </c>
      <c r="C26" t="s">
        <v>219</v>
      </c>
      <c r="D26" t="str">
        <f>Tableau1[[#This Row],[Prenom]]&amp;" "&amp;Tableau1[[#This Row],[Nom]]</f>
        <v>Jonathan Huberdeau</v>
      </c>
      <c r="E26">
        <f>VLOOKUP(Tableau1[[#This Row],[Colonne2]],'BCP stats'!$C$6:$D$305,2,FALSE)</f>
        <v>23</v>
      </c>
      <c r="G26" s="13">
        <v>67</v>
      </c>
      <c r="H26">
        <v>66</v>
      </c>
      <c r="I26">
        <v>63</v>
      </c>
      <c r="J26">
        <v>67</v>
      </c>
      <c r="K26">
        <v>60</v>
      </c>
      <c r="L26">
        <v>59</v>
      </c>
      <c r="M26" s="9">
        <f>AVERAGE(Tableau1[[#This Row],[Lepool.com]:[CBS]])</f>
        <v>63.666666666666664</v>
      </c>
      <c r="N26" s="9">
        <f>VLOOKUP(Tableau1[[#This Row],[Colonne2]],Final!$B$3:$I$302,4,FALSE)</f>
        <v>31</v>
      </c>
      <c r="O26" s="9">
        <f>VLOOKUP(Tableau1[[#This Row],[Colonne2]],Final!$B$3:$I$302,7,FALSE)</f>
        <v>26</v>
      </c>
      <c r="P26">
        <f>Tableau1[[#This Row],[Final]]-Tableau1[[#This Row],[Lepool.com]]</f>
        <v>-41</v>
      </c>
      <c r="Q26">
        <f>Tableau1[[#This Row],[Final]]-Tableau1[[#This Row],[HM]]</f>
        <v>-40</v>
      </c>
      <c r="R26">
        <f>Tableau1[[#This Row],[Final]]-Tableau1[[#This Row],[Pool Pro]]</f>
        <v>-37</v>
      </c>
      <c r="S26">
        <f>Tableau1[[#This Row],[Final]]-Tableau1[[#This Row],[ESPN]]</f>
        <v>-34</v>
      </c>
      <c r="T26">
        <f>Tableau1[[#This Row],[Final]]-Tableau1[[#This Row],[CBS]]</f>
        <v>-33</v>
      </c>
      <c r="U26">
        <f>Tableau1[[#This Row],[Final]]-Tableau1[[#This Row],[Moyenne]]</f>
        <v>-37.666666666666664</v>
      </c>
    </row>
    <row r="27" spans="1:21" ht="15.75" thickBot="1" x14ac:dyDescent="0.3">
      <c r="A27" s="2"/>
      <c r="B27" t="s">
        <v>172</v>
      </c>
      <c r="C27" t="s">
        <v>173</v>
      </c>
      <c r="D27" t="str">
        <f>Tableau1[[#This Row],[Prenom]]&amp;" "&amp;Tableau1[[#This Row],[Nom]]</f>
        <v>Johnny Gaudreau</v>
      </c>
      <c r="E27">
        <f>VLOOKUP(Tableau1[[#This Row],[Colonne2]],'BCP stats'!$C$6:$D$305,2,FALSE)</f>
        <v>23</v>
      </c>
      <c r="G27" s="13">
        <v>80</v>
      </c>
      <c r="H27">
        <v>84</v>
      </c>
      <c r="I27">
        <v>74</v>
      </c>
      <c r="J27">
        <v>80</v>
      </c>
      <c r="K27">
        <v>84</v>
      </c>
      <c r="L27">
        <v>77</v>
      </c>
      <c r="M27" s="9">
        <f>AVERAGE(Tableau1[[#This Row],[Lepool.com]:[CBS]])</f>
        <v>79.833333333333329</v>
      </c>
      <c r="N27" s="9">
        <f>VLOOKUP(Tableau1[[#This Row],[Colonne2]],Final!$B$3:$I$302,4,FALSE)</f>
        <v>72</v>
      </c>
      <c r="O27" s="9">
        <f>VLOOKUP(Tableau1[[#This Row],[Colonne2]],Final!$B$3:$I$302,7,FALSE)</f>
        <v>61</v>
      </c>
      <c r="P27">
        <f>Tableau1[[#This Row],[Final]]-Tableau1[[#This Row],[Lepool.com]]</f>
        <v>-19</v>
      </c>
      <c r="Q27">
        <f>Tableau1[[#This Row],[Final]]-Tableau1[[#This Row],[HM]]</f>
        <v>-23</v>
      </c>
      <c r="R27">
        <f>Tableau1[[#This Row],[Final]]-Tableau1[[#This Row],[Pool Pro]]</f>
        <v>-13</v>
      </c>
      <c r="S27">
        <f>Tableau1[[#This Row],[Final]]-Tableau1[[#This Row],[ESPN]]</f>
        <v>-23</v>
      </c>
      <c r="T27">
        <f>Tableau1[[#This Row],[Final]]-Tableau1[[#This Row],[CBS]]</f>
        <v>-16</v>
      </c>
      <c r="U27">
        <f>Tableau1[[#This Row],[Final]]-Tableau1[[#This Row],[Moyenne]]</f>
        <v>-18.833333333333329</v>
      </c>
    </row>
    <row r="28" spans="1:21" ht="15.75" thickBot="1" x14ac:dyDescent="0.3">
      <c r="A28" s="1"/>
      <c r="B28" t="s">
        <v>284</v>
      </c>
      <c r="C28" t="s">
        <v>285</v>
      </c>
      <c r="D28" t="str">
        <f>Tableau1[[#This Row],[Prenom]]&amp;" "&amp;Tableau1[[#This Row],[Nom]]</f>
        <v>Mika Zibanejad</v>
      </c>
      <c r="E28">
        <f>VLOOKUP(Tableau1[[#This Row],[Colonne2]],'BCP stats'!$C$6:$D$305,2,FALSE)</f>
        <v>23</v>
      </c>
      <c r="G28" s="13">
        <v>58</v>
      </c>
      <c r="H28">
        <v>55</v>
      </c>
      <c r="I28">
        <v>55</v>
      </c>
      <c r="J28">
        <v>50</v>
      </c>
      <c r="K28">
        <v>48</v>
      </c>
      <c r="L28">
        <v>54</v>
      </c>
      <c r="M28" s="9">
        <f>AVERAGE(Tableau1[[#This Row],[Lepool.com]:[CBS]])</f>
        <v>53.333333333333336</v>
      </c>
      <c r="N28" s="9">
        <f>VLOOKUP(Tableau1[[#This Row],[Colonne2]],Final!$B$3:$I$302,4,FALSE)</f>
        <v>56</v>
      </c>
      <c r="O28" s="9">
        <f>VLOOKUP(Tableau1[[#This Row],[Colonne2]],Final!$B$3:$I$302,7,FALSE)</f>
        <v>37</v>
      </c>
      <c r="P28">
        <f>Tableau1[[#This Row],[Final]]-Tableau1[[#This Row],[Lepool.com]]</f>
        <v>-21</v>
      </c>
      <c r="Q28">
        <f>Tableau1[[#This Row],[Final]]-Tableau1[[#This Row],[HM]]</f>
        <v>-18</v>
      </c>
      <c r="R28">
        <f>Tableau1[[#This Row],[Final]]-Tableau1[[#This Row],[Pool Pro]]</f>
        <v>-18</v>
      </c>
      <c r="S28">
        <f>Tableau1[[#This Row],[Final]]-Tableau1[[#This Row],[ESPN]]</f>
        <v>-11</v>
      </c>
      <c r="T28">
        <f>Tableau1[[#This Row],[Final]]-Tableau1[[#This Row],[CBS]]</f>
        <v>-17</v>
      </c>
      <c r="U28">
        <f>Tableau1[[#This Row],[Final]]-Tableau1[[#This Row],[Moyenne]]</f>
        <v>-16.333333333333336</v>
      </c>
    </row>
    <row r="29" spans="1:21" ht="15.75" thickBot="1" x14ac:dyDescent="0.3">
      <c r="A29" s="1"/>
      <c r="B29" t="s">
        <v>343</v>
      </c>
      <c r="C29" t="s">
        <v>344</v>
      </c>
      <c r="D29" t="str">
        <f>Tableau1[[#This Row],[Prenom]]&amp;" "&amp;Tableau1[[#This Row],[Nom]]</f>
        <v>Boone Jenner</v>
      </c>
      <c r="E29">
        <f>VLOOKUP(Tableau1[[#This Row],[Colonne2]],'BCP stats'!$C$6:$D$305,2,FALSE)</f>
        <v>23</v>
      </c>
      <c r="G29" s="22">
        <v>53</v>
      </c>
      <c r="H29">
        <v>51</v>
      </c>
      <c r="I29">
        <v>46</v>
      </c>
      <c r="J29">
        <v>56</v>
      </c>
      <c r="K29">
        <v>47</v>
      </c>
      <c r="L29">
        <v>49</v>
      </c>
      <c r="M29" s="9">
        <f>AVERAGE(Tableau1[[#This Row],[Lepool.com]:[CBS]])</f>
        <v>50.333333333333336</v>
      </c>
      <c r="N29" s="9">
        <f>VLOOKUP(Tableau1[[#This Row],[Colonne2]],Final!$B$3:$I$302,4,FALSE)</f>
        <v>82</v>
      </c>
      <c r="O29" s="9">
        <f>VLOOKUP(Tableau1[[#This Row],[Colonne2]],Final!$B$3:$I$302,7,FALSE)</f>
        <v>34</v>
      </c>
      <c r="P29">
        <f>Tableau1[[#This Row],[Final]]-Tableau1[[#This Row],[Lepool.com]]</f>
        <v>-19</v>
      </c>
      <c r="Q29">
        <f>Tableau1[[#This Row],[Final]]-Tableau1[[#This Row],[HM]]</f>
        <v>-17</v>
      </c>
      <c r="R29">
        <f>Tableau1[[#This Row],[Final]]-Tableau1[[#This Row],[Pool Pro]]</f>
        <v>-12</v>
      </c>
      <c r="S29">
        <f>Tableau1[[#This Row],[Final]]-Tableau1[[#This Row],[ESPN]]</f>
        <v>-13</v>
      </c>
      <c r="T29">
        <f>Tableau1[[#This Row],[Final]]-Tableau1[[#This Row],[CBS]]</f>
        <v>-15</v>
      </c>
      <c r="U29">
        <f>Tableau1[[#This Row],[Final]]-Tableau1[[#This Row],[Moyenne]]</f>
        <v>-16.333333333333336</v>
      </c>
    </row>
    <row r="30" spans="1:21" ht="15.75" thickBot="1" x14ac:dyDescent="0.3">
      <c r="A30" s="2"/>
      <c r="B30" t="s">
        <v>371</v>
      </c>
      <c r="C30" t="s">
        <v>1516</v>
      </c>
      <c r="D30" t="str">
        <f>Tableau1[[#This Row],[Prenom]]&amp;" "&amp;Tableau1[[#This Row],[Nom]]</f>
        <v>Shayne Gostisbehere</v>
      </c>
      <c r="E30">
        <f>VLOOKUP(Tableau1[[#This Row],[Colonne2]],'BCP stats'!$C$6:$D$305,2,FALSE)</f>
        <v>23</v>
      </c>
      <c r="G30" s="22">
        <v>51</v>
      </c>
      <c r="H30">
        <v>51</v>
      </c>
      <c r="I30">
        <v>44</v>
      </c>
      <c r="J30">
        <v>43</v>
      </c>
      <c r="L30">
        <v>58</v>
      </c>
      <c r="M30" s="9">
        <f>AVERAGE(Tableau1[[#This Row],[Lepool.com]:[CBS]])</f>
        <v>49.4</v>
      </c>
      <c r="N30" s="9">
        <f>VLOOKUP(Tableau1[[#This Row],[Colonne2]],Final!$B$3:$I$302,4,FALSE)</f>
        <v>76</v>
      </c>
      <c r="O30" s="9">
        <f>VLOOKUP(Tableau1[[#This Row],[Colonne2]],Final!$B$3:$I$302,7,FALSE)</f>
        <v>39</v>
      </c>
      <c r="P30">
        <f>Tableau1[[#This Row],[Final]]-Tableau1[[#This Row],[Lepool.com]]</f>
        <v>-12</v>
      </c>
      <c r="Q30">
        <f>Tableau1[[#This Row],[Final]]-Tableau1[[#This Row],[HM]]</f>
        <v>-12</v>
      </c>
      <c r="R30">
        <f>Tableau1[[#This Row],[Final]]-Tableau1[[#This Row],[Pool Pro]]</f>
        <v>-5</v>
      </c>
      <c r="S30">
        <f>Tableau1[[#This Row],[Final]]-Tableau1[[#This Row],[ESPN]]</f>
        <v>39</v>
      </c>
      <c r="T30">
        <f>Tableau1[[#This Row],[Final]]-Tableau1[[#This Row],[CBS]]</f>
        <v>-19</v>
      </c>
      <c r="U30">
        <f>Tableau1[[#This Row],[Final]]-Tableau1[[#This Row],[Moyenne]]</f>
        <v>-10.399999999999999</v>
      </c>
    </row>
    <row r="31" spans="1:21" ht="15.75" thickBot="1" x14ac:dyDescent="0.3">
      <c r="A31" s="1"/>
      <c r="B31" t="s">
        <v>327</v>
      </c>
      <c r="C31" t="s">
        <v>362</v>
      </c>
      <c r="D31" t="str">
        <f>Tableau1[[#This Row],[Prenom]]&amp;" "&amp;Tableau1[[#This Row],[Nom]]</f>
        <v>Victor Rask</v>
      </c>
      <c r="E31">
        <f>VLOOKUP(Tableau1[[#This Row],[Colonne2]],'BCP stats'!$C$6:$D$305,2,FALSE)</f>
        <v>23</v>
      </c>
      <c r="G31" s="22">
        <v>52</v>
      </c>
      <c r="H31">
        <v>51</v>
      </c>
      <c r="I31">
        <v>51</v>
      </c>
      <c r="J31">
        <v>54</v>
      </c>
      <c r="K31">
        <v>48</v>
      </c>
      <c r="L31">
        <v>51</v>
      </c>
      <c r="M31" s="9">
        <f>AVERAGE(Tableau1[[#This Row],[Lepool.com]:[CBS]])</f>
        <v>51.166666666666664</v>
      </c>
      <c r="N31" s="9">
        <f>VLOOKUP(Tableau1[[#This Row],[Colonne2]],Final!$B$3:$I$302,4,FALSE)</f>
        <v>82</v>
      </c>
      <c r="O31" s="9">
        <f>VLOOKUP(Tableau1[[#This Row],[Colonne2]],Final!$B$3:$I$302,7,FALSE)</f>
        <v>45</v>
      </c>
      <c r="P31">
        <f>Tableau1[[#This Row],[Final]]-Tableau1[[#This Row],[Lepool.com]]</f>
        <v>-7</v>
      </c>
      <c r="Q31">
        <f>Tableau1[[#This Row],[Final]]-Tableau1[[#This Row],[HM]]</f>
        <v>-6</v>
      </c>
      <c r="R31">
        <f>Tableau1[[#This Row],[Final]]-Tableau1[[#This Row],[Pool Pro]]</f>
        <v>-6</v>
      </c>
      <c r="S31">
        <f>Tableau1[[#This Row],[Final]]-Tableau1[[#This Row],[ESPN]]</f>
        <v>-3</v>
      </c>
      <c r="T31">
        <f>Tableau1[[#This Row],[Final]]-Tableau1[[#This Row],[CBS]]</f>
        <v>-6</v>
      </c>
      <c r="U31">
        <f>Tableau1[[#This Row],[Final]]-Tableau1[[#This Row],[Moyenne]]</f>
        <v>-6.1666666666666643</v>
      </c>
    </row>
    <row r="32" spans="1:21" ht="15.75" thickBot="1" x14ac:dyDescent="0.3">
      <c r="A32" s="1"/>
      <c r="B32" t="s">
        <v>188</v>
      </c>
      <c r="C32" t="s">
        <v>1255</v>
      </c>
      <c r="D32" t="str">
        <f>Tableau1[[#This Row],[Prenom]]&amp;" "&amp;Tableau1[[#This Row],[Nom]]</f>
        <v>Ryan Nugent-Hopkins</v>
      </c>
      <c r="E32">
        <f>VLOOKUP(Tableau1[[#This Row],[Colonne2]],'BCP stats'!$C$6:$D$305,2,FALSE)</f>
        <v>23</v>
      </c>
      <c r="G32" s="13">
        <v>60</v>
      </c>
      <c r="H32">
        <v>49</v>
      </c>
      <c r="I32">
        <v>54</v>
      </c>
      <c r="J32">
        <v>58</v>
      </c>
      <c r="K32">
        <v>48</v>
      </c>
      <c r="L32">
        <v>50</v>
      </c>
      <c r="M32" s="9">
        <f>AVERAGE(Tableau1[[#This Row],[Lepool.com]:[CBS]])</f>
        <v>53.166666666666664</v>
      </c>
      <c r="N32" s="9">
        <f>VLOOKUP(Tableau1[[#This Row],[Colonne2]],Final!$B$3:$I$302,4,FALSE)</f>
        <v>82</v>
      </c>
      <c r="O32" s="9">
        <f>VLOOKUP(Tableau1[[#This Row],[Colonne2]],Final!$B$3:$I$302,7,FALSE)</f>
        <v>43</v>
      </c>
      <c r="P32">
        <f>Tableau1[[#This Row],[Final]]-Tableau1[[#This Row],[Lepool.com]]</f>
        <v>-17</v>
      </c>
      <c r="Q32">
        <f>Tableau1[[#This Row],[Final]]-Tableau1[[#This Row],[HM]]</f>
        <v>-6</v>
      </c>
      <c r="R32">
        <f>Tableau1[[#This Row],[Final]]-Tableau1[[#This Row],[Pool Pro]]</f>
        <v>-11</v>
      </c>
      <c r="S32">
        <f>Tableau1[[#This Row],[Final]]-Tableau1[[#This Row],[ESPN]]</f>
        <v>-5</v>
      </c>
      <c r="T32">
        <f>Tableau1[[#This Row],[Final]]-Tableau1[[#This Row],[CBS]]</f>
        <v>-7</v>
      </c>
      <c r="U32">
        <f>Tableau1[[#This Row],[Final]]-Tableau1[[#This Row],[Moyenne]]</f>
        <v>-10.166666666666664</v>
      </c>
    </row>
    <row r="33" spans="1:21" ht="15.75" thickBot="1" x14ac:dyDescent="0.3">
      <c r="A33" s="2"/>
      <c r="B33" t="s">
        <v>294</v>
      </c>
      <c r="C33" t="s">
        <v>295</v>
      </c>
      <c r="D33" t="str">
        <f>Tableau1[[#This Row],[Prenom]]&amp;" "&amp;Tableau1[[#This Row],[Nom]]</f>
        <v>Vincent Trocheck</v>
      </c>
      <c r="E33">
        <f>VLOOKUP(Tableau1[[#This Row],[Colonne2]],'BCP stats'!$C$6:$D$305,2,FALSE)</f>
        <v>23</v>
      </c>
      <c r="G33" s="13">
        <v>57</v>
      </c>
      <c r="H33">
        <v>59</v>
      </c>
      <c r="I33">
        <v>58</v>
      </c>
      <c r="J33">
        <v>58</v>
      </c>
      <c r="K33">
        <v>43</v>
      </c>
      <c r="L33">
        <v>55</v>
      </c>
      <c r="M33" s="9">
        <f>AVERAGE(Tableau1[[#This Row],[Lepool.com]:[CBS]])</f>
        <v>55</v>
      </c>
      <c r="N33" s="9">
        <f>VLOOKUP(Tableau1[[#This Row],[Colonne2]],Final!$B$3:$I$302,4,FALSE)</f>
        <v>82</v>
      </c>
      <c r="O33" s="9">
        <f>VLOOKUP(Tableau1[[#This Row],[Colonne2]],Final!$B$3:$I$302,7,FALSE)</f>
        <v>54</v>
      </c>
      <c r="P33">
        <f>Tableau1[[#This Row],[Final]]-Tableau1[[#This Row],[Lepool.com]]</f>
        <v>-3</v>
      </c>
      <c r="Q33">
        <f>Tableau1[[#This Row],[Final]]-Tableau1[[#This Row],[HM]]</f>
        <v>-5</v>
      </c>
      <c r="R33">
        <f>Tableau1[[#This Row],[Final]]-Tableau1[[#This Row],[Pool Pro]]</f>
        <v>-4</v>
      </c>
      <c r="S33">
        <f>Tableau1[[#This Row],[Final]]-Tableau1[[#This Row],[ESPN]]</f>
        <v>11</v>
      </c>
      <c r="T33">
        <f>Tableau1[[#This Row],[Final]]-Tableau1[[#This Row],[CBS]]</f>
        <v>-1</v>
      </c>
      <c r="U33">
        <f>Tableau1[[#This Row],[Final]]-Tableau1[[#This Row],[Moyenne]]</f>
        <v>-1</v>
      </c>
    </row>
    <row r="34" spans="1:21" ht="15.75" thickBot="1" x14ac:dyDescent="0.3">
      <c r="A34" s="1"/>
      <c r="B34" t="s">
        <v>399</v>
      </c>
      <c r="C34" t="s">
        <v>400</v>
      </c>
      <c r="D34" t="str">
        <f>Tableau1[[#This Row],[Prenom]]&amp;" "&amp;Tableau1[[#This Row],[Nom]]</f>
        <v>Rickard Rakell</v>
      </c>
      <c r="E34">
        <f>VLOOKUP(Tableau1[[#This Row],[Colonne2]],'BCP stats'!$C$6:$D$305,2,FALSE)</f>
        <v>23</v>
      </c>
      <c r="G34" s="22">
        <v>49</v>
      </c>
      <c r="H34">
        <v>50</v>
      </c>
      <c r="I34">
        <v>47</v>
      </c>
      <c r="J34">
        <v>46</v>
      </c>
      <c r="K34">
        <v>51</v>
      </c>
      <c r="L34">
        <v>53</v>
      </c>
      <c r="M34" s="9">
        <f>AVERAGE(Tableau1[[#This Row],[Lepool.com]:[CBS]])</f>
        <v>49.333333333333336</v>
      </c>
      <c r="N34" s="9">
        <f>VLOOKUP(Tableau1[[#This Row],[Colonne2]],Final!$B$3:$I$302,4,FALSE)</f>
        <v>71</v>
      </c>
      <c r="O34" s="9">
        <f>VLOOKUP(Tableau1[[#This Row],[Colonne2]],Final!$B$3:$I$302,7,FALSE)</f>
        <v>51</v>
      </c>
      <c r="P34">
        <f>Tableau1[[#This Row],[Final]]-Tableau1[[#This Row],[Lepool.com]]</f>
        <v>2</v>
      </c>
      <c r="Q34">
        <f>Tableau1[[#This Row],[Final]]-Tableau1[[#This Row],[HM]]</f>
        <v>1</v>
      </c>
      <c r="R34">
        <f>Tableau1[[#This Row],[Final]]-Tableau1[[#This Row],[Pool Pro]]</f>
        <v>4</v>
      </c>
      <c r="S34">
        <f>Tableau1[[#This Row],[Final]]-Tableau1[[#This Row],[ESPN]]</f>
        <v>0</v>
      </c>
      <c r="T34">
        <f>Tableau1[[#This Row],[Final]]-Tableau1[[#This Row],[CBS]]</f>
        <v>-2</v>
      </c>
      <c r="U34">
        <f>Tableau1[[#This Row],[Final]]-Tableau1[[#This Row],[Moyenne]]</f>
        <v>1.6666666666666643</v>
      </c>
    </row>
    <row r="35" spans="1:21" ht="15.75" thickBot="1" x14ac:dyDescent="0.3">
      <c r="A35" s="1"/>
      <c r="B35" t="s">
        <v>1533</v>
      </c>
      <c r="C35" t="s">
        <v>1534</v>
      </c>
      <c r="D35" t="str">
        <f>Tableau1[[#This Row],[Prenom]]&amp;" "&amp;Tableau1[[#This Row],[Nom]]</f>
        <v>Dougie Hamilton</v>
      </c>
      <c r="E35">
        <f>VLOOKUP(Tableau1[[#This Row],[Colonne2]],'BCP stats'!$C$6:$D$305,2,FALSE)</f>
        <v>23</v>
      </c>
      <c r="G35" s="22"/>
      <c r="H35">
        <v>45</v>
      </c>
      <c r="I35">
        <v>45</v>
      </c>
      <c r="J35">
        <v>42</v>
      </c>
      <c r="K35">
        <v>44</v>
      </c>
      <c r="L35">
        <v>39</v>
      </c>
      <c r="M35" s="21">
        <f>AVERAGE(Tableau1[[#This Row],[Lepool.com]:[CBS]])</f>
        <v>43</v>
      </c>
      <c r="N35" s="21">
        <f>VLOOKUP(Tableau1[[#This Row],[Colonne2]],Final!$B$3:$I$302,4,FALSE)</f>
        <v>81</v>
      </c>
      <c r="O35" s="9">
        <f>VLOOKUP(Tableau1[[#This Row],[Colonne2]],Final!$B$3:$I$302,7,FALSE)</f>
        <v>50</v>
      </c>
      <c r="P35">
        <f>Tableau1[[#This Row],[Final]]-Tableau1[[#This Row],[Lepool.com]]</f>
        <v>50</v>
      </c>
      <c r="Q35">
        <f>Tableau1[[#This Row],[Final]]-Tableau1[[#This Row],[HM]]</f>
        <v>5</v>
      </c>
      <c r="R35">
        <f>Tableau1[[#This Row],[Final]]-Tableau1[[#This Row],[Pool Pro]]</f>
        <v>5</v>
      </c>
      <c r="S35">
        <f>Tableau1[[#This Row],[Final]]-Tableau1[[#This Row],[ESPN]]</f>
        <v>6</v>
      </c>
      <c r="T35">
        <f>Tableau1[[#This Row],[Final]]-Tableau1[[#This Row],[CBS]]</f>
        <v>11</v>
      </c>
      <c r="U35">
        <f>Tableau1[[#This Row],[Final]]-Tableau1[[#This Row],[Moyenne]]</f>
        <v>7</v>
      </c>
    </row>
    <row r="36" spans="1:21" ht="15.75" thickBot="1" x14ac:dyDescent="0.3">
      <c r="A36" s="2"/>
      <c r="B36" t="s">
        <v>208</v>
      </c>
      <c r="C36" t="s">
        <v>209</v>
      </c>
      <c r="D36" t="str">
        <f>Tableau1[[#This Row],[Prenom]]&amp;" "&amp;Tableau1[[#This Row],[Nom]]</f>
        <v>Nikita Kucherov</v>
      </c>
      <c r="E36">
        <f>VLOOKUP(Tableau1[[#This Row],[Colonne2]],'BCP stats'!$C$6:$D$305,2,FALSE)</f>
        <v>23</v>
      </c>
      <c r="G36" s="13">
        <v>69</v>
      </c>
      <c r="H36">
        <v>72</v>
      </c>
      <c r="I36">
        <v>70</v>
      </c>
      <c r="J36">
        <v>77</v>
      </c>
      <c r="K36">
        <v>74</v>
      </c>
      <c r="L36">
        <v>85</v>
      </c>
      <c r="M36" s="9">
        <f>AVERAGE(Tableau1[[#This Row],[Lepool.com]:[CBS]])</f>
        <v>74.5</v>
      </c>
      <c r="N36" s="9">
        <f>VLOOKUP(Tableau1[[#This Row],[Colonne2]],Final!$B$3:$I$302,4,FALSE)</f>
        <v>74</v>
      </c>
      <c r="O36" s="9">
        <f>VLOOKUP(Tableau1[[#This Row],[Colonne2]],Final!$B$3:$I$302,7,FALSE)</f>
        <v>85</v>
      </c>
      <c r="P36">
        <f>Tableau1[[#This Row],[Final]]-Tableau1[[#This Row],[Lepool.com]]</f>
        <v>16</v>
      </c>
      <c r="Q36">
        <f>Tableau1[[#This Row],[Final]]-Tableau1[[#This Row],[HM]]</f>
        <v>13</v>
      </c>
      <c r="R36">
        <f>Tableau1[[#This Row],[Final]]-Tableau1[[#This Row],[Pool Pro]]</f>
        <v>15</v>
      </c>
      <c r="S36">
        <f>Tableau1[[#This Row],[Final]]-Tableau1[[#This Row],[ESPN]]</f>
        <v>11</v>
      </c>
      <c r="T36">
        <f>Tableau1[[#This Row],[Final]]-Tableau1[[#This Row],[CBS]]</f>
        <v>0</v>
      </c>
      <c r="U36">
        <f>Tableau1[[#This Row],[Final]]-Tableau1[[#This Row],[Moyenne]]</f>
        <v>10.5</v>
      </c>
    </row>
    <row r="37" spans="1:21" ht="15.75" thickBot="1" x14ac:dyDescent="0.3">
      <c r="A37" s="1"/>
      <c r="B37" t="s">
        <v>196</v>
      </c>
      <c r="C37" t="s">
        <v>197</v>
      </c>
      <c r="D37" t="str">
        <f>Tableau1[[#This Row],[Prenom]]&amp;" "&amp;Tableau1[[#This Row],[Nom]]</f>
        <v>Mark Scheifele</v>
      </c>
      <c r="E37">
        <f>VLOOKUP(Tableau1[[#This Row],[Colonne2]],'BCP stats'!$C$6:$D$305,2,FALSE)</f>
        <v>23</v>
      </c>
      <c r="G37" s="13">
        <v>72</v>
      </c>
      <c r="H37">
        <v>68</v>
      </c>
      <c r="I37">
        <v>70</v>
      </c>
      <c r="J37">
        <v>70</v>
      </c>
      <c r="K37">
        <v>61</v>
      </c>
      <c r="L37">
        <v>70</v>
      </c>
      <c r="M37" s="9">
        <f>AVERAGE(Tableau1[[#This Row],[Lepool.com]:[CBS]])</f>
        <v>68.5</v>
      </c>
      <c r="N37" s="9">
        <f>VLOOKUP(Tableau1[[#This Row],[Colonne2]],Final!$B$3:$I$302,4,FALSE)</f>
        <v>79</v>
      </c>
      <c r="O37" s="9">
        <f>VLOOKUP(Tableau1[[#This Row],[Colonne2]],Final!$B$3:$I$302,7,FALSE)</f>
        <v>82</v>
      </c>
      <c r="P37">
        <f>Tableau1[[#This Row],[Final]]-Tableau1[[#This Row],[Lepool.com]]</f>
        <v>10</v>
      </c>
      <c r="Q37">
        <f>Tableau1[[#This Row],[Final]]-Tableau1[[#This Row],[HM]]</f>
        <v>14</v>
      </c>
      <c r="R37">
        <f>Tableau1[[#This Row],[Final]]-Tableau1[[#This Row],[Pool Pro]]</f>
        <v>12</v>
      </c>
      <c r="S37">
        <f>Tableau1[[#This Row],[Final]]-Tableau1[[#This Row],[ESPN]]</f>
        <v>21</v>
      </c>
      <c r="T37">
        <f>Tableau1[[#This Row],[Final]]-Tableau1[[#This Row],[CBS]]</f>
        <v>12</v>
      </c>
      <c r="U37">
        <f>Tableau1[[#This Row],[Final]]-Tableau1[[#This Row],[Moyenne]]</f>
        <v>13.5</v>
      </c>
    </row>
    <row r="38" spans="1:21" ht="15.75" thickBot="1" x14ac:dyDescent="0.3">
      <c r="A38" s="1"/>
      <c r="B38" t="s">
        <v>413</v>
      </c>
      <c r="C38" t="s">
        <v>414</v>
      </c>
      <c r="D38" t="str">
        <f>Tableau1[[#This Row],[Prenom]]&amp;" "&amp;Tableau1[[#This Row],[Nom]]</f>
        <v>J.T. Miller</v>
      </c>
      <c r="E38">
        <f>VLOOKUP(Tableau1[[#This Row],[Colonne2]],'BCP stats'!$C$6:$D$305,2,FALSE)</f>
        <v>23</v>
      </c>
      <c r="G38" s="22">
        <v>49</v>
      </c>
      <c r="H38">
        <v>41</v>
      </c>
      <c r="I38">
        <v>41</v>
      </c>
      <c r="J38">
        <v>43</v>
      </c>
      <c r="K38">
        <v>45</v>
      </c>
      <c r="L38">
        <v>45</v>
      </c>
      <c r="M38" s="9">
        <f>AVERAGE(Tableau1[[#This Row],[Lepool.com]:[CBS]])</f>
        <v>44</v>
      </c>
      <c r="N38" s="9">
        <f>VLOOKUP(Tableau1[[#This Row],[Colonne2]],Final!$B$3:$I$302,4,FALSE)</f>
        <v>82</v>
      </c>
      <c r="O38" s="9">
        <f>VLOOKUP(Tableau1[[#This Row],[Colonne2]],Final!$B$3:$I$302,7,FALSE)</f>
        <v>56</v>
      </c>
      <c r="P38">
        <f>Tableau1[[#This Row],[Final]]-Tableau1[[#This Row],[Lepool.com]]</f>
        <v>7</v>
      </c>
      <c r="Q38">
        <f>Tableau1[[#This Row],[Final]]-Tableau1[[#This Row],[HM]]</f>
        <v>15</v>
      </c>
      <c r="R38">
        <f>Tableau1[[#This Row],[Final]]-Tableau1[[#This Row],[Pool Pro]]</f>
        <v>15</v>
      </c>
      <c r="S38">
        <f>Tableau1[[#This Row],[Final]]-Tableau1[[#This Row],[ESPN]]</f>
        <v>11</v>
      </c>
      <c r="T38">
        <f>Tableau1[[#This Row],[Final]]-Tableau1[[#This Row],[CBS]]</f>
        <v>11</v>
      </c>
      <c r="U38">
        <f>Tableau1[[#This Row],[Final]]-Tableau1[[#This Row],[Moyenne]]</f>
        <v>12</v>
      </c>
    </row>
    <row r="39" spans="1:21" ht="15.75" thickBot="1" x14ac:dyDescent="0.3">
      <c r="A39" s="2"/>
      <c r="B39" t="s">
        <v>166</v>
      </c>
      <c r="C39" t="s">
        <v>256</v>
      </c>
      <c r="D39" t="str">
        <f>Tableau1[[#This Row],[Prenom]]&amp;" "&amp;Tableau1[[#This Row],[Nom]]</f>
        <v>Tyler Toffoli</v>
      </c>
      <c r="E39">
        <f>VLOOKUP(Tableau1[[#This Row],[Colonne2]],'BCP stats'!$C$6:$D$305,2,FALSE)</f>
        <v>24</v>
      </c>
      <c r="G39" s="13">
        <v>61</v>
      </c>
      <c r="H39">
        <v>60</v>
      </c>
      <c r="I39">
        <v>64</v>
      </c>
      <c r="J39">
        <v>60</v>
      </c>
      <c r="K39">
        <v>64</v>
      </c>
      <c r="L39">
        <v>57</v>
      </c>
      <c r="M39" s="9">
        <f>AVERAGE(Tableau1[[#This Row],[Lepool.com]:[CBS]])</f>
        <v>61</v>
      </c>
      <c r="N39" s="9">
        <f>VLOOKUP(Tableau1[[#This Row],[Colonne2]],Final!$B$3:$I$302,4,FALSE)</f>
        <v>63</v>
      </c>
      <c r="O39" s="9">
        <f>VLOOKUP(Tableau1[[#This Row],[Colonne2]],Final!$B$3:$I$302,7,FALSE)</f>
        <v>34</v>
      </c>
      <c r="P39">
        <f>Tableau1[[#This Row],[Final]]-Tableau1[[#This Row],[Lepool.com]]</f>
        <v>-27</v>
      </c>
      <c r="Q39">
        <f>Tableau1[[#This Row],[Final]]-Tableau1[[#This Row],[HM]]</f>
        <v>-26</v>
      </c>
      <c r="R39">
        <f>Tableau1[[#This Row],[Final]]-Tableau1[[#This Row],[Pool Pro]]</f>
        <v>-30</v>
      </c>
      <c r="S39">
        <f>Tableau1[[#This Row],[Final]]-Tableau1[[#This Row],[ESPN]]</f>
        <v>-30</v>
      </c>
      <c r="T39">
        <f>Tableau1[[#This Row],[Final]]-Tableau1[[#This Row],[CBS]]</f>
        <v>-23</v>
      </c>
      <c r="U39">
        <f>Tableau1[[#This Row],[Final]]-Tableau1[[#This Row],[Moyenne]]</f>
        <v>-27</v>
      </c>
    </row>
    <row r="40" spans="1:21" ht="15.75" thickBot="1" x14ac:dyDescent="0.3">
      <c r="A40" s="1"/>
      <c r="B40" t="s">
        <v>312</v>
      </c>
      <c r="C40" t="s">
        <v>313</v>
      </c>
      <c r="D40" t="str">
        <f>Tableau1[[#This Row],[Prenom]]&amp;" "&amp;Tableau1[[#This Row],[Nom]]</f>
        <v>Brendan Gallagher</v>
      </c>
      <c r="E40">
        <f>VLOOKUP(Tableau1[[#This Row],[Colonne2]],'BCP stats'!$C$6:$D$305,2,FALSE)</f>
        <v>24</v>
      </c>
      <c r="G40" s="13">
        <v>55</v>
      </c>
      <c r="H40">
        <v>54</v>
      </c>
      <c r="I40">
        <v>52</v>
      </c>
      <c r="J40">
        <v>47</v>
      </c>
      <c r="K40">
        <v>44</v>
      </c>
      <c r="L40">
        <v>57</v>
      </c>
      <c r="M40" s="9">
        <f>AVERAGE(Tableau1[[#This Row],[Lepool.com]:[CBS]])</f>
        <v>51.5</v>
      </c>
      <c r="N40" s="9">
        <f>VLOOKUP(Tableau1[[#This Row],[Colonne2]],Final!$B$3:$I$302,4,FALSE)</f>
        <v>64</v>
      </c>
      <c r="O40" s="9">
        <f>VLOOKUP(Tableau1[[#This Row],[Colonne2]],Final!$B$3:$I$302,7,FALSE)</f>
        <v>29</v>
      </c>
      <c r="P40">
        <f>Tableau1[[#This Row],[Final]]-Tableau1[[#This Row],[Lepool.com]]</f>
        <v>-26</v>
      </c>
      <c r="Q40">
        <f>Tableau1[[#This Row],[Final]]-Tableau1[[#This Row],[HM]]</f>
        <v>-25</v>
      </c>
      <c r="R40">
        <f>Tableau1[[#This Row],[Final]]-Tableau1[[#This Row],[Pool Pro]]</f>
        <v>-23</v>
      </c>
      <c r="S40">
        <f>Tableau1[[#This Row],[Final]]-Tableau1[[#This Row],[ESPN]]</f>
        <v>-15</v>
      </c>
      <c r="T40">
        <f>Tableau1[[#This Row],[Final]]-Tableau1[[#This Row],[CBS]]</f>
        <v>-28</v>
      </c>
      <c r="U40">
        <f>Tableau1[[#This Row],[Final]]-Tableau1[[#This Row],[Moyenne]]</f>
        <v>-22.5</v>
      </c>
    </row>
    <row r="41" spans="1:21" ht="15.75" thickBot="1" x14ac:dyDescent="0.3">
      <c r="A41" s="1"/>
      <c r="B41" t="s">
        <v>262</v>
      </c>
      <c r="C41" t="s">
        <v>263</v>
      </c>
      <c r="D41" t="str">
        <f>Tableau1[[#This Row],[Prenom]]&amp;" "&amp;Tableau1[[#This Row],[Nom]]</f>
        <v>Gabriel Landeskog</v>
      </c>
      <c r="E41">
        <f>VLOOKUP(Tableau1[[#This Row],[Colonne2]],'BCP stats'!$C$6:$D$305,2,FALSE)</f>
        <v>24</v>
      </c>
      <c r="G41" s="13">
        <v>60</v>
      </c>
      <c r="H41">
        <v>58</v>
      </c>
      <c r="I41">
        <v>54</v>
      </c>
      <c r="J41">
        <v>58</v>
      </c>
      <c r="K41">
        <v>59</v>
      </c>
      <c r="L41">
        <v>59</v>
      </c>
      <c r="M41" s="9">
        <f>AVERAGE(Tableau1[[#This Row],[Lepool.com]:[CBS]])</f>
        <v>58</v>
      </c>
      <c r="N41" s="9">
        <f>VLOOKUP(Tableau1[[#This Row],[Colonne2]],Final!$B$3:$I$302,4,FALSE)</f>
        <v>72</v>
      </c>
      <c r="O41" s="9">
        <f>VLOOKUP(Tableau1[[#This Row],[Colonne2]],Final!$B$3:$I$302,7,FALSE)</f>
        <v>33</v>
      </c>
      <c r="P41">
        <f>Tableau1[[#This Row],[Final]]-Tableau1[[#This Row],[Lepool.com]]</f>
        <v>-27</v>
      </c>
      <c r="Q41">
        <f>Tableau1[[#This Row],[Final]]-Tableau1[[#This Row],[HM]]</f>
        <v>-25</v>
      </c>
      <c r="R41">
        <f>Tableau1[[#This Row],[Final]]-Tableau1[[#This Row],[Pool Pro]]</f>
        <v>-21</v>
      </c>
      <c r="S41">
        <f>Tableau1[[#This Row],[Final]]-Tableau1[[#This Row],[ESPN]]</f>
        <v>-26</v>
      </c>
      <c r="T41">
        <f>Tableau1[[#This Row],[Final]]-Tableau1[[#This Row],[CBS]]</f>
        <v>-26</v>
      </c>
      <c r="U41">
        <f>Tableau1[[#This Row],[Final]]-Tableau1[[#This Row],[Moyenne]]</f>
        <v>-25</v>
      </c>
    </row>
    <row r="42" spans="1:21" ht="15.75" thickBot="1" x14ac:dyDescent="0.3">
      <c r="A42" s="2"/>
      <c r="B42" t="s">
        <v>206</v>
      </c>
      <c r="C42" t="s">
        <v>207</v>
      </c>
      <c r="D42" t="str">
        <f>Tableau1[[#This Row],[Prenom]]&amp;" "&amp;Tableau1[[#This Row],[Nom]]</f>
        <v>Evgeny Kuznetsov</v>
      </c>
      <c r="E42">
        <f>VLOOKUP(Tableau1[[#This Row],[Colonne2]],'BCP stats'!$C$6:$D$305,2,FALSE)</f>
        <v>24</v>
      </c>
      <c r="G42" s="13">
        <v>69</v>
      </c>
      <c r="H42">
        <v>75</v>
      </c>
      <c r="I42">
        <v>72</v>
      </c>
      <c r="J42">
        <v>80</v>
      </c>
      <c r="K42">
        <v>80</v>
      </c>
      <c r="L42">
        <v>71</v>
      </c>
      <c r="M42" s="9">
        <f>AVERAGE(Tableau1[[#This Row],[Lepool.com]:[CBS]])</f>
        <v>74.5</v>
      </c>
      <c r="N42" s="9">
        <f>VLOOKUP(Tableau1[[#This Row],[Colonne2]],Final!$B$3:$I$302,4,FALSE)</f>
        <v>82</v>
      </c>
      <c r="O42" s="9">
        <f>VLOOKUP(Tableau1[[#This Row],[Colonne2]],Final!$B$3:$I$302,7,FALSE)</f>
        <v>59</v>
      </c>
      <c r="P42">
        <f>Tableau1[[#This Row],[Final]]-Tableau1[[#This Row],[Lepool.com]]</f>
        <v>-10</v>
      </c>
      <c r="Q42">
        <f>Tableau1[[#This Row],[Final]]-Tableau1[[#This Row],[HM]]</f>
        <v>-16</v>
      </c>
      <c r="R42">
        <f>Tableau1[[#This Row],[Final]]-Tableau1[[#This Row],[Pool Pro]]</f>
        <v>-13</v>
      </c>
      <c r="S42">
        <f>Tableau1[[#This Row],[Final]]-Tableau1[[#This Row],[ESPN]]</f>
        <v>-21</v>
      </c>
      <c r="T42">
        <f>Tableau1[[#This Row],[Final]]-Tableau1[[#This Row],[CBS]]</f>
        <v>-12</v>
      </c>
      <c r="U42">
        <f>Tableau1[[#This Row],[Final]]-Tableau1[[#This Row],[Moyenne]]</f>
        <v>-15.5</v>
      </c>
    </row>
    <row r="43" spans="1:21" ht="15.75" thickBot="1" x14ac:dyDescent="0.3">
      <c r="A43" s="1"/>
      <c r="B43" t="s">
        <v>210</v>
      </c>
      <c r="C43" t="s">
        <v>403</v>
      </c>
      <c r="D43" t="str">
        <f>Tableau1[[#This Row],[Prenom]]&amp;" "&amp;Tableau1[[#This Row],[Nom]]</f>
        <v>Sean Couturier</v>
      </c>
      <c r="E43">
        <f>VLOOKUP(Tableau1[[#This Row],[Colonne2]],'BCP stats'!$C$6:$D$305,2,FALSE)</f>
        <v>24</v>
      </c>
      <c r="G43" s="22">
        <v>49</v>
      </c>
      <c r="H43">
        <v>49</v>
      </c>
      <c r="I43">
        <v>40</v>
      </c>
      <c r="J43">
        <v>49</v>
      </c>
      <c r="K43">
        <v>39</v>
      </c>
      <c r="L43">
        <v>52</v>
      </c>
      <c r="M43" s="9">
        <f>AVERAGE(Tableau1[[#This Row],[Lepool.com]:[CBS]])</f>
        <v>46.333333333333336</v>
      </c>
      <c r="N43" s="9">
        <f>VLOOKUP(Tableau1[[#This Row],[Colonne2]],Final!$B$3:$I$302,4,FALSE)</f>
        <v>66</v>
      </c>
      <c r="O43" s="9">
        <f>VLOOKUP(Tableau1[[#This Row],[Colonne2]],Final!$B$3:$I$302,7,FALSE)</f>
        <v>34</v>
      </c>
      <c r="P43">
        <f>Tableau1[[#This Row],[Final]]-Tableau1[[#This Row],[Lepool.com]]</f>
        <v>-15</v>
      </c>
      <c r="Q43">
        <f>Tableau1[[#This Row],[Final]]-Tableau1[[#This Row],[HM]]</f>
        <v>-15</v>
      </c>
      <c r="R43">
        <f>Tableau1[[#This Row],[Final]]-Tableau1[[#This Row],[Pool Pro]]</f>
        <v>-6</v>
      </c>
      <c r="S43">
        <f>Tableau1[[#This Row],[Final]]-Tableau1[[#This Row],[ESPN]]</f>
        <v>-5</v>
      </c>
      <c r="T43">
        <f>Tableau1[[#This Row],[Final]]-Tableau1[[#This Row],[CBS]]</f>
        <v>-18</v>
      </c>
      <c r="U43">
        <f>Tableau1[[#This Row],[Final]]-Tableau1[[#This Row],[Moyenne]]</f>
        <v>-12.333333333333336</v>
      </c>
    </row>
    <row r="44" spans="1:21" ht="15.75" thickBot="1" x14ac:dyDescent="0.3">
      <c r="A44" s="1"/>
      <c r="B44" t="s">
        <v>1236</v>
      </c>
      <c r="C44" t="s">
        <v>1237</v>
      </c>
      <c r="D44" t="str">
        <f>Tableau1[[#This Row],[Prenom]]&amp;" "&amp;Tableau1[[#This Row],[Nom]]</f>
        <v>Jean-Gabriel Pageau</v>
      </c>
      <c r="E44">
        <f>VLOOKUP(Tableau1[[#This Row],[Colonne2]],'BCP stats'!$C$6:$D$305,2,FALSE)</f>
        <v>24</v>
      </c>
      <c r="G44" s="22"/>
      <c r="H44">
        <v>47</v>
      </c>
      <c r="I44">
        <v>49</v>
      </c>
      <c r="L44">
        <v>45</v>
      </c>
      <c r="M44" s="21">
        <f>AVERAGE(Tableau1[[#This Row],[Lepool.com]:[CBS]])</f>
        <v>47</v>
      </c>
      <c r="N44" s="21">
        <f>VLOOKUP(Tableau1[[#This Row],[Colonne2]],Final!$B$3:$I$302,4,FALSE)</f>
        <v>82</v>
      </c>
      <c r="O44" s="9">
        <f>VLOOKUP(Tableau1[[#This Row],[Colonne2]],Final!$B$3:$I$302,7,FALSE)</f>
        <v>33</v>
      </c>
      <c r="P44">
        <f>Tableau1[[#This Row],[Final]]-Tableau1[[#This Row],[Lepool.com]]</f>
        <v>33</v>
      </c>
      <c r="Q44">
        <f>Tableau1[[#This Row],[Final]]-Tableau1[[#This Row],[HM]]</f>
        <v>-14</v>
      </c>
      <c r="R44">
        <f>Tableau1[[#This Row],[Final]]-Tableau1[[#This Row],[Pool Pro]]</f>
        <v>-16</v>
      </c>
      <c r="S44">
        <f>Tableau1[[#This Row],[Final]]-Tableau1[[#This Row],[ESPN]]</f>
        <v>33</v>
      </c>
      <c r="T44">
        <f>Tableau1[[#This Row],[Final]]-Tableau1[[#This Row],[CBS]]</f>
        <v>-12</v>
      </c>
      <c r="U44">
        <f>Tableau1[[#This Row],[Final]]-Tableau1[[#This Row],[Moyenne]]</f>
        <v>-14</v>
      </c>
    </row>
    <row r="45" spans="1:21" ht="15.75" thickBot="1" x14ac:dyDescent="0.3">
      <c r="A45" s="2"/>
      <c r="B45" t="s">
        <v>166</v>
      </c>
      <c r="C45" t="s">
        <v>167</v>
      </c>
      <c r="D45" t="str">
        <f>Tableau1[[#This Row],[Prenom]]&amp;" "&amp;Tableau1[[#This Row],[Nom]]</f>
        <v>Tyler Seguin</v>
      </c>
      <c r="E45">
        <f>VLOOKUP(Tableau1[[#This Row],[Colonne2]],'BCP stats'!$C$6:$D$305,2,FALSE)</f>
        <v>24</v>
      </c>
      <c r="G45" s="13">
        <v>85</v>
      </c>
      <c r="H45">
        <v>85</v>
      </c>
      <c r="I45">
        <v>83</v>
      </c>
      <c r="J45">
        <v>75</v>
      </c>
      <c r="K45">
        <v>77</v>
      </c>
      <c r="L45">
        <v>82</v>
      </c>
      <c r="M45" s="9">
        <f>AVERAGE(Tableau1[[#This Row],[Lepool.com]:[CBS]])</f>
        <v>81.166666666666671</v>
      </c>
      <c r="N45" s="9">
        <f>VLOOKUP(Tableau1[[#This Row],[Colonne2]],Final!$B$3:$I$302,4,FALSE)</f>
        <v>82</v>
      </c>
      <c r="O45" s="9">
        <f>VLOOKUP(Tableau1[[#This Row],[Colonne2]],Final!$B$3:$I$302,7,FALSE)</f>
        <v>72</v>
      </c>
      <c r="P45">
        <f>Tableau1[[#This Row],[Final]]-Tableau1[[#This Row],[Lepool.com]]</f>
        <v>-13</v>
      </c>
      <c r="Q45">
        <f>Tableau1[[#This Row],[Final]]-Tableau1[[#This Row],[HM]]</f>
        <v>-13</v>
      </c>
      <c r="R45">
        <f>Tableau1[[#This Row],[Final]]-Tableau1[[#This Row],[Pool Pro]]</f>
        <v>-11</v>
      </c>
      <c r="S45">
        <f>Tableau1[[#This Row],[Final]]-Tableau1[[#This Row],[ESPN]]</f>
        <v>-5</v>
      </c>
      <c r="T45">
        <f>Tableau1[[#This Row],[Final]]-Tableau1[[#This Row],[CBS]]</f>
        <v>-10</v>
      </c>
      <c r="U45">
        <f>Tableau1[[#This Row],[Final]]-Tableau1[[#This Row],[Moyenne]]</f>
        <v>-9.1666666666666714</v>
      </c>
    </row>
    <row r="46" spans="1:21" ht="15.75" thickBot="1" x14ac:dyDescent="0.3">
      <c r="A46" s="1"/>
      <c r="B46" t="s">
        <v>260</v>
      </c>
      <c r="C46" t="s">
        <v>261</v>
      </c>
      <c r="D46" t="str">
        <f>Tableau1[[#This Row],[Prenom]]&amp;" "&amp;Tableau1[[#This Row],[Nom]]</f>
        <v>Jaden Schwartz</v>
      </c>
      <c r="E46">
        <f>VLOOKUP(Tableau1[[#This Row],[Colonne2]],'BCP stats'!$C$6:$D$305,2,FALSE)</f>
        <v>24</v>
      </c>
      <c r="G46" s="13">
        <v>60</v>
      </c>
      <c r="H46">
        <v>66</v>
      </c>
      <c r="I46">
        <v>60</v>
      </c>
      <c r="J46">
        <v>55</v>
      </c>
      <c r="K46">
        <v>50</v>
      </c>
      <c r="L46">
        <v>49</v>
      </c>
      <c r="M46" s="9">
        <f>AVERAGE(Tableau1[[#This Row],[Lepool.com]:[CBS]])</f>
        <v>56.666666666666664</v>
      </c>
      <c r="N46" s="9">
        <f>VLOOKUP(Tableau1[[#This Row],[Colonne2]],Final!$B$3:$I$302,4,FALSE)</f>
        <v>78</v>
      </c>
      <c r="O46" s="9">
        <f>VLOOKUP(Tableau1[[#This Row],[Colonne2]],Final!$B$3:$I$302,7,FALSE)</f>
        <v>55</v>
      </c>
      <c r="P46">
        <f>Tableau1[[#This Row],[Final]]-Tableau1[[#This Row],[Lepool.com]]</f>
        <v>-5</v>
      </c>
      <c r="Q46">
        <f>Tableau1[[#This Row],[Final]]-Tableau1[[#This Row],[HM]]</f>
        <v>-11</v>
      </c>
      <c r="R46">
        <f>Tableau1[[#This Row],[Final]]-Tableau1[[#This Row],[Pool Pro]]</f>
        <v>-5</v>
      </c>
      <c r="S46">
        <f>Tableau1[[#This Row],[Final]]-Tableau1[[#This Row],[ESPN]]</f>
        <v>5</v>
      </c>
      <c r="T46">
        <f>Tableau1[[#This Row],[Final]]-Tableau1[[#This Row],[CBS]]</f>
        <v>6</v>
      </c>
      <c r="U46">
        <f>Tableau1[[#This Row],[Final]]-Tableau1[[#This Row],[Moyenne]]</f>
        <v>-1.6666666666666643</v>
      </c>
    </row>
    <row r="47" spans="1:21" ht="15.75" thickBot="1" x14ac:dyDescent="0.3">
      <c r="A47" s="1"/>
      <c r="B47" t="s">
        <v>170</v>
      </c>
      <c r="C47" t="s">
        <v>279</v>
      </c>
      <c r="D47" t="str">
        <f>Tableau1[[#This Row],[Prenom]]&amp;" "&amp;Tableau1[[#This Row],[Nom]]</f>
        <v>John Klingberg</v>
      </c>
      <c r="E47">
        <f>VLOOKUP(Tableau1[[#This Row],[Colonne2]],'BCP stats'!$C$6:$D$305,2,FALSE)</f>
        <v>24</v>
      </c>
      <c r="G47" s="13">
        <v>58</v>
      </c>
      <c r="H47">
        <v>60</v>
      </c>
      <c r="I47">
        <v>54</v>
      </c>
      <c r="J47">
        <v>58</v>
      </c>
      <c r="K47">
        <v>54</v>
      </c>
      <c r="L47">
        <v>57</v>
      </c>
      <c r="M47" s="9">
        <f>AVERAGE(Tableau1[[#This Row],[Lepool.com]:[CBS]])</f>
        <v>56.833333333333336</v>
      </c>
      <c r="N47" s="9">
        <f>VLOOKUP(Tableau1[[#This Row],[Colonne2]],Final!$B$3:$I$302,4,FALSE)</f>
        <v>80</v>
      </c>
      <c r="O47" s="9">
        <f>VLOOKUP(Tableau1[[#This Row],[Colonne2]],Final!$B$3:$I$302,7,FALSE)</f>
        <v>49</v>
      </c>
      <c r="P47">
        <f>Tableau1[[#This Row],[Final]]-Tableau1[[#This Row],[Lepool.com]]</f>
        <v>-9</v>
      </c>
      <c r="Q47">
        <f>Tableau1[[#This Row],[Final]]-Tableau1[[#This Row],[HM]]</f>
        <v>-11</v>
      </c>
      <c r="R47">
        <f>Tableau1[[#This Row],[Final]]-Tableau1[[#This Row],[Pool Pro]]</f>
        <v>-5</v>
      </c>
      <c r="S47">
        <f>Tableau1[[#This Row],[Final]]-Tableau1[[#This Row],[ESPN]]</f>
        <v>-5</v>
      </c>
      <c r="T47">
        <f>Tableau1[[#This Row],[Final]]-Tableau1[[#This Row],[CBS]]</f>
        <v>-8</v>
      </c>
      <c r="U47">
        <f>Tableau1[[#This Row],[Final]]-Tableau1[[#This Row],[Moyenne]]</f>
        <v>-7.8333333333333357</v>
      </c>
    </row>
    <row r="48" spans="1:21" ht="15.75" thickBot="1" x14ac:dyDescent="0.3">
      <c r="A48" s="2"/>
      <c r="B48" t="s">
        <v>196</v>
      </c>
      <c r="C48" t="s">
        <v>247</v>
      </c>
      <c r="D48" t="str">
        <f>Tableau1[[#This Row],[Prenom]]&amp;" "&amp;Tableau1[[#This Row],[Nom]]</f>
        <v>Mark Stone</v>
      </c>
      <c r="E48">
        <f>VLOOKUP(Tableau1[[#This Row],[Colonne2]],'BCP stats'!$C$6:$D$305,2,FALSE)</f>
        <v>24</v>
      </c>
      <c r="G48" s="13">
        <v>62</v>
      </c>
      <c r="H48">
        <v>65</v>
      </c>
      <c r="I48">
        <v>65</v>
      </c>
      <c r="J48">
        <v>63</v>
      </c>
      <c r="K48">
        <v>62</v>
      </c>
      <c r="L48">
        <v>71</v>
      </c>
      <c r="M48" s="9">
        <f>AVERAGE(Tableau1[[#This Row],[Lepool.com]:[CBS]])</f>
        <v>64.666666666666671</v>
      </c>
      <c r="N48" s="9">
        <f>VLOOKUP(Tableau1[[#This Row],[Colonne2]],Final!$B$3:$I$302,4,FALSE)</f>
        <v>71</v>
      </c>
      <c r="O48" s="9">
        <f>VLOOKUP(Tableau1[[#This Row],[Colonne2]],Final!$B$3:$I$302,7,FALSE)</f>
        <v>54</v>
      </c>
      <c r="P48">
        <f>Tableau1[[#This Row],[Final]]-Tableau1[[#This Row],[Lepool.com]]</f>
        <v>-8</v>
      </c>
      <c r="Q48">
        <f>Tableau1[[#This Row],[Final]]-Tableau1[[#This Row],[HM]]</f>
        <v>-11</v>
      </c>
      <c r="R48">
        <f>Tableau1[[#This Row],[Final]]-Tableau1[[#This Row],[Pool Pro]]</f>
        <v>-11</v>
      </c>
      <c r="S48">
        <f>Tableau1[[#This Row],[Final]]-Tableau1[[#This Row],[ESPN]]</f>
        <v>-8</v>
      </c>
      <c r="T48">
        <f>Tableau1[[#This Row],[Final]]-Tableau1[[#This Row],[CBS]]</f>
        <v>-17</v>
      </c>
      <c r="U48">
        <f>Tableau1[[#This Row],[Final]]-Tableau1[[#This Row],[Moyenne]]</f>
        <v>-10.666666666666671</v>
      </c>
    </row>
    <row r="49" spans="1:21" ht="15.75" thickBot="1" x14ac:dyDescent="0.3">
      <c r="A49" s="1"/>
      <c r="B49" t="s">
        <v>374</v>
      </c>
      <c r="C49" t="s">
        <v>375</v>
      </c>
      <c r="D49" t="str">
        <f>Tableau1[[#This Row],[Prenom]]&amp;" "&amp;Tableau1[[#This Row],[Nom]]</f>
        <v>Justin Faulk</v>
      </c>
      <c r="E49">
        <f>VLOOKUP(Tableau1[[#This Row],[Colonne2]],'BCP stats'!$C$6:$D$305,2,FALSE)</f>
        <v>24</v>
      </c>
      <c r="G49" s="22">
        <v>51</v>
      </c>
      <c r="H49">
        <v>45</v>
      </c>
      <c r="I49">
        <v>47</v>
      </c>
      <c r="J49">
        <v>45</v>
      </c>
      <c r="K49">
        <v>47</v>
      </c>
      <c r="L49">
        <v>48</v>
      </c>
      <c r="M49" s="9">
        <f>AVERAGE(Tableau1[[#This Row],[Lepool.com]:[CBS]])</f>
        <v>47.166666666666664</v>
      </c>
      <c r="N49" s="9">
        <f>VLOOKUP(Tableau1[[#This Row],[Colonne2]],Final!$B$3:$I$302,4,FALSE)</f>
        <v>75</v>
      </c>
      <c r="O49" s="9">
        <f>VLOOKUP(Tableau1[[#This Row],[Colonne2]],Final!$B$3:$I$302,7,FALSE)</f>
        <v>37</v>
      </c>
      <c r="P49">
        <f>Tableau1[[#This Row],[Final]]-Tableau1[[#This Row],[Lepool.com]]</f>
        <v>-14</v>
      </c>
      <c r="Q49">
        <f>Tableau1[[#This Row],[Final]]-Tableau1[[#This Row],[HM]]</f>
        <v>-8</v>
      </c>
      <c r="R49">
        <f>Tableau1[[#This Row],[Final]]-Tableau1[[#This Row],[Pool Pro]]</f>
        <v>-10</v>
      </c>
      <c r="S49">
        <f>Tableau1[[#This Row],[Final]]-Tableau1[[#This Row],[ESPN]]</f>
        <v>-10</v>
      </c>
      <c r="T49">
        <f>Tableau1[[#This Row],[Final]]-Tableau1[[#This Row],[CBS]]</f>
        <v>-11</v>
      </c>
      <c r="U49">
        <f>Tableau1[[#This Row],[Final]]-Tableau1[[#This Row],[Moyenne]]</f>
        <v>-10.166666666666664</v>
      </c>
    </row>
    <row r="50" spans="1:21" ht="15.75" thickBot="1" x14ac:dyDescent="0.3">
      <c r="A50" s="1"/>
      <c r="B50" t="s">
        <v>188</v>
      </c>
      <c r="C50" t="s">
        <v>388</v>
      </c>
      <c r="D50" t="str">
        <f>Tableau1[[#This Row],[Prenom]]&amp;" "&amp;Tableau1[[#This Row],[Nom]]</f>
        <v>Ryan Spooner</v>
      </c>
      <c r="E50">
        <f>VLOOKUP(Tableau1[[#This Row],[Colonne2]],'BCP stats'!$C$6:$D$305,2,FALSE)</f>
        <v>24</v>
      </c>
      <c r="G50" s="22">
        <v>50</v>
      </c>
      <c r="H50">
        <v>46</v>
      </c>
      <c r="I50">
        <v>45</v>
      </c>
      <c r="J50">
        <v>50</v>
      </c>
      <c r="K50">
        <v>46</v>
      </c>
      <c r="L50">
        <v>52</v>
      </c>
      <c r="M50" s="9">
        <f>AVERAGE(Tableau1[[#This Row],[Lepool.com]:[CBS]])</f>
        <v>48.166666666666664</v>
      </c>
      <c r="N50" s="9">
        <f>VLOOKUP(Tableau1[[#This Row],[Colonne2]],Final!$B$3:$I$302,4,FALSE)</f>
        <v>78</v>
      </c>
      <c r="O50" s="9">
        <f>VLOOKUP(Tableau1[[#This Row],[Colonne2]],Final!$B$3:$I$302,7,FALSE)</f>
        <v>39</v>
      </c>
      <c r="P50">
        <f>Tableau1[[#This Row],[Final]]-Tableau1[[#This Row],[Lepool.com]]</f>
        <v>-11</v>
      </c>
      <c r="Q50">
        <f>Tableau1[[#This Row],[Final]]-Tableau1[[#This Row],[HM]]</f>
        <v>-7</v>
      </c>
      <c r="R50">
        <f>Tableau1[[#This Row],[Final]]-Tableau1[[#This Row],[Pool Pro]]</f>
        <v>-6</v>
      </c>
      <c r="S50">
        <f>Tableau1[[#This Row],[Final]]-Tableau1[[#This Row],[ESPN]]</f>
        <v>-7</v>
      </c>
      <c r="T50">
        <f>Tableau1[[#This Row],[Final]]-Tableau1[[#This Row],[CBS]]</f>
        <v>-13</v>
      </c>
      <c r="U50">
        <f>Tableau1[[#This Row],[Final]]-Tableau1[[#This Row],[Moyenne]]</f>
        <v>-9.1666666666666643</v>
      </c>
    </row>
    <row r="51" spans="1:21" ht="15.75" thickBot="1" x14ac:dyDescent="0.3">
      <c r="A51" s="2"/>
      <c r="B51" t="s">
        <v>303</v>
      </c>
      <c r="C51" t="s">
        <v>304</v>
      </c>
      <c r="D51" t="str">
        <f>Tableau1[[#This Row],[Prenom]]&amp;" "&amp;Tableau1[[#This Row],[Nom]]</f>
        <v>Brandon Saad</v>
      </c>
      <c r="E51">
        <f>VLOOKUP(Tableau1[[#This Row],[Colonne2]],'BCP stats'!$C$6:$D$305,2,FALSE)</f>
        <v>24</v>
      </c>
      <c r="G51" s="13">
        <v>56</v>
      </c>
      <c r="H51">
        <v>57</v>
      </c>
      <c r="I51">
        <v>55</v>
      </c>
      <c r="J51">
        <v>58</v>
      </c>
      <c r="K51">
        <v>54</v>
      </c>
      <c r="L51">
        <v>54</v>
      </c>
      <c r="M51" s="9">
        <f>AVERAGE(Tableau1[[#This Row],[Lepool.com]:[CBS]])</f>
        <v>55.666666666666664</v>
      </c>
      <c r="N51" s="9">
        <f>VLOOKUP(Tableau1[[#This Row],[Colonne2]],Final!$B$3:$I$302,4,FALSE)</f>
        <v>82</v>
      </c>
      <c r="O51" s="9">
        <f>VLOOKUP(Tableau1[[#This Row],[Colonne2]],Final!$B$3:$I$302,7,FALSE)</f>
        <v>53</v>
      </c>
      <c r="P51">
        <f>Tableau1[[#This Row],[Final]]-Tableau1[[#This Row],[Lepool.com]]</f>
        <v>-3</v>
      </c>
      <c r="Q51">
        <f>Tableau1[[#This Row],[Final]]-Tableau1[[#This Row],[HM]]</f>
        <v>-4</v>
      </c>
      <c r="R51">
        <f>Tableau1[[#This Row],[Final]]-Tableau1[[#This Row],[Pool Pro]]</f>
        <v>-2</v>
      </c>
      <c r="S51">
        <f>Tableau1[[#This Row],[Final]]-Tableau1[[#This Row],[ESPN]]</f>
        <v>-1</v>
      </c>
      <c r="T51">
        <f>Tableau1[[#This Row],[Final]]-Tableau1[[#This Row],[CBS]]</f>
        <v>-1</v>
      </c>
      <c r="U51">
        <f>Tableau1[[#This Row],[Final]]-Tableau1[[#This Row],[Moyenne]]</f>
        <v>-2.6666666666666643</v>
      </c>
    </row>
    <row r="52" spans="1:21" ht="15.75" thickBot="1" x14ac:dyDescent="0.3">
      <c r="A52" s="1"/>
      <c r="B52" t="s">
        <v>188</v>
      </c>
      <c r="C52" t="s">
        <v>201</v>
      </c>
      <c r="D52" t="str">
        <f>Tableau1[[#This Row],[Prenom]]&amp;" "&amp;Tableau1[[#This Row],[Nom]]</f>
        <v>Ryan Johansen</v>
      </c>
      <c r="E52">
        <f>VLOOKUP(Tableau1[[#This Row],[Colonne2]],'BCP stats'!$C$6:$D$305,2,FALSE)</f>
        <v>24</v>
      </c>
      <c r="G52" s="13">
        <v>71</v>
      </c>
      <c r="H52">
        <v>65</v>
      </c>
      <c r="I52">
        <v>70</v>
      </c>
      <c r="J52">
        <v>69</v>
      </c>
      <c r="K52">
        <v>54</v>
      </c>
      <c r="L52">
        <v>64</v>
      </c>
      <c r="M52" s="9">
        <f>AVERAGE(Tableau1[[#This Row],[Lepool.com]:[CBS]])</f>
        <v>65.5</v>
      </c>
      <c r="N52" s="9">
        <f>VLOOKUP(Tableau1[[#This Row],[Colonne2]],Final!$B$3:$I$302,4,FALSE)</f>
        <v>82</v>
      </c>
      <c r="O52" s="9">
        <f>VLOOKUP(Tableau1[[#This Row],[Colonne2]],Final!$B$3:$I$302,7,FALSE)</f>
        <v>61</v>
      </c>
      <c r="P52">
        <f>Tableau1[[#This Row],[Final]]-Tableau1[[#This Row],[Lepool.com]]</f>
        <v>-10</v>
      </c>
      <c r="Q52">
        <f>Tableau1[[#This Row],[Final]]-Tableau1[[#This Row],[HM]]</f>
        <v>-4</v>
      </c>
      <c r="R52">
        <f>Tableau1[[#This Row],[Final]]-Tableau1[[#This Row],[Pool Pro]]</f>
        <v>-9</v>
      </c>
      <c r="S52">
        <f>Tableau1[[#This Row],[Final]]-Tableau1[[#This Row],[ESPN]]</f>
        <v>7</v>
      </c>
      <c r="T52">
        <f>Tableau1[[#This Row],[Final]]-Tableau1[[#This Row],[CBS]]</f>
        <v>-3</v>
      </c>
      <c r="U52">
        <f>Tableau1[[#This Row],[Final]]-Tableau1[[#This Row],[Moyenne]]</f>
        <v>-4.5</v>
      </c>
    </row>
    <row r="53" spans="1:21" ht="15.75" thickBot="1" x14ac:dyDescent="0.3">
      <c r="A53" s="1"/>
      <c r="B53" t="s">
        <v>277</v>
      </c>
      <c r="C53" t="s">
        <v>305</v>
      </c>
      <c r="D53" t="str">
        <f>Tableau1[[#This Row],[Prenom]]&amp;" "&amp;Tableau1[[#This Row],[Nom]]</f>
        <v>Jeff Skinner</v>
      </c>
      <c r="E53">
        <f>VLOOKUP(Tableau1[[#This Row],[Colonne2]],'BCP stats'!$C$6:$D$305,2,FALSE)</f>
        <v>24</v>
      </c>
      <c r="G53" s="13">
        <v>56</v>
      </c>
      <c r="H53">
        <v>55</v>
      </c>
      <c r="I53">
        <v>56</v>
      </c>
      <c r="J53">
        <v>55</v>
      </c>
      <c r="K53">
        <v>53</v>
      </c>
      <c r="L53">
        <v>52</v>
      </c>
      <c r="M53" s="9">
        <f>AVERAGE(Tableau1[[#This Row],[Lepool.com]:[CBS]])</f>
        <v>54.5</v>
      </c>
      <c r="N53" s="9">
        <f>VLOOKUP(Tableau1[[#This Row],[Colonne2]],Final!$B$3:$I$302,4,FALSE)</f>
        <v>79</v>
      </c>
      <c r="O53" s="9">
        <f>VLOOKUP(Tableau1[[#This Row],[Colonne2]],Final!$B$3:$I$302,7,FALSE)</f>
        <v>63</v>
      </c>
      <c r="P53">
        <f>Tableau1[[#This Row],[Final]]-Tableau1[[#This Row],[Lepool.com]]</f>
        <v>7</v>
      </c>
      <c r="Q53">
        <f>Tableau1[[#This Row],[Final]]-Tableau1[[#This Row],[HM]]</f>
        <v>8</v>
      </c>
      <c r="R53">
        <f>Tableau1[[#This Row],[Final]]-Tableau1[[#This Row],[Pool Pro]]</f>
        <v>7</v>
      </c>
      <c r="S53">
        <f>Tableau1[[#This Row],[Final]]-Tableau1[[#This Row],[ESPN]]</f>
        <v>10</v>
      </c>
      <c r="T53">
        <f>Tableau1[[#This Row],[Final]]-Tableau1[[#This Row],[CBS]]</f>
        <v>11</v>
      </c>
      <c r="U53">
        <f>Tableau1[[#This Row],[Final]]-Tableau1[[#This Row],[Moyenne]]</f>
        <v>8.5</v>
      </c>
    </row>
    <row r="54" spans="1:21" ht="15.75" thickBot="1" x14ac:dyDescent="0.3">
      <c r="A54" s="2"/>
      <c r="B54" t="s">
        <v>407</v>
      </c>
      <c r="C54" t="s">
        <v>408</v>
      </c>
      <c r="D54" t="str">
        <f>Tableau1[[#This Row],[Prenom]]&amp;" "&amp;Tableau1[[#This Row],[Nom]]</f>
        <v>Charlie Coyle</v>
      </c>
      <c r="E54">
        <f>VLOOKUP(Tableau1[[#This Row],[Colonne2]],'BCP stats'!$C$6:$D$305,2,FALSE)</f>
        <v>24</v>
      </c>
      <c r="G54" s="22">
        <v>49</v>
      </c>
      <c r="H54">
        <v>47</v>
      </c>
      <c r="I54">
        <v>46</v>
      </c>
      <c r="J54">
        <v>50</v>
      </c>
      <c r="L54">
        <v>40</v>
      </c>
      <c r="M54" s="9">
        <f>AVERAGE(Tableau1[[#This Row],[Lepool.com]:[CBS]])</f>
        <v>46.4</v>
      </c>
      <c r="N54" s="9">
        <f>VLOOKUP(Tableau1[[#This Row],[Colonne2]],Final!$B$3:$I$302,4,FALSE)</f>
        <v>82</v>
      </c>
      <c r="O54" s="9">
        <f>VLOOKUP(Tableau1[[#This Row],[Colonne2]],Final!$B$3:$I$302,7,FALSE)</f>
        <v>56</v>
      </c>
      <c r="P54">
        <f>Tableau1[[#This Row],[Final]]-Tableau1[[#This Row],[Lepool.com]]</f>
        <v>7</v>
      </c>
      <c r="Q54">
        <f>Tableau1[[#This Row],[Final]]-Tableau1[[#This Row],[HM]]</f>
        <v>9</v>
      </c>
      <c r="R54">
        <f>Tableau1[[#This Row],[Final]]-Tableau1[[#This Row],[Pool Pro]]</f>
        <v>10</v>
      </c>
      <c r="S54">
        <f>Tableau1[[#This Row],[Final]]-Tableau1[[#This Row],[ESPN]]</f>
        <v>56</v>
      </c>
      <c r="T54">
        <f>Tableau1[[#This Row],[Final]]-Tableau1[[#This Row],[CBS]]</f>
        <v>16</v>
      </c>
      <c r="U54">
        <f>Tableau1[[#This Row],[Final]]-Tableau1[[#This Row],[Moyenne]]</f>
        <v>9.6000000000000014</v>
      </c>
    </row>
    <row r="55" spans="1:21" ht="15.75" thickBot="1" x14ac:dyDescent="0.3">
      <c r="A55" s="1"/>
      <c r="B55" t="s">
        <v>438</v>
      </c>
      <c r="C55" t="s">
        <v>439</v>
      </c>
      <c r="D55" t="str">
        <f>Tableau1[[#This Row],[Prenom]]&amp;" "&amp;Tableau1[[#This Row],[Nom]]</f>
        <v>Nino Niederreiter</v>
      </c>
      <c r="E55">
        <f>VLOOKUP(Tableau1[[#This Row],[Colonne2]],'BCP stats'!$C$6:$D$305,2,FALSE)</f>
        <v>24</v>
      </c>
      <c r="G55" s="22">
        <v>46</v>
      </c>
      <c r="H55">
        <v>46</v>
      </c>
      <c r="I55">
        <v>48</v>
      </c>
      <c r="J55">
        <v>48</v>
      </c>
      <c r="K55">
        <v>39</v>
      </c>
      <c r="L55">
        <v>44</v>
      </c>
      <c r="M55" s="9">
        <f>AVERAGE(Tableau1[[#This Row],[Lepool.com]:[CBS]])</f>
        <v>45.166666666666664</v>
      </c>
      <c r="N55" s="9">
        <f>VLOOKUP(Tableau1[[#This Row],[Colonne2]],Final!$B$3:$I$302,4,FALSE)</f>
        <v>82</v>
      </c>
      <c r="O55" s="9">
        <f>VLOOKUP(Tableau1[[#This Row],[Colonne2]],Final!$B$3:$I$302,7,FALSE)</f>
        <v>57</v>
      </c>
      <c r="P55">
        <f>Tableau1[[#This Row],[Final]]-Tableau1[[#This Row],[Lepool.com]]</f>
        <v>11</v>
      </c>
      <c r="Q55">
        <f>Tableau1[[#This Row],[Final]]-Tableau1[[#This Row],[HM]]</f>
        <v>11</v>
      </c>
      <c r="R55">
        <f>Tableau1[[#This Row],[Final]]-Tableau1[[#This Row],[Pool Pro]]</f>
        <v>9</v>
      </c>
      <c r="S55">
        <f>Tableau1[[#This Row],[Final]]-Tableau1[[#This Row],[ESPN]]</f>
        <v>18</v>
      </c>
      <c r="T55">
        <f>Tableau1[[#This Row],[Final]]-Tableau1[[#This Row],[CBS]]</f>
        <v>13</v>
      </c>
      <c r="U55">
        <f>Tableau1[[#This Row],[Final]]-Tableau1[[#This Row],[Moyenne]]</f>
        <v>11.833333333333336</v>
      </c>
    </row>
    <row r="56" spans="1:21" ht="15.75" thickBot="1" x14ac:dyDescent="0.3">
      <c r="A56" s="1"/>
      <c r="B56" t="s">
        <v>386</v>
      </c>
      <c r="C56" t="s">
        <v>387</v>
      </c>
      <c r="D56" t="str">
        <f>Tableau1[[#This Row],[Prenom]]&amp;" "&amp;Tableau1[[#This Row],[Nom]]</f>
        <v>Mikael Granlund</v>
      </c>
      <c r="E56">
        <f>VLOOKUP(Tableau1[[#This Row],[Colonne2]],'BCP stats'!$C$6:$D$305,2,FALSE)</f>
        <v>24</v>
      </c>
      <c r="G56" s="22">
        <v>50</v>
      </c>
      <c r="H56">
        <v>46</v>
      </c>
      <c r="I56">
        <v>46</v>
      </c>
      <c r="J56">
        <v>42</v>
      </c>
      <c r="L56">
        <v>42</v>
      </c>
      <c r="M56" s="9">
        <f>AVERAGE(Tableau1[[#This Row],[Lepool.com]:[CBS]])</f>
        <v>45.2</v>
      </c>
      <c r="N56" s="9">
        <f>VLOOKUP(Tableau1[[#This Row],[Colonne2]],Final!$B$3:$I$302,4,FALSE)</f>
        <v>81</v>
      </c>
      <c r="O56" s="9">
        <f>VLOOKUP(Tableau1[[#This Row],[Colonne2]],Final!$B$3:$I$302,7,FALSE)</f>
        <v>69</v>
      </c>
      <c r="P56">
        <f>Tableau1[[#This Row],[Final]]-Tableau1[[#This Row],[Lepool.com]]</f>
        <v>19</v>
      </c>
      <c r="Q56">
        <f>Tableau1[[#This Row],[Final]]-Tableau1[[#This Row],[HM]]</f>
        <v>23</v>
      </c>
      <c r="R56">
        <f>Tableau1[[#This Row],[Final]]-Tableau1[[#This Row],[Pool Pro]]</f>
        <v>23</v>
      </c>
      <c r="S56">
        <f>Tableau1[[#This Row],[Final]]-Tableau1[[#This Row],[ESPN]]</f>
        <v>69</v>
      </c>
      <c r="T56">
        <f>Tableau1[[#This Row],[Final]]-Tableau1[[#This Row],[CBS]]</f>
        <v>27</v>
      </c>
      <c r="U56">
        <f>Tableau1[[#This Row],[Final]]-Tableau1[[#This Row],[Moyenne]]</f>
        <v>23.799999999999997</v>
      </c>
    </row>
    <row r="57" spans="1:21" ht="15.75" thickBot="1" x14ac:dyDescent="0.3">
      <c r="A57" s="2"/>
      <c r="B57" t="s">
        <v>245</v>
      </c>
      <c r="C57" t="s">
        <v>246</v>
      </c>
      <c r="D57" t="str">
        <f>Tableau1[[#This Row],[Prenom]]&amp;" "&amp;Tableau1[[#This Row],[Nom]]</f>
        <v>Matt Duchene</v>
      </c>
      <c r="E57">
        <f>VLOOKUP(Tableau1[[#This Row],[Colonne2]],'BCP stats'!$C$6:$D$305,2,FALSE)</f>
        <v>25</v>
      </c>
      <c r="G57" s="13">
        <v>62</v>
      </c>
      <c r="H57">
        <v>65</v>
      </c>
      <c r="I57">
        <v>61</v>
      </c>
      <c r="J57">
        <v>64</v>
      </c>
      <c r="K57">
        <v>58</v>
      </c>
      <c r="L57">
        <v>64</v>
      </c>
      <c r="M57" s="9">
        <f>AVERAGE(Tableau1[[#This Row],[Lepool.com]:[CBS]])</f>
        <v>62.333333333333336</v>
      </c>
      <c r="N57" s="9">
        <f>VLOOKUP(Tableau1[[#This Row],[Colonne2]],Final!$B$3:$I$302,4,FALSE)</f>
        <v>77</v>
      </c>
      <c r="O57" s="9">
        <f>VLOOKUP(Tableau1[[#This Row],[Colonne2]],Final!$B$3:$I$302,7,FALSE)</f>
        <v>41</v>
      </c>
      <c r="P57">
        <f>Tableau1[[#This Row],[Final]]-Tableau1[[#This Row],[Lepool.com]]</f>
        <v>-21</v>
      </c>
      <c r="Q57">
        <f>Tableau1[[#This Row],[Final]]-Tableau1[[#This Row],[HM]]</f>
        <v>-24</v>
      </c>
      <c r="R57">
        <f>Tableau1[[#This Row],[Final]]-Tableau1[[#This Row],[Pool Pro]]</f>
        <v>-20</v>
      </c>
      <c r="S57">
        <f>Tableau1[[#This Row],[Final]]-Tableau1[[#This Row],[ESPN]]</f>
        <v>-17</v>
      </c>
      <c r="T57">
        <f>Tableau1[[#This Row],[Final]]-Tableau1[[#This Row],[CBS]]</f>
        <v>-23</v>
      </c>
      <c r="U57">
        <f>Tableau1[[#This Row],[Final]]-Tableau1[[#This Row],[Moyenne]]</f>
        <v>-21.333333333333336</v>
      </c>
    </row>
    <row r="58" spans="1:21" ht="15.75" thickBot="1" x14ac:dyDescent="0.3">
      <c r="A58" s="1"/>
      <c r="B58" t="s">
        <v>296</v>
      </c>
      <c r="C58" t="s">
        <v>1515</v>
      </c>
      <c r="D58" t="str">
        <f>Tableau1[[#This Row],[Prenom]]&amp;" "&amp;Tableau1[[#This Row],[Nom]]</f>
        <v>Oliver Ekman-Larsson</v>
      </c>
      <c r="E58">
        <f>VLOOKUP(Tableau1[[#This Row],[Colonne2]],'BCP stats'!$C$6:$D$305,2,FALSE)</f>
        <v>25</v>
      </c>
      <c r="G58" s="13">
        <v>57</v>
      </c>
      <c r="H58">
        <v>57</v>
      </c>
      <c r="I58">
        <v>58</v>
      </c>
      <c r="J58">
        <v>61</v>
      </c>
      <c r="K58">
        <v>56</v>
      </c>
      <c r="L58">
        <v>58</v>
      </c>
      <c r="M58" s="9">
        <f>AVERAGE(Tableau1[[#This Row],[Lepool.com]:[CBS]])</f>
        <v>57.833333333333336</v>
      </c>
      <c r="N58" s="9">
        <f>VLOOKUP(Tableau1[[#This Row],[Colonne2]],Final!$B$3:$I$302,4,FALSE)</f>
        <v>79</v>
      </c>
      <c r="O58" s="9">
        <f>VLOOKUP(Tableau1[[#This Row],[Colonne2]],Final!$B$3:$I$302,7,FALSE)</f>
        <v>39</v>
      </c>
      <c r="P58">
        <f>Tableau1[[#This Row],[Final]]-Tableau1[[#This Row],[Lepool.com]]</f>
        <v>-18</v>
      </c>
      <c r="Q58">
        <f>Tableau1[[#This Row],[Final]]-Tableau1[[#This Row],[HM]]</f>
        <v>-18</v>
      </c>
      <c r="R58">
        <f>Tableau1[[#This Row],[Final]]-Tableau1[[#This Row],[Pool Pro]]</f>
        <v>-19</v>
      </c>
      <c r="S58">
        <f>Tableau1[[#This Row],[Final]]-Tableau1[[#This Row],[ESPN]]</f>
        <v>-17</v>
      </c>
      <c r="T58">
        <f>Tableau1[[#This Row],[Final]]-Tableau1[[#This Row],[CBS]]</f>
        <v>-19</v>
      </c>
      <c r="U58">
        <f>Tableau1[[#This Row],[Final]]-Tableau1[[#This Row],[Moyenne]]</f>
        <v>-18.833333333333336</v>
      </c>
    </row>
    <row r="59" spans="1:21" ht="15.75" thickBot="1" x14ac:dyDescent="0.3">
      <c r="A59" s="1"/>
      <c r="B59" t="s">
        <v>428</v>
      </c>
      <c r="C59" t="s">
        <v>429</v>
      </c>
      <c r="D59" t="str">
        <f>Tableau1[[#This Row],[Prenom]]&amp;" "&amp;Tableau1[[#This Row],[Nom]]</f>
        <v>Reilly Smith</v>
      </c>
      <c r="E59">
        <f>VLOOKUP(Tableau1[[#This Row],[Colonne2]],'BCP stats'!$C$6:$D$305,2,FALSE)</f>
        <v>25</v>
      </c>
      <c r="G59" s="22">
        <v>47</v>
      </c>
      <c r="H59">
        <v>52</v>
      </c>
      <c r="I59">
        <v>48</v>
      </c>
      <c r="J59">
        <v>52</v>
      </c>
      <c r="K59">
        <v>42</v>
      </c>
      <c r="L59">
        <v>51</v>
      </c>
      <c r="M59" s="9">
        <f>AVERAGE(Tableau1[[#This Row],[Lepool.com]:[CBS]])</f>
        <v>48.666666666666664</v>
      </c>
      <c r="N59" s="9">
        <f>VLOOKUP(Tableau1[[#This Row],[Colonne2]],Final!$B$3:$I$302,4,FALSE)</f>
        <v>80</v>
      </c>
      <c r="O59" s="9">
        <f>VLOOKUP(Tableau1[[#This Row],[Colonne2]],Final!$B$3:$I$302,7,FALSE)</f>
        <v>37</v>
      </c>
      <c r="P59">
        <f>Tableau1[[#This Row],[Final]]-Tableau1[[#This Row],[Lepool.com]]</f>
        <v>-10</v>
      </c>
      <c r="Q59">
        <f>Tableau1[[#This Row],[Final]]-Tableau1[[#This Row],[HM]]</f>
        <v>-15</v>
      </c>
      <c r="R59">
        <f>Tableau1[[#This Row],[Final]]-Tableau1[[#This Row],[Pool Pro]]</f>
        <v>-11</v>
      </c>
      <c r="S59">
        <f>Tableau1[[#This Row],[Final]]-Tableau1[[#This Row],[ESPN]]</f>
        <v>-5</v>
      </c>
      <c r="T59">
        <f>Tableau1[[#This Row],[Final]]-Tableau1[[#This Row],[CBS]]</f>
        <v>-14</v>
      </c>
      <c r="U59">
        <f>Tableau1[[#This Row],[Final]]-Tableau1[[#This Row],[Moyenne]]</f>
        <v>-11.666666666666664</v>
      </c>
    </row>
    <row r="60" spans="1:21" ht="15.75" thickBot="1" x14ac:dyDescent="0.3">
      <c r="A60" s="2"/>
      <c r="B60" t="s">
        <v>224</v>
      </c>
      <c r="C60" t="s">
        <v>225</v>
      </c>
      <c r="D60" t="str">
        <f>Tableau1[[#This Row],[Prenom]]&amp;" "&amp;Tableau1[[#This Row],[Nom]]</f>
        <v>Taylor Hall</v>
      </c>
      <c r="E60">
        <f>VLOOKUP(Tableau1[[#This Row],[Colonne2]],'BCP stats'!$C$6:$D$305,2,FALSE)</f>
        <v>25</v>
      </c>
      <c r="G60" s="13">
        <v>66</v>
      </c>
      <c r="H60">
        <v>67</v>
      </c>
      <c r="I60">
        <v>68</v>
      </c>
      <c r="J60">
        <v>68</v>
      </c>
      <c r="K60">
        <v>63</v>
      </c>
      <c r="L60">
        <v>64</v>
      </c>
      <c r="M60" s="9">
        <f>AVERAGE(Tableau1[[#This Row],[Lepool.com]:[CBS]])</f>
        <v>66</v>
      </c>
      <c r="N60" s="9">
        <f>VLOOKUP(Tableau1[[#This Row],[Colonne2]],Final!$B$3:$I$302,4,FALSE)</f>
        <v>72</v>
      </c>
      <c r="O60" s="9">
        <f>VLOOKUP(Tableau1[[#This Row],[Colonne2]],Final!$B$3:$I$302,7,FALSE)</f>
        <v>53</v>
      </c>
      <c r="P60">
        <f>Tableau1[[#This Row],[Final]]-Tableau1[[#This Row],[Lepool.com]]</f>
        <v>-13</v>
      </c>
      <c r="Q60">
        <f>Tableau1[[#This Row],[Final]]-Tableau1[[#This Row],[HM]]</f>
        <v>-14</v>
      </c>
      <c r="R60">
        <f>Tableau1[[#This Row],[Final]]-Tableau1[[#This Row],[Pool Pro]]</f>
        <v>-15</v>
      </c>
      <c r="S60">
        <f>Tableau1[[#This Row],[Final]]-Tableau1[[#This Row],[ESPN]]</f>
        <v>-10</v>
      </c>
      <c r="T60">
        <f>Tableau1[[#This Row],[Final]]-Tableau1[[#This Row],[CBS]]</f>
        <v>-11</v>
      </c>
      <c r="U60">
        <f>Tableau1[[#This Row],[Final]]-Tableau1[[#This Row],[Moyenne]]</f>
        <v>-13</v>
      </c>
    </row>
    <row r="61" spans="1:21" ht="15.75" thickBot="1" x14ac:dyDescent="0.3">
      <c r="A61" s="1"/>
      <c r="B61" t="s">
        <v>188</v>
      </c>
      <c r="C61" t="s">
        <v>241</v>
      </c>
      <c r="D61" t="str">
        <f>Tableau1[[#This Row],[Prenom]]&amp;" "&amp;Tableau1[[#This Row],[Nom]]</f>
        <v>Ryan O'Reilly</v>
      </c>
      <c r="E61">
        <f>VLOOKUP(Tableau1[[#This Row],[Colonne2]],'BCP stats'!$C$6:$D$305,2,FALSE)</f>
        <v>25</v>
      </c>
      <c r="G61" s="13">
        <v>63</v>
      </c>
      <c r="H61">
        <v>68</v>
      </c>
      <c r="I61">
        <v>64</v>
      </c>
      <c r="J61">
        <v>59</v>
      </c>
      <c r="K61">
        <v>59</v>
      </c>
      <c r="L61">
        <v>65</v>
      </c>
      <c r="M61" s="9">
        <f>AVERAGE(Tableau1[[#This Row],[Lepool.com]:[CBS]])</f>
        <v>63</v>
      </c>
      <c r="N61" s="9">
        <f>VLOOKUP(Tableau1[[#This Row],[Colonne2]],Final!$B$3:$I$302,4,FALSE)</f>
        <v>72</v>
      </c>
      <c r="O61" s="9">
        <f>VLOOKUP(Tableau1[[#This Row],[Colonne2]],Final!$B$3:$I$302,7,FALSE)</f>
        <v>55</v>
      </c>
      <c r="P61">
        <f>Tableau1[[#This Row],[Final]]-Tableau1[[#This Row],[Lepool.com]]</f>
        <v>-8</v>
      </c>
      <c r="Q61">
        <f>Tableau1[[#This Row],[Final]]-Tableau1[[#This Row],[HM]]</f>
        <v>-13</v>
      </c>
      <c r="R61">
        <f>Tableau1[[#This Row],[Final]]-Tableau1[[#This Row],[Pool Pro]]</f>
        <v>-9</v>
      </c>
      <c r="S61">
        <f>Tableau1[[#This Row],[Final]]-Tableau1[[#This Row],[ESPN]]</f>
        <v>-4</v>
      </c>
      <c r="T61">
        <f>Tableau1[[#This Row],[Final]]-Tableau1[[#This Row],[CBS]]</f>
        <v>-10</v>
      </c>
      <c r="U61">
        <f>Tableau1[[#This Row],[Final]]-Tableau1[[#This Row],[Moyenne]]</f>
        <v>-8</v>
      </c>
    </row>
    <row r="62" spans="1:21" ht="15.75" thickBot="1" x14ac:dyDescent="0.3">
      <c r="A62" s="1"/>
      <c r="B62" t="s">
        <v>347</v>
      </c>
      <c r="C62" t="s">
        <v>348</v>
      </c>
      <c r="D62" t="str">
        <f>Tableau1[[#This Row],[Prenom]]&amp;" "&amp;Tableau1[[#This Row],[Nom]]</f>
        <v>Tyson Barrie</v>
      </c>
      <c r="E62">
        <f>VLOOKUP(Tableau1[[#This Row],[Colonne2]],'BCP stats'!$C$6:$D$305,2,FALSE)</f>
        <v>25</v>
      </c>
      <c r="G62" s="22">
        <v>53</v>
      </c>
      <c r="H62">
        <v>51</v>
      </c>
      <c r="I62">
        <v>50</v>
      </c>
      <c r="J62">
        <v>50</v>
      </c>
      <c r="K62">
        <v>47</v>
      </c>
      <c r="L62">
        <v>50</v>
      </c>
      <c r="M62" s="9">
        <f>AVERAGE(Tableau1[[#This Row],[Lepool.com]:[CBS]])</f>
        <v>50.166666666666664</v>
      </c>
      <c r="N62" s="9">
        <f>VLOOKUP(Tableau1[[#This Row],[Colonne2]],Final!$B$3:$I$302,4,FALSE)</f>
        <v>74</v>
      </c>
      <c r="O62" s="9">
        <f>VLOOKUP(Tableau1[[#This Row],[Colonne2]],Final!$B$3:$I$302,7,FALSE)</f>
        <v>38</v>
      </c>
      <c r="P62">
        <f>Tableau1[[#This Row],[Final]]-Tableau1[[#This Row],[Lepool.com]]</f>
        <v>-15</v>
      </c>
      <c r="Q62">
        <f>Tableau1[[#This Row],[Final]]-Tableau1[[#This Row],[HM]]</f>
        <v>-13</v>
      </c>
      <c r="R62">
        <f>Tableau1[[#This Row],[Final]]-Tableau1[[#This Row],[Pool Pro]]</f>
        <v>-12</v>
      </c>
      <c r="S62">
        <f>Tableau1[[#This Row],[Final]]-Tableau1[[#This Row],[ESPN]]</f>
        <v>-9</v>
      </c>
      <c r="T62">
        <f>Tableau1[[#This Row],[Final]]-Tableau1[[#This Row],[CBS]]</f>
        <v>-12</v>
      </c>
      <c r="U62">
        <f>Tableau1[[#This Row],[Final]]-Tableau1[[#This Row],[Moyenne]]</f>
        <v>-12.166666666666664</v>
      </c>
    </row>
    <row r="63" spans="1:21" ht="15.75" thickBot="1" x14ac:dyDescent="0.3">
      <c r="A63" s="2"/>
      <c r="B63" t="s">
        <v>288</v>
      </c>
      <c r="C63" t="s">
        <v>289</v>
      </c>
      <c r="D63" t="str">
        <f>Tableau1[[#This Row],[Prenom]]&amp;" "&amp;Tableau1[[#This Row],[Nom]]</f>
        <v>Brayden Schenn</v>
      </c>
      <c r="E63">
        <f>VLOOKUP(Tableau1[[#This Row],[Colonne2]],'BCP stats'!$C$6:$D$305,2,FALSE)</f>
        <v>25</v>
      </c>
      <c r="G63" s="13">
        <v>57</v>
      </c>
      <c r="H63">
        <v>64</v>
      </c>
      <c r="I63">
        <v>61</v>
      </c>
      <c r="J63">
        <v>57</v>
      </c>
      <c r="K63">
        <v>56</v>
      </c>
      <c r="L63">
        <v>64</v>
      </c>
      <c r="M63" s="9">
        <f>AVERAGE(Tableau1[[#This Row],[Lepool.com]:[CBS]])</f>
        <v>59.833333333333336</v>
      </c>
      <c r="N63" s="9">
        <f>VLOOKUP(Tableau1[[#This Row],[Colonne2]],Final!$B$3:$I$302,4,FALSE)</f>
        <v>79</v>
      </c>
      <c r="O63" s="9">
        <f>VLOOKUP(Tableau1[[#This Row],[Colonne2]],Final!$B$3:$I$302,7,FALSE)</f>
        <v>55</v>
      </c>
      <c r="P63">
        <f>Tableau1[[#This Row],[Final]]-Tableau1[[#This Row],[Lepool.com]]</f>
        <v>-2</v>
      </c>
      <c r="Q63">
        <f>Tableau1[[#This Row],[Final]]-Tableau1[[#This Row],[HM]]</f>
        <v>-9</v>
      </c>
      <c r="R63">
        <f>Tableau1[[#This Row],[Final]]-Tableau1[[#This Row],[Pool Pro]]</f>
        <v>-6</v>
      </c>
      <c r="S63">
        <f>Tableau1[[#This Row],[Final]]-Tableau1[[#This Row],[ESPN]]</f>
        <v>-1</v>
      </c>
      <c r="T63">
        <f>Tableau1[[#This Row],[Final]]-Tableau1[[#This Row],[CBS]]</f>
        <v>-9</v>
      </c>
      <c r="U63">
        <f>Tableau1[[#This Row],[Final]]-Tableau1[[#This Row],[Moyenne]]</f>
        <v>-4.8333333333333357</v>
      </c>
    </row>
    <row r="64" spans="1:21" ht="15.75" thickBot="1" x14ac:dyDescent="0.3">
      <c r="A64" s="1"/>
      <c r="B64" t="s">
        <v>254</v>
      </c>
      <c r="C64" t="s">
        <v>273</v>
      </c>
      <c r="D64" t="str">
        <f>Tableau1[[#This Row],[Prenom]]&amp;" "&amp;Tableau1[[#This Row],[Nom]]</f>
        <v>Kyle Palmieri</v>
      </c>
      <c r="E64">
        <f>VLOOKUP(Tableau1[[#This Row],[Colonne2]],'BCP stats'!$C$6:$D$305,2,FALSE)</f>
        <v>25</v>
      </c>
      <c r="G64" s="13">
        <v>59</v>
      </c>
      <c r="H64">
        <v>60</v>
      </c>
      <c r="I64">
        <v>50</v>
      </c>
      <c r="J64">
        <v>55</v>
      </c>
      <c r="K64">
        <v>59</v>
      </c>
      <c r="L64">
        <v>63</v>
      </c>
      <c r="M64" s="9">
        <f>AVERAGE(Tableau1[[#This Row],[Lepool.com]:[CBS]])</f>
        <v>57.666666666666664</v>
      </c>
      <c r="N64" s="9">
        <f>VLOOKUP(Tableau1[[#This Row],[Colonne2]],Final!$B$3:$I$302,4,FALSE)</f>
        <v>80</v>
      </c>
      <c r="O64" s="9">
        <f>VLOOKUP(Tableau1[[#This Row],[Colonne2]],Final!$B$3:$I$302,7,FALSE)</f>
        <v>53</v>
      </c>
      <c r="P64">
        <f>Tableau1[[#This Row],[Final]]-Tableau1[[#This Row],[Lepool.com]]</f>
        <v>-6</v>
      </c>
      <c r="Q64">
        <f>Tableau1[[#This Row],[Final]]-Tableau1[[#This Row],[HM]]</f>
        <v>-7</v>
      </c>
      <c r="R64">
        <f>Tableau1[[#This Row],[Final]]-Tableau1[[#This Row],[Pool Pro]]</f>
        <v>3</v>
      </c>
      <c r="S64">
        <f>Tableau1[[#This Row],[Final]]-Tableau1[[#This Row],[ESPN]]</f>
        <v>-6</v>
      </c>
      <c r="T64">
        <f>Tableau1[[#This Row],[Final]]-Tableau1[[#This Row],[CBS]]</f>
        <v>-10</v>
      </c>
      <c r="U64">
        <f>Tableau1[[#This Row],[Final]]-Tableau1[[#This Row],[Moyenne]]</f>
        <v>-4.6666666666666643</v>
      </c>
    </row>
    <row r="65" spans="1:21" ht="15.75" thickBot="1" x14ac:dyDescent="0.3">
      <c r="A65" s="1"/>
      <c r="B65" t="s">
        <v>356</v>
      </c>
      <c r="C65" t="s">
        <v>357</v>
      </c>
      <c r="D65" t="str">
        <f>Tableau1[[#This Row],[Prenom]]&amp;" "&amp;Tableau1[[#This Row],[Nom]]</f>
        <v>Ondrej Palat</v>
      </c>
      <c r="E65">
        <f>VLOOKUP(Tableau1[[#This Row],[Colonne2]],'BCP stats'!$C$6:$D$305,2,FALSE)</f>
        <v>25</v>
      </c>
      <c r="G65" s="22">
        <v>52</v>
      </c>
      <c r="H65">
        <v>55</v>
      </c>
      <c r="I65">
        <v>57</v>
      </c>
      <c r="J65">
        <v>55</v>
      </c>
      <c r="K65">
        <v>52</v>
      </c>
      <c r="L65">
        <v>56</v>
      </c>
      <c r="M65" s="9">
        <f>AVERAGE(Tableau1[[#This Row],[Lepool.com]:[CBS]])</f>
        <v>54.5</v>
      </c>
      <c r="N65" s="9">
        <f>VLOOKUP(Tableau1[[#This Row],[Colonne2]],Final!$B$3:$I$302,4,FALSE)</f>
        <v>75</v>
      </c>
      <c r="O65" s="9">
        <f>VLOOKUP(Tableau1[[#This Row],[Colonne2]],Final!$B$3:$I$302,7,FALSE)</f>
        <v>52</v>
      </c>
      <c r="P65">
        <f>Tableau1[[#This Row],[Final]]-Tableau1[[#This Row],[Lepool.com]]</f>
        <v>0</v>
      </c>
      <c r="Q65">
        <f>Tableau1[[#This Row],[Final]]-Tableau1[[#This Row],[HM]]</f>
        <v>-3</v>
      </c>
      <c r="R65">
        <f>Tableau1[[#This Row],[Final]]-Tableau1[[#This Row],[Pool Pro]]</f>
        <v>-5</v>
      </c>
      <c r="S65">
        <f>Tableau1[[#This Row],[Final]]-Tableau1[[#This Row],[ESPN]]</f>
        <v>0</v>
      </c>
      <c r="T65">
        <f>Tableau1[[#This Row],[Final]]-Tableau1[[#This Row],[CBS]]</f>
        <v>-4</v>
      </c>
      <c r="U65">
        <f>Tableau1[[#This Row],[Final]]-Tableau1[[#This Row],[Moyenne]]</f>
        <v>-2.5</v>
      </c>
    </row>
    <row r="66" spans="1:21" ht="15.75" thickBot="1" x14ac:dyDescent="0.3">
      <c r="A66" s="2"/>
      <c r="B66" t="s">
        <v>178</v>
      </c>
      <c r="C66" t="s">
        <v>179</v>
      </c>
      <c r="D66" t="str">
        <f>Tableau1[[#This Row],[Prenom]]&amp;" "&amp;Tableau1[[#This Row],[Nom]]</f>
        <v>Vladimir Tarasenko</v>
      </c>
      <c r="E66">
        <f>VLOOKUP(Tableau1[[#This Row],[Colonne2]],'BCP stats'!$C$6:$D$305,2,FALSE)</f>
        <v>25</v>
      </c>
      <c r="G66" s="13">
        <v>77</v>
      </c>
      <c r="H66">
        <v>77</v>
      </c>
      <c r="I66">
        <v>75</v>
      </c>
      <c r="J66">
        <v>83</v>
      </c>
      <c r="K66">
        <v>81</v>
      </c>
      <c r="L66">
        <v>75</v>
      </c>
      <c r="M66" s="9">
        <f>AVERAGE(Tableau1[[#This Row],[Lepool.com]:[CBS]])</f>
        <v>78</v>
      </c>
      <c r="N66" s="9">
        <f>VLOOKUP(Tableau1[[#This Row],[Colonne2]],Final!$B$3:$I$302,4,FALSE)</f>
        <v>82</v>
      </c>
      <c r="O66" s="9">
        <f>VLOOKUP(Tableau1[[#This Row],[Colonne2]],Final!$B$3:$I$302,7,FALSE)</f>
        <v>75</v>
      </c>
      <c r="P66">
        <f>Tableau1[[#This Row],[Final]]-Tableau1[[#This Row],[Lepool.com]]</f>
        <v>-2</v>
      </c>
      <c r="Q66">
        <f>Tableau1[[#This Row],[Final]]-Tableau1[[#This Row],[HM]]</f>
        <v>-2</v>
      </c>
      <c r="R66">
        <f>Tableau1[[#This Row],[Final]]-Tableau1[[#This Row],[Pool Pro]]</f>
        <v>0</v>
      </c>
      <c r="S66">
        <f>Tableau1[[#This Row],[Final]]-Tableau1[[#This Row],[ESPN]]</f>
        <v>-6</v>
      </c>
      <c r="T66">
        <f>Tableau1[[#This Row],[Final]]-Tableau1[[#This Row],[CBS]]</f>
        <v>0</v>
      </c>
      <c r="U66">
        <f>Tableau1[[#This Row],[Final]]-Tableau1[[#This Row],[Moyenne]]</f>
        <v>-3</v>
      </c>
    </row>
    <row r="67" spans="1:21" ht="15.75" thickBot="1" x14ac:dyDescent="0.3">
      <c r="A67" s="1"/>
      <c r="B67" t="s">
        <v>198</v>
      </c>
      <c r="C67" t="s">
        <v>199</v>
      </c>
      <c r="D67" t="str">
        <f>Tableau1[[#This Row],[Prenom]]&amp;" "&amp;Tableau1[[#This Row],[Nom]]</f>
        <v>Artemi Panarin</v>
      </c>
      <c r="E67">
        <f>VLOOKUP(Tableau1[[#This Row],[Colonne2]],'BCP stats'!$C$6:$D$305,2,FALSE)</f>
        <v>25</v>
      </c>
      <c r="G67" s="13">
        <v>71</v>
      </c>
      <c r="H67">
        <v>74</v>
      </c>
      <c r="I67">
        <v>72</v>
      </c>
      <c r="J67">
        <v>66</v>
      </c>
      <c r="K67">
        <v>82</v>
      </c>
      <c r="L67">
        <v>84</v>
      </c>
      <c r="M67" s="9">
        <f>AVERAGE(Tableau1[[#This Row],[Lepool.com]:[CBS]])</f>
        <v>74.833333333333329</v>
      </c>
      <c r="N67" s="9">
        <f>VLOOKUP(Tableau1[[#This Row],[Colonne2]],Final!$B$3:$I$302,4,FALSE)</f>
        <v>82</v>
      </c>
      <c r="O67" s="9">
        <f>VLOOKUP(Tableau1[[#This Row],[Colonne2]],Final!$B$3:$I$302,7,FALSE)</f>
        <v>74</v>
      </c>
      <c r="P67">
        <f>Tableau1[[#This Row],[Final]]-Tableau1[[#This Row],[Lepool.com]]</f>
        <v>3</v>
      </c>
      <c r="Q67">
        <f>Tableau1[[#This Row],[Final]]-Tableau1[[#This Row],[HM]]</f>
        <v>0</v>
      </c>
      <c r="R67">
        <f>Tableau1[[#This Row],[Final]]-Tableau1[[#This Row],[Pool Pro]]</f>
        <v>2</v>
      </c>
      <c r="S67">
        <f>Tableau1[[#This Row],[Final]]-Tableau1[[#This Row],[ESPN]]</f>
        <v>-8</v>
      </c>
      <c r="T67">
        <f>Tableau1[[#This Row],[Final]]-Tableau1[[#This Row],[CBS]]</f>
        <v>-10</v>
      </c>
      <c r="U67">
        <f>Tableau1[[#This Row],[Final]]-Tableau1[[#This Row],[Moyenne]]</f>
        <v>-0.8333333333333286</v>
      </c>
    </row>
    <row r="68" spans="1:21" ht="15.75" thickBot="1" x14ac:dyDescent="0.3">
      <c r="A68" s="1"/>
      <c r="B68" t="s">
        <v>409</v>
      </c>
      <c r="C68" t="s">
        <v>410</v>
      </c>
      <c r="D68" t="str">
        <f>Tableau1[[#This Row],[Prenom]]&amp;" "&amp;Tableau1[[#This Row],[Nom]]</f>
        <v>Brock Nelson</v>
      </c>
      <c r="E68">
        <f>VLOOKUP(Tableau1[[#This Row],[Colonne2]],'BCP stats'!$C$6:$D$305,2,FALSE)</f>
        <v>25</v>
      </c>
      <c r="G68" s="22">
        <v>49</v>
      </c>
      <c r="H68">
        <v>44</v>
      </c>
      <c r="I68">
        <v>48</v>
      </c>
      <c r="J68">
        <v>41</v>
      </c>
      <c r="L68">
        <v>41</v>
      </c>
      <c r="M68" s="9">
        <f>AVERAGE(Tableau1[[#This Row],[Lepool.com]:[CBS]])</f>
        <v>44.6</v>
      </c>
      <c r="N68" s="9">
        <f>VLOOKUP(Tableau1[[#This Row],[Colonne2]],Final!$B$3:$I$302,4,FALSE)</f>
        <v>81</v>
      </c>
      <c r="O68" s="9">
        <f>VLOOKUP(Tableau1[[#This Row],[Colonne2]],Final!$B$3:$I$302,7,FALSE)</f>
        <v>45</v>
      </c>
      <c r="P68">
        <f>Tableau1[[#This Row],[Final]]-Tableau1[[#This Row],[Lepool.com]]</f>
        <v>-4</v>
      </c>
      <c r="Q68">
        <f>Tableau1[[#This Row],[Final]]-Tableau1[[#This Row],[HM]]</f>
        <v>1</v>
      </c>
      <c r="R68">
        <f>Tableau1[[#This Row],[Final]]-Tableau1[[#This Row],[Pool Pro]]</f>
        <v>-3</v>
      </c>
      <c r="S68">
        <f>Tableau1[[#This Row],[Final]]-Tableau1[[#This Row],[ESPN]]</f>
        <v>45</v>
      </c>
      <c r="T68">
        <f>Tableau1[[#This Row],[Final]]-Tableau1[[#This Row],[CBS]]</f>
        <v>4</v>
      </c>
      <c r="U68">
        <f>Tableau1[[#This Row],[Final]]-Tableau1[[#This Row],[Moyenne]]</f>
        <v>0.39999999999999858</v>
      </c>
    </row>
    <row r="69" spans="1:21" ht="15.75" thickBot="1" x14ac:dyDescent="0.3">
      <c r="A69" s="2"/>
      <c r="B69" t="s">
        <v>419</v>
      </c>
      <c r="C69" t="s">
        <v>420</v>
      </c>
      <c r="D69" t="str">
        <f>Tableau1[[#This Row],[Prenom]]&amp;" "&amp;Tableau1[[#This Row],[Nom]]</f>
        <v>Chris Kreider</v>
      </c>
      <c r="E69">
        <f>VLOOKUP(Tableau1[[#This Row],[Colonne2]],'BCP stats'!$C$6:$D$305,2,FALSE)</f>
        <v>25</v>
      </c>
      <c r="G69" s="22">
        <v>48</v>
      </c>
      <c r="H69">
        <v>45</v>
      </c>
      <c r="I69">
        <v>47</v>
      </c>
      <c r="J69">
        <v>47</v>
      </c>
      <c r="K69">
        <v>45</v>
      </c>
      <c r="L69">
        <v>46</v>
      </c>
      <c r="M69" s="9">
        <f>AVERAGE(Tableau1[[#This Row],[Lepool.com]:[CBS]])</f>
        <v>46.333333333333336</v>
      </c>
      <c r="N69" s="9">
        <f>VLOOKUP(Tableau1[[#This Row],[Colonne2]],Final!$B$3:$I$302,4,FALSE)</f>
        <v>75</v>
      </c>
      <c r="O69" s="9">
        <f>VLOOKUP(Tableau1[[#This Row],[Colonne2]],Final!$B$3:$I$302,7,FALSE)</f>
        <v>53</v>
      </c>
      <c r="P69">
        <f>Tableau1[[#This Row],[Final]]-Tableau1[[#This Row],[Lepool.com]]</f>
        <v>5</v>
      </c>
      <c r="Q69">
        <f>Tableau1[[#This Row],[Final]]-Tableau1[[#This Row],[HM]]</f>
        <v>8</v>
      </c>
      <c r="R69">
        <f>Tableau1[[#This Row],[Final]]-Tableau1[[#This Row],[Pool Pro]]</f>
        <v>6</v>
      </c>
      <c r="S69">
        <f>Tableau1[[#This Row],[Final]]-Tableau1[[#This Row],[ESPN]]</f>
        <v>8</v>
      </c>
      <c r="T69">
        <f>Tableau1[[#This Row],[Final]]-Tableau1[[#This Row],[CBS]]</f>
        <v>7</v>
      </c>
      <c r="U69">
        <f>Tableau1[[#This Row],[Final]]-Tableau1[[#This Row],[Moyenne]]</f>
        <v>6.6666666666666643</v>
      </c>
    </row>
    <row r="70" spans="1:21" ht="15.75" thickBot="1" x14ac:dyDescent="0.3">
      <c r="A70" s="1"/>
      <c r="B70" t="s">
        <v>170</v>
      </c>
      <c r="C70" t="s">
        <v>355</v>
      </c>
      <c r="D70" t="str">
        <f>Tableau1[[#This Row],[Prenom]]&amp;" "&amp;Tableau1[[#This Row],[Nom]]</f>
        <v>John Carlson</v>
      </c>
      <c r="E70">
        <f>VLOOKUP(Tableau1[[#This Row],[Colonne2]],'BCP stats'!$C$6:$D$305,2,FALSE)</f>
        <v>26</v>
      </c>
      <c r="G70" s="22">
        <v>52</v>
      </c>
      <c r="H70">
        <v>59</v>
      </c>
      <c r="I70">
        <v>50</v>
      </c>
      <c r="J70">
        <v>57</v>
      </c>
      <c r="K70">
        <v>47</v>
      </c>
      <c r="L70">
        <v>63</v>
      </c>
      <c r="M70" s="9">
        <f>AVERAGE(Tableau1[[#This Row],[Lepool.com]:[CBS]])</f>
        <v>54.666666666666664</v>
      </c>
      <c r="N70" s="9">
        <f>VLOOKUP(Tableau1[[#This Row],[Colonne2]],Final!$B$3:$I$302,4,FALSE)</f>
        <v>72</v>
      </c>
      <c r="O70" s="9">
        <f>VLOOKUP(Tableau1[[#This Row],[Colonne2]],Final!$B$3:$I$302,7,FALSE)</f>
        <v>37</v>
      </c>
      <c r="P70">
        <f>Tableau1[[#This Row],[Final]]-Tableau1[[#This Row],[Lepool.com]]</f>
        <v>-15</v>
      </c>
      <c r="Q70">
        <f>Tableau1[[#This Row],[Final]]-Tableau1[[#This Row],[HM]]</f>
        <v>-22</v>
      </c>
      <c r="R70">
        <f>Tableau1[[#This Row],[Final]]-Tableau1[[#This Row],[Pool Pro]]</f>
        <v>-13</v>
      </c>
      <c r="S70">
        <f>Tableau1[[#This Row],[Final]]-Tableau1[[#This Row],[ESPN]]</f>
        <v>-10</v>
      </c>
      <c r="T70">
        <f>Tableau1[[#This Row],[Final]]-Tableau1[[#This Row],[CBS]]</f>
        <v>-26</v>
      </c>
      <c r="U70">
        <f>Tableau1[[#This Row],[Final]]-Tableau1[[#This Row],[Moyenne]]</f>
        <v>-17.666666666666664</v>
      </c>
    </row>
    <row r="71" spans="1:21" ht="15.75" thickBot="1" x14ac:dyDescent="0.3">
      <c r="A71" s="1"/>
      <c r="B71" t="s">
        <v>170</v>
      </c>
      <c r="C71" t="s">
        <v>171</v>
      </c>
      <c r="D71" t="str">
        <f>Tableau1[[#This Row],[Prenom]]&amp;" "&amp;Tableau1[[#This Row],[Nom]]</f>
        <v>John Tavares</v>
      </c>
      <c r="E71">
        <f>VLOOKUP(Tableau1[[#This Row],[Colonne2]],'BCP stats'!$C$6:$D$305,2,FALSE)</f>
        <v>26</v>
      </c>
      <c r="G71" s="13">
        <v>80</v>
      </c>
      <c r="H71">
        <v>85</v>
      </c>
      <c r="I71">
        <v>76</v>
      </c>
      <c r="J71">
        <v>83</v>
      </c>
      <c r="K71">
        <v>78</v>
      </c>
      <c r="L71">
        <v>76</v>
      </c>
      <c r="M71" s="9">
        <f>AVERAGE(Tableau1[[#This Row],[Lepool.com]:[CBS]])</f>
        <v>79.666666666666671</v>
      </c>
      <c r="N71" s="9">
        <f>VLOOKUP(Tableau1[[#This Row],[Colonne2]],Final!$B$3:$I$302,4,FALSE)</f>
        <v>77</v>
      </c>
      <c r="O71" s="9">
        <f>VLOOKUP(Tableau1[[#This Row],[Colonne2]],Final!$B$3:$I$302,7,FALSE)</f>
        <v>66</v>
      </c>
      <c r="P71">
        <f>Tableau1[[#This Row],[Final]]-Tableau1[[#This Row],[Lepool.com]]</f>
        <v>-14</v>
      </c>
      <c r="Q71">
        <f>Tableau1[[#This Row],[Final]]-Tableau1[[#This Row],[HM]]</f>
        <v>-19</v>
      </c>
      <c r="R71">
        <f>Tableau1[[#This Row],[Final]]-Tableau1[[#This Row],[Pool Pro]]</f>
        <v>-10</v>
      </c>
      <c r="S71">
        <f>Tableau1[[#This Row],[Final]]-Tableau1[[#This Row],[ESPN]]</f>
        <v>-12</v>
      </c>
      <c r="T71">
        <f>Tableau1[[#This Row],[Final]]-Tableau1[[#This Row],[CBS]]</f>
        <v>-10</v>
      </c>
      <c r="U71">
        <f>Tableau1[[#This Row],[Final]]-Tableau1[[#This Row],[Moyenne]]</f>
        <v>-13.666666666666671</v>
      </c>
    </row>
    <row r="72" spans="1:21" ht="15.75" thickBot="1" x14ac:dyDescent="0.3">
      <c r="A72" s="2"/>
      <c r="B72" t="s">
        <v>166</v>
      </c>
      <c r="C72" t="s">
        <v>316</v>
      </c>
      <c r="D72" t="str">
        <f>Tableau1[[#This Row],[Prenom]]&amp;" "&amp;Tableau1[[#This Row],[Nom]]</f>
        <v>Tyler Johnson</v>
      </c>
      <c r="E72">
        <f>VLOOKUP(Tableau1[[#This Row],[Colonne2]],'BCP stats'!$C$6:$D$305,2,FALSE)</f>
        <v>26</v>
      </c>
      <c r="G72" s="13">
        <v>54</v>
      </c>
      <c r="H72">
        <v>62</v>
      </c>
      <c r="I72">
        <v>65</v>
      </c>
      <c r="J72">
        <v>60</v>
      </c>
      <c r="K72">
        <v>51</v>
      </c>
      <c r="L72">
        <v>60</v>
      </c>
      <c r="M72" s="9">
        <f>AVERAGE(Tableau1[[#This Row],[Lepool.com]:[CBS]])</f>
        <v>58.666666666666664</v>
      </c>
      <c r="N72" s="9">
        <f>VLOOKUP(Tableau1[[#This Row],[Colonne2]],Final!$B$3:$I$302,4,FALSE)</f>
        <v>66</v>
      </c>
      <c r="O72" s="9">
        <f>VLOOKUP(Tableau1[[#This Row],[Colonne2]],Final!$B$3:$I$302,7,FALSE)</f>
        <v>45</v>
      </c>
      <c r="P72">
        <f>Tableau1[[#This Row],[Final]]-Tableau1[[#This Row],[Lepool.com]]</f>
        <v>-9</v>
      </c>
      <c r="Q72">
        <f>Tableau1[[#This Row],[Final]]-Tableau1[[#This Row],[HM]]</f>
        <v>-17</v>
      </c>
      <c r="R72">
        <f>Tableau1[[#This Row],[Final]]-Tableau1[[#This Row],[Pool Pro]]</f>
        <v>-20</v>
      </c>
      <c r="S72">
        <f>Tableau1[[#This Row],[Final]]-Tableau1[[#This Row],[ESPN]]</f>
        <v>-6</v>
      </c>
      <c r="T72">
        <f>Tableau1[[#This Row],[Final]]-Tableau1[[#This Row],[CBS]]</f>
        <v>-15</v>
      </c>
      <c r="U72">
        <f>Tableau1[[#This Row],[Final]]-Tableau1[[#This Row],[Moyenne]]</f>
        <v>-13.666666666666664</v>
      </c>
    </row>
    <row r="73" spans="1:21" ht="15.75" thickBot="1" x14ac:dyDescent="0.3">
      <c r="A73" s="1"/>
      <c r="B73" t="s">
        <v>339</v>
      </c>
      <c r="C73" t="s">
        <v>340</v>
      </c>
      <c r="D73" t="str">
        <f>Tableau1[[#This Row],[Prenom]]&amp;" "&amp;Tableau1[[#This Row],[Nom]]</f>
        <v>Adam Henrique</v>
      </c>
      <c r="E73">
        <f>VLOOKUP(Tableau1[[#This Row],[Colonne2]],'BCP stats'!$C$6:$D$305,2,FALSE)</f>
        <v>26</v>
      </c>
      <c r="G73" s="22">
        <v>53</v>
      </c>
      <c r="H73">
        <v>55</v>
      </c>
      <c r="I73">
        <v>53</v>
      </c>
      <c r="J73">
        <v>58</v>
      </c>
      <c r="K73">
        <v>57</v>
      </c>
      <c r="L73">
        <v>56</v>
      </c>
      <c r="M73" s="9">
        <f>AVERAGE(Tableau1[[#This Row],[Lepool.com]:[CBS]])</f>
        <v>55.333333333333336</v>
      </c>
      <c r="N73" s="9">
        <f>VLOOKUP(Tableau1[[#This Row],[Colonne2]],Final!$B$3:$I$302,4,FALSE)</f>
        <v>82</v>
      </c>
      <c r="O73" s="9">
        <f>VLOOKUP(Tableau1[[#This Row],[Colonne2]],Final!$B$3:$I$302,7,FALSE)</f>
        <v>40</v>
      </c>
      <c r="P73">
        <f>Tableau1[[#This Row],[Final]]-Tableau1[[#This Row],[Lepool.com]]</f>
        <v>-13</v>
      </c>
      <c r="Q73">
        <f>Tableau1[[#This Row],[Final]]-Tableau1[[#This Row],[HM]]</f>
        <v>-15</v>
      </c>
      <c r="R73">
        <f>Tableau1[[#This Row],[Final]]-Tableau1[[#This Row],[Pool Pro]]</f>
        <v>-13</v>
      </c>
      <c r="S73">
        <f>Tableau1[[#This Row],[Final]]-Tableau1[[#This Row],[ESPN]]</f>
        <v>-17</v>
      </c>
      <c r="T73">
        <f>Tableau1[[#This Row],[Final]]-Tableau1[[#This Row],[CBS]]</f>
        <v>-16</v>
      </c>
      <c r="U73">
        <f>Tableau1[[#This Row],[Final]]-Tableau1[[#This Row],[Moyenne]]</f>
        <v>-15.333333333333336</v>
      </c>
    </row>
    <row r="74" spans="1:21" ht="15.75" thickBot="1" x14ac:dyDescent="0.3">
      <c r="A74" s="1"/>
      <c r="B74" t="s">
        <v>317</v>
      </c>
      <c r="C74" t="s">
        <v>318</v>
      </c>
      <c r="D74" t="str">
        <f>Tableau1[[#This Row],[Prenom]]&amp;" "&amp;Tableau1[[#This Row],[Nom]]</f>
        <v>Roman Josi</v>
      </c>
      <c r="E74">
        <f>VLOOKUP(Tableau1[[#This Row],[Colonne2]],'BCP stats'!$C$6:$D$305,2,FALSE)</f>
        <v>26</v>
      </c>
      <c r="G74" s="13">
        <v>54</v>
      </c>
      <c r="H74">
        <v>60</v>
      </c>
      <c r="I74">
        <v>59</v>
      </c>
      <c r="J74">
        <v>60</v>
      </c>
      <c r="K74">
        <v>63</v>
      </c>
      <c r="L74">
        <v>65</v>
      </c>
      <c r="M74" s="9">
        <f>AVERAGE(Tableau1[[#This Row],[Lepool.com]:[CBS]])</f>
        <v>60.166666666666664</v>
      </c>
      <c r="N74" s="9">
        <f>VLOOKUP(Tableau1[[#This Row],[Colonne2]],Final!$B$3:$I$302,4,FALSE)</f>
        <v>72</v>
      </c>
      <c r="O74" s="9">
        <f>VLOOKUP(Tableau1[[#This Row],[Colonne2]],Final!$B$3:$I$302,7,FALSE)</f>
        <v>49</v>
      </c>
      <c r="P74">
        <f>Tableau1[[#This Row],[Final]]-Tableau1[[#This Row],[Lepool.com]]</f>
        <v>-5</v>
      </c>
      <c r="Q74">
        <f>Tableau1[[#This Row],[Final]]-Tableau1[[#This Row],[HM]]</f>
        <v>-11</v>
      </c>
      <c r="R74">
        <f>Tableau1[[#This Row],[Final]]-Tableau1[[#This Row],[Pool Pro]]</f>
        <v>-10</v>
      </c>
      <c r="S74">
        <f>Tableau1[[#This Row],[Final]]-Tableau1[[#This Row],[ESPN]]</f>
        <v>-14</v>
      </c>
      <c r="T74">
        <f>Tableau1[[#This Row],[Final]]-Tableau1[[#This Row],[CBS]]</f>
        <v>-16</v>
      </c>
      <c r="U74">
        <f>Tableau1[[#This Row],[Final]]-Tableau1[[#This Row],[Moyenne]]</f>
        <v>-11.166666666666664</v>
      </c>
    </row>
    <row r="75" spans="1:21" ht="15.75" thickBot="1" x14ac:dyDescent="0.3">
      <c r="A75" s="2"/>
      <c r="B75" t="s">
        <v>176</v>
      </c>
      <c r="C75" t="s">
        <v>177</v>
      </c>
      <c r="D75" t="str">
        <f>Tableau1[[#This Row],[Prenom]]&amp;" "&amp;Tableau1[[#This Row],[Nom]]</f>
        <v>Erik Karlsson</v>
      </c>
      <c r="E75">
        <f>VLOOKUP(Tableau1[[#This Row],[Colonne2]],'BCP stats'!$C$6:$D$305,2,FALSE)</f>
        <v>26</v>
      </c>
      <c r="G75" s="13">
        <v>78</v>
      </c>
      <c r="H75">
        <v>80</v>
      </c>
      <c r="I75">
        <v>78</v>
      </c>
      <c r="J75">
        <v>77</v>
      </c>
      <c r="K75">
        <v>82</v>
      </c>
      <c r="L75">
        <v>88</v>
      </c>
      <c r="M75" s="9">
        <f>AVERAGE(Tableau1[[#This Row],[Lepool.com]:[CBS]])</f>
        <v>80.5</v>
      </c>
      <c r="N75" s="9">
        <f>VLOOKUP(Tableau1[[#This Row],[Colonne2]],Final!$B$3:$I$302,4,FALSE)</f>
        <v>77</v>
      </c>
      <c r="O75" s="9">
        <f>VLOOKUP(Tableau1[[#This Row],[Colonne2]],Final!$B$3:$I$302,7,FALSE)</f>
        <v>71</v>
      </c>
      <c r="P75">
        <f>Tableau1[[#This Row],[Final]]-Tableau1[[#This Row],[Lepool.com]]</f>
        <v>-7</v>
      </c>
      <c r="Q75">
        <f>Tableau1[[#This Row],[Final]]-Tableau1[[#This Row],[HM]]</f>
        <v>-9</v>
      </c>
      <c r="R75">
        <f>Tableau1[[#This Row],[Final]]-Tableau1[[#This Row],[Pool Pro]]</f>
        <v>-7</v>
      </c>
      <c r="S75">
        <f>Tableau1[[#This Row],[Final]]-Tableau1[[#This Row],[ESPN]]</f>
        <v>-11</v>
      </c>
      <c r="T75">
        <f>Tableau1[[#This Row],[Final]]-Tableau1[[#This Row],[CBS]]</f>
        <v>-17</v>
      </c>
      <c r="U75">
        <f>Tableau1[[#This Row],[Final]]-Tableau1[[#This Row],[Moyenne]]</f>
        <v>-9.5</v>
      </c>
    </row>
    <row r="76" spans="1:21" ht="15.75" thickBot="1" x14ac:dyDescent="0.3">
      <c r="A76" s="1"/>
      <c r="B76" t="s">
        <v>226</v>
      </c>
      <c r="C76" t="s">
        <v>227</v>
      </c>
      <c r="D76" t="str">
        <f>Tableau1[[#This Row],[Prenom]]&amp;" "&amp;Tableau1[[#This Row],[Nom]]</f>
        <v>Jordan Eberle</v>
      </c>
      <c r="E76">
        <f>VLOOKUP(Tableau1[[#This Row],[Colonne2]],'BCP stats'!$C$6:$D$305,2,FALSE)</f>
        <v>26</v>
      </c>
      <c r="G76" s="13">
        <v>66</v>
      </c>
      <c r="H76">
        <v>60</v>
      </c>
      <c r="I76">
        <v>62</v>
      </c>
      <c r="J76">
        <v>70</v>
      </c>
      <c r="K76">
        <v>56</v>
      </c>
      <c r="L76">
        <v>59</v>
      </c>
      <c r="M76" s="9">
        <f>AVERAGE(Tableau1[[#This Row],[Lepool.com]:[CBS]])</f>
        <v>62.166666666666664</v>
      </c>
      <c r="N76" s="9">
        <f>VLOOKUP(Tableau1[[#This Row],[Colonne2]],Final!$B$3:$I$302,4,FALSE)</f>
        <v>82</v>
      </c>
      <c r="O76" s="9">
        <f>VLOOKUP(Tableau1[[#This Row],[Colonne2]],Final!$B$3:$I$302,7,FALSE)</f>
        <v>51</v>
      </c>
      <c r="P76">
        <f>Tableau1[[#This Row],[Final]]-Tableau1[[#This Row],[Lepool.com]]</f>
        <v>-15</v>
      </c>
      <c r="Q76">
        <f>Tableau1[[#This Row],[Final]]-Tableau1[[#This Row],[HM]]</f>
        <v>-9</v>
      </c>
      <c r="R76">
        <f>Tableau1[[#This Row],[Final]]-Tableau1[[#This Row],[Pool Pro]]</f>
        <v>-11</v>
      </c>
      <c r="S76">
        <f>Tableau1[[#This Row],[Final]]-Tableau1[[#This Row],[ESPN]]</f>
        <v>-5</v>
      </c>
      <c r="T76">
        <f>Tableau1[[#This Row],[Final]]-Tableau1[[#This Row],[CBS]]</f>
        <v>-8</v>
      </c>
      <c r="U76">
        <f>Tableau1[[#This Row],[Final]]-Tableau1[[#This Row],[Moyenne]]</f>
        <v>-11.166666666666664</v>
      </c>
    </row>
    <row r="77" spans="1:21" ht="15.75" thickBot="1" x14ac:dyDescent="0.3">
      <c r="A77" s="1"/>
      <c r="B77" t="s">
        <v>365</v>
      </c>
      <c r="C77" t="s">
        <v>417</v>
      </c>
      <c r="D77" t="str">
        <f>Tableau1[[#This Row],[Prenom]]&amp;" "&amp;Tableau1[[#This Row],[Nom]]</f>
        <v>Tomas Tatar</v>
      </c>
      <c r="E77">
        <f>VLOOKUP(Tableau1[[#This Row],[Colonne2]],'BCP stats'!$C$6:$D$305,2,FALSE)</f>
        <v>26</v>
      </c>
      <c r="G77" s="22">
        <v>48</v>
      </c>
      <c r="H77">
        <v>47</v>
      </c>
      <c r="I77">
        <v>47</v>
      </c>
      <c r="J77">
        <v>44</v>
      </c>
      <c r="K77">
        <v>49</v>
      </c>
      <c r="L77">
        <v>48</v>
      </c>
      <c r="M77" s="9">
        <f>AVERAGE(Tableau1[[#This Row],[Lepool.com]:[CBS]])</f>
        <v>47.166666666666664</v>
      </c>
      <c r="N77" s="9">
        <f>VLOOKUP(Tableau1[[#This Row],[Colonne2]],Final!$B$3:$I$302,4,FALSE)</f>
        <v>82</v>
      </c>
      <c r="O77" s="9">
        <f>VLOOKUP(Tableau1[[#This Row],[Colonne2]],Final!$B$3:$I$302,7,FALSE)</f>
        <v>46</v>
      </c>
      <c r="P77">
        <f>Tableau1[[#This Row],[Final]]-Tableau1[[#This Row],[Lepool.com]]</f>
        <v>-2</v>
      </c>
      <c r="Q77">
        <f>Tableau1[[#This Row],[Final]]-Tableau1[[#This Row],[HM]]</f>
        <v>-1</v>
      </c>
      <c r="R77">
        <f>Tableau1[[#This Row],[Final]]-Tableau1[[#This Row],[Pool Pro]]</f>
        <v>-1</v>
      </c>
      <c r="S77">
        <f>Tableau1[[#This Row],[Final]]-Tableau1[[#This Row],[ESPN]]</f>
        <v>-3</v>
      </c>
      <c r="T77">
        <f>Tableau1[[#This Row],[Final]]-Tableau1[[#This Row],[CBS]]</f>
        <v>-2</v>
      </c>
      <c r="U77">
        <f>Tableau1[[#This Row],[Final]]-Tableau1[[#This Row],[Moyenne]]</f>
        <v>-1.1666666666666643</v>
      </c>
    </row>
    <row r="78" spans="1:21" ht="15.75" thickBot="1" x14ac:dyDescent="0.3">
      <c r="A78" s="2"/>
      <c r="B78" t="s">
        <v>233</v>
      </c>
      <c r="C78" t="s">
        <v>418</v>
      </c>
      <c r="D78" t="str">
        <f>Tableau1[[#This Row],[Prenom]]&amp;" "&amp;Tableau1[[#This Row],[Nom]]</f>
        <v>Alex Pietrangelo</v>
      </c>
      <c r="E78">
        <f>VLOOKUP(Tableau1[[#This Row],[Colonne2]],'BCP stats'!$C$6:$D$305,2,FALSE)</f>
        <v>26</v>
      </c>
      <c r="G78" s="22">
        <v>48</v>
      </c>
      <c r="H78">
        <v>47</v>
      </c>
      <c r="I78">
        <v>45</v>
      </c>
      <c r="J78">
        <v>40</v>
      </c>
      <c r="K78">
        <v>41</v>
      </c>
      <c r="L78">
        <v>41</v>
      </c>
      <c r="M78" s="9">
        <f>AVERAGE(Tableau1[[#This Row],[Lepool.com]:[CBS]])</f>
        <v>43.666666666666664</v>
      </c>
      <c r="N78" s="9">
        <f>VLOOKUP(Tableau1[[#This Row],[Colonne2]],Final!$B$3:$I$302,4,FALSE)</f>
        <v>80</v>
      </c>
      <c r="O78" s="9">
        <f>VLOOKUP(Tableau1[[#This Row],[Colonne2]],Final!$B$3:$I$302,7,FALSE)</f>
        <v>48</v>
      </c>
      <c r="P78">
        <f>Tableau1[[#This Row],[Final]]-Tableau1[[#This Row],[Lepool.com]]</f>
        <v>0</v>
      </c>
      <c r="Q78">
        <f>Tableau1[[#This Row],[Final]]-Tableau1[[#This Row],[HM]]</f>
        <v>1</v>
      </c>
      <c r="R78">
        <f>Tableau1[[#This Row],[Final]]-Tableau1[[#This Row],[Pool Pro]]</f>
        <v>3</v>
      </c>
      <c r="S78">
        <f>Tableau1[[#This Row],[Final]]-Tableau1[[#This Row],[ESPN]]</f>
        <v>7</v>
      </c>
      <c r="T78">
        <f>Tableau1[[#This Row],[Final]]-Tableau1[[#This Row],[CBS]]</f>
        <v>7</v>
      </c>
      <c r="U78">
        <f>Tableau1[[#This Row],[Final]]-Tableau1[[#This Row],[Moyenne]]</f>
        <v>4.3333333333333357</v>
      </c>
    </row>
    <row r="79" spans="1:21" ht="15.75" thickBot="1" x14ac:dyDescent="0.3">
      <c r="A79" s="1"/>
      <c r="B79" t="s">
        <v>265</v>
      </c>
      <c r="C79" t="s">
        <v>266</v>
      </c>
      <c r="D79" t="str">
        <f>Tableau1[[#This Row],[Prenom]]&amp;" "&amp;Tableau1[[#This Row],[Nom]]</f>
        <v>Derek Stepan</v>
      </c>
      <c r="E79">
        <f>VLOOKUP(Tableau1[[#This Row],[Colonne2]],'BCP stats'!$C$6:$D$305,2,FALSE)</f>
        <v>26</v>
      </c>
      <c r="G79" s="13">
        <v>60</v>
      </c>
      <c r="H79">
        <v>54</v>
      </c>
      <c r="I79">
        <v>52</v>
      </c>
      <c r="J79">
        <v>52</v>
      </c>
      <c r="K79">
        <v>56</v>
      </c>
      <c r="L79">
        <v>61</v>
      </c>
      <c r="M79" s="9">
        <f>AVERAGE(Tableau1[[#This Row],[Lepool.com]:[CBS]])</f>
        <v>55.833333333333336</v>
      </c>
      <c r="N79" s="9">
        <f>VLOOKUP(Tableau1[[#This Row],[Colonne2]],Final!$B$3:$I$302,4,FALSE)</f>
        <v>81</v>
      </c>
      <c r="O79" s="9">
        <f>VLOOKUP(Tableau1[[#This Row],[Colonne2]],Final!$B$3:$I$302,7,FALSE)</f>
        <v>55</v>
      </c>
      <c r="P79">
        <f>Tableau1[[#This Row],[Final]]-Tableau1[[#This Row],[Lepool.com]]</f>
        <v>-5</v>
      </c>
      <c r="Q79">
        <f>Tableau1[[#This Row],[Final]]-Tableau1[[#This Row],[HM]]</f>
        <v>1</v>
      </c>
      <c r="R79">
        <f>Tableau1[[#This Row],[Final]]-Tableau1[[#This Row],[Pool Pro]]</f>
        <v>3</v>
      </c>
      <c r="S79">
        <f>Tableau1[[#This Row],[Final]]-Tableau1[[#This Row],[ESPN]]</f>
        <v>-1</v>
      </c>
      <c r="T79">
        <f>Tableau1[[#This Row],[Final]]-Tableau1[[#This Row],[CBS]]</f>
        <v>-6</v>
      </c>
      <c r="U79">
        <f>Tableau1[[#This Row],[Final]]-Tableau1[[#This Row],[Moyenne]]</f>
        <v>-0.8333333333333357</v>
      </c>
    </row>
    <row r="80" spans="1:21" ht="15.75" thickBot="1" x14ac:dyDescent="0.3">
      <c r="A80" s="1"/>
      <c r="B80" t="s">
        <v>442</v>
      </c>
      <c r="C80" t="s">
        <v>443</v>
      </c>
      <c r="D80" t="str">
        <f>Tableau1[[#This Row],[Prenom]]&amp;" "&amp;Tableau1[[#This Row],[Nom]]</f>
        <v>Jakob Silfverberg</v>
      </c>
      <c r="E80">
        <f>VLOOKUP(Tableau1[[#This Row],[Colonne2]],'BCP stats'!$C$6:$D$305,2,FALSE)</f>
        <v>26</v>
      </c>
      <c r="G80" s="22">
        <v>46</v>
      </c>
      <c r="H80">
        <v>44</v>
      </c>
      <c r="I80">
        <v>42</v>
      </c>
      <c r="J80">
        <v>51</v>
      </c>
      <c r="K80">
        <v>43</v>
      </c>
      <c r="L80">
        <v>45</v>
      </c>
      <c r="M80" s="9">
        <f>AVERAGE(Tableau1[[#This Row],[Lepool.com]:[CBS]])</f>
        <v>45.166666666666664</v>
      </c>
      <c r="N80" s="9">
        <f>VLOOKUP(Tableau1[[#This Row],[Colonne2]],Final!$B$3:$I$302,4,FALSE)</f>
        <v>79</v>
      </c>
      <c r="O80" s="9">
        <f>VLOOKUP(Tableau1[[#This Row],[Colonne2]],Final!$B$3:$I$302,7,FALSE)</f>
        <v>49</v>
      </c>
      <c r="P80">
        <f>Tableau1[[#This Row],[Final]]-Tableau1[[#This Row],[Lepool.com]]</f>
        <v>3</v>
      </c>
      <c r="Q80">
        <f>Tableau1[[#This Row],[Final]]-Tableau1[[#This Row],[HM]]</f>
        <v>5</v>
      </c>
      <c r="R80">
        <f>Tableau1[[#This Row],[Final]]-Tableau1[[#This Row],[Pool Pro]]</f>
        <v>7</v>
      </c>
      <c r="S80">
        <f>Tableau1[[#This Row],[Final]]-Tableau1[[#This Row],[ESPN]]</f>
        <v>6</v>
      </c>
      <c r="T80">
        <f>Tableau1[[#This Row],[Final]]-Tableau1[[#This Row],[CBS]]</f>
        <v>4</v>
      </c>
      <c r="U80">
        <f>Tableau1[[#This Row],[Final]]-Tableau1[[#This Row],[Moyenne]]</f>
        <v>3.8333333333333357</v>
      </c>
    </row>
    <row r="81" spans="1:21" ht="15.75" thickBot="1" x14ac:dyDescent="0.3">
      <c r="A81" s="2"/>
      <c r="B81" t="s">
        <v>404</v>
      </c>
      <c r="C81" t="s">
        <v>405</v>
      </c>
      <c r="D81" t="str">
        <f>Tableau1[[#This Row],[Prenom]]&amp;" "&amp;Tableau1[[#This Row],[Nom]]</f>
        <v>Nazem Kadri</v>
      </c>
      <c r="E81">
        <f>VLOOKUP(Tableau1[[#This Row],[Colonne2]],'BCP stats'!$C$6:$D$305,2,FALSE)</f>
        <v>26</v>
      </c>
      <c r="G81" s="22">
        <v>49</v>
      </c>
      <c r="H81">
        <v>48</v>
      </c>
      <c r="I81">
        <v>49</v>
      </c>
      <c r="J81">
        <v>41</v>
      </c>
      <c r="K81">
        <v>47</v>
      </c>
      <c r="L81">
        <v>51</v>
      </c>
      <c r="M81" s="9">
        <f>AVERAGE(Tableau1[[#This Row],[Lepool.com]:[CBS]])</f>
        <v>47.5</v>
      </c>
      <c r="N81" s="9">
        <f>VLOOKUP(Tableau1[[#This Row],[Colonne2]],Final!$B$3:$I$302,4,FALSE)</f>
        <v>82</v>
      </c>
      <c r="O81" s="9">
        <f>VLOOKUP(Tableau1[[#This Row],[Colonne2]],Final!$B$3:$I$302,7,FALSE)</f>
        <v>61</v>
      </c>
      <c r="P81">
        <f>Tableau1[[#This Row],[Final]]-Tableau1[[#This Row],[Lepool.com]]</f>
        <v>12</v>
      </c>
      <c r="Q81">
        <f>Tableau1[[#This Row],[Final]]-Tableau1[[#This Row],[HM]]</f>
        <v>13</v>
      </c>
      <c r="R81">
        <f>Tableau1[[#This Row],[Final]]-Tableau1[[#This Row],[Pool Pro]]</f>
        <v>12</v>
      </c>
      <c r="S81">
        <f>Tableau1[[#This Row],[Final]]-Tableau1[[#This Row],[ESPN]]</f>
        <v>14</v>
      </c>
      <c r="T81">
        <f>Tableau1[[#This Row],[Final]]-Tableau1[[#This Row],[CBS]]</f>
        <v>10</v>
      </c>
      <c r="U81">
        <f>Tableau1[[#This Row],[Final]]-Tableau1[[#This Row],[Moyenne]]</f>
        <v>13.5</v>
      </c>
    </row>
    <row r="82" spans="1:21" ht="15.75" thickBot="1" x14ac:dyDescent="0.3">
      <c r="A82" s="1"/>
      <c r="B82" t="s">
        <v>335</v>
      </c>
      <c r="C82" t="s">
        <v>336</v>
      </c>
      <c r="D82" t="str">
        <f>Tableau1[[#This Row],[Prenom]]&amp;" "&amp;Tableau1[[#This Row],[Nom]]</f>
        <v>Marcus Johansson</v>
      </c>
      <c r="E82">
        <f>VLOOKUP(Tableau1[[#This Row],[Colonne2]],'BCP stats'!$C$6:$D$305,2,FALSE)</f>
        <v>26</v>
      </c>
      <c r="G82" s="13">
        <v>54</v>
      </c>
      <c r="H82">
        <v>45</v>
      </c>
      <c r="I82">
        <v>45</v>
      </c>
      <c r="J82">
        <v>48</v>
      </c>
      <c r="K82">
        <v>45</v>
      </c>
      <c r="L82">
        <v>53</v>
      </c>
      <c r="M82" s="9">
        <f>AVERAGE(Tableau1[[#This Row],[Lepool.com]:[CBS]])</f>
        <v>48.333333333333336</v>
      </c>
      <c r="N82" s="9">
        <f>VLOOKUP(Tableau1[[#This Row],[Colonne2]],Final!$B$3:$I$302,4,FALSE)</f>
        <v>82</v>
      </c>
      <c r="O82" s="9">
        <f>VLOOKUP(Tableau1[[#This Row],[Colonne2]],Final!$B$3:$I$302,7,FALSE)</f>
        <v>58</v>
      </c>
      <c r="P82">
        <f>Tableau1[[#This Row],[Final]]-Tableau1[[#This Row],[Lepool.com]]</f>
        <v>4</v>
      </c>
      <c r="Q82">
        <f>Tableau1[[#This Row],[Final]]-Tableau1[[#This Row],[HM]]</f>
        <v>13</v>
      </c>
      <c r="R82">
        <f>Tableau1[[#This Row],[Final]]-Tableau1[[#This Row],[Pool Pro]]</f>
        <v>13</v>
      </c>
      <c r="S82">
        <f>Tableau1[[#This Row],[Final]]-Tableau1[[#This Row],[ESPN]]</f>
        <v>13</v>
      </c>
      <c r="T82">
        <f>Tableau1[[#This Row],[Final]]-Tableau1[[#This Row],[CBS]]</f>
        <v>5</v>
      </c>
      <c r="U82">
        <f>Tableau1[[#This Row],[Final]]-Tableau1[[#This Row],[Moyenne]]</f>
        <v>9.6666666666666643</v>
      </c>
    </row>
    <row r="83" spans="1:21" ht="15.75" thickBot="1" x14ac:dyDescent="0.3">
      <c r="A83" s="1"/>
      <c r="B83" t="s">
        <v>327</v>
      </c>
      <c r="C83" t="s">
        <v>328</v>
      </c>
      <c r="D83" t="str">
        <f>Tableau1[[#This Row],[Prenom]]&amp;" "&amp;Tableau1[[#This Row],[Nom]]</f>
        <v>Victor Hedman</v>
      </c>
      <c r="E83">
        <f>VLOOKUP(Tableau1[[#This Row],[Colonne2]],'BCP stats'!$C$6:$D$305,2,FALSE)</f>
        <v>26</v>
      </c>
      <c r="G83" s="13">
        <v>54</v>
      </c>
      <c r="H83">
        <v>50</v>
      </c>
      <c r="I83">
        <v>53</v>
      </c>
      <c r="J83">
        <v>51</v>
      </c>
      <c r="K83">
        <v>44</v>
      </c>
      <c r="L83">
        <v>58</v>
      </c>
      <c r="M83" s="9">
        <f>AVERAGE(Tableau1[[#This Row],[Lepool.com]:[CBS]])</f>
        <v>51.666666666666664</v>
      </c>
      <c r="N83" s="9">
        <f>VLOOKUP(Tableau1[[#This Row],[Colonne2]],Final!$B$3:$I$302,4,FALSE)</f>
        <v>79</v>
      </c>
      <c r="O83" s="9">
        <f>VLOOKUP(Tableau1[[#This Row],[Colonne2]],Final!$B$3:$I$302,7,FALSE)</f>
        <v>72</v>
      </c>
      <c r="P83">
        <f>Tableau1[[#This Row],[Final]]-Tableau1[[#This Row],[Lepool.com]]</f>
        <v>18</v>
      </c>
      <c r="Q83">
        <f>Tableau1[[#This Row],[Final]]-Tableau1[[#This Row],[HM]]</f>
        <v>22</v>
      </c>
      <c r="R83">
        <f>Tableau1[[#This Row],[Final]]-Tableau1[[#This Row],[Pool Pro]]</f>
        <v>19</v>
      </c>
      <c r="S83">
        <f>Tableau1[[#This Row],[Final]]-Tableau1[[#This Row],[ESPN]]</f>
        <v>28</v>
      </c>
      <c r="T83">
        <f>Tableau1[[#This Row],[Final]]-Tableau1[[#This Row],[CBS]]</f>
        <v>14</v>
      </c>
      <c r="U83">
        <f>Tableau1[[#This Row],[Final]]-Tableau1[[#This Row],[Moyenne]]</f>
        <v>20.333333333333336</v>
      </c>
    </row>
    <row r="84" spans="1:21" ht="15.75" thickBot="1" x14ac:dyDescent="0.3">
      <c r="A84" s="2"/>
      <c r="B84" t="s">
        <v>158</v>
      </c>
      <c r="C84" t="s">
        <v>159</v>
      </c>
      <c r="D84" t="str">
        <f>Tableau1[[#This Row],[Prenom]]&amp;" "&amp;Tableau1[[#This Row],[Nom]]</f>
        <v>Jamie Benn</v>
      </c>
      <c r="E84">
        <f>VLOOKUP(Tableau1[[#This Row],[Colonne2]],'BCP stats'!$C$6:$D$305,2,FALSE)</f>
        <v>27</v>
      </c>
      <c r="G84" s="13">
        <v>90</v>
      </c>
      <c r="H84">
        <v>92</v>
      </c>
      <c r="I84">
        <v>91</v>
      </c>
      <c r="J84">
        <v>82</v>
      </c>
      <c r="K84">
        <v>93</v>
      </c>
      <c r="L84">
        <v>92</v>
      </c>
      <c r="M84" s="9">
        <f>AVERAGE(Tableau1[[#This Row],[Lepool.com]:[CBS]])</f>
        <v>90</v>
      </c>
      <c r="N84" s="9">
        <f>VLOOKUP(Tableau1[[#This Row],[Colonne2]],Final!$B$3:$I$302,4,FALSE)</f>
        <v>77</v>
      </c>
      <c r="O84" s="9">
        <f>VLOOKUP(Tableau1[[#This Row],[Colonne2]],Final!$B$3:$I$302,7,FALSE)</f>
        <v>69</v>
      </c>
      <c r="P84">
        <f>Tableau1[[#This Row],[Final]]-Tableau1[[#This Row],[Lepool.com]]</f>
        <v>-21</v>
      </c>
      <c r="Q84">
        <f>Tableau1[[#This Row],[Final]]-Tableau1[[#This Row],[HM]]</f>
        <v>-23</v>
      </c>
      <c r="R84">
        <f>Tableau1[[#This Row],[Final]]-Tableau1[[#This Row],[Pool Pro]]</f>
        <v>-22</v>
      </c>
      <c r="S84">
        <f>Tableau1[[#This Row],[Final]]-Tableau1[[#This Row],[ESPN]]</f>
        <v>-24</v>
      </c>
      <c r="T84">
        <f>Tableau1[[#This Row],[Final]]-Tableau1[[#This Row],[CBS]]</f>
        <v>-23</v>
      </c>
      <c r="U84">
        <f>Tableau1[[#This Row],[Final]]-Tableau1[[#This Row],[Moyenne]]</f>
        <v>-21</v>
      </c>
    </row>
    <row r="85" spans="1:21" ht="15.75" thickBot="1" x14ac:dyDescent="0.3">
      <c r="A85" s="1"/>
      <c r="B85" t="s">
        <v>228</v>
      </c>
      <c r="C85" t="s">
        <v>229</v>
      </c>
      <c r="D85" t="str">
        <f>Tableau1[[#This Row],[Prenom]]&amp;" "&amp;Tableau1[[#This Row],[Nom]]</f>
        <v>Logan Couture</v>
      </c>
      <c r="E85">
        <f>VLOOKUP(Tableau1[[#This Row],[Colonne2]],'BCP stats'!$C$6:$D$305,2,FALSE)</f>
        <v>27</v>
      </c>
      <c r="G85" s="13">
        <v>65</v>
      </c>
      <c r="H85">
        <v>65</v>
      </c>
      <c r="I85">
        <v>68</v>
      </c>
      <c r="J85">
        <v>63</v>
      </c>
      <c r="K85">
        <v>56</v>
      </c>
      <c r="L85">
        <v>68</v>
      </c>
      <c r="M85" s="9">
        <f>AVERAGE(Tableau1[[#This Row],[Lepool.com]:[CBS]])</f>
        <v>64.166666666666671</v>
      </c>
      <c r="N85" s="9">
        <f>VLOOKUP(Tableau1[[#This Row],[Colonne2]],Final!$B$3:$I$302,4,FALSE)</f>
        <v>73</v>
      </c>
      <c r="O85" s="9">
        <f>VLOOKUP(Tableau1[[#This Row],[Colonne2]],Final!$B$3:$I$302,7,FALSE)</f>
        <v>52</v>
      </c>
      <c r="P85">
        <f>Tableau1[[#This Row],[Final]]-Tableau1[[#This Row],[Lepool.com]]</f>
        <v>-13</v>
      </c>
      <c r="Q85">
        <f>Tableau1[[#This Row],[Final]]-Tableau1[[#This Row],[HM]]</f>
        <v>-13</v>
      </c>
      <c r="R85">
        <f>Tableau1[[#This Row],[Final]]-Tableau1[[#This Row],[Pool Pro]]</f>
        <v>-16</v>
      </c>
      <c r="S85">
        <f>Tableau1[[#This Row],[Final]]-Tableau1[[#This Row],[ESPN]]</f>
        <v>-4</v>
      </c>
      <c r="T85">
        <f>Tableau1[[#This Row],[Final]]-Tableau1[[#This Row],[CBS]]</f>
        <v>-16</v>
      </c>
      <c r="U85">
        <f>Tableau1[[#This Row],[Final]]-Tableau1[[#This Row],[Moyenne]]</f>
        <v>-12.166666666666671</v>
      </c>
    </row>
    <row r="86" spans="1:21" ht="15.75" thickBot="1" x14ac:dyDescent="0.3">
      <c r="A86" s="1"/>
      <c r="B86" t="s">
        <v>254</v>
      </c>
      <c r="C86" t="s">
        <v>255</v>
      </c>
      <c r="D86" t="str">
        <f>Tableau1[[#This Row],[Prenom]]&amp;" "&amp;Tableau1[[#This Row],[Nom]]</f>
        <v>Kyle Turris</v>
      </c>
      <c r="E86">
        <f>VLOOKUP(Tableau1[[#This Row],[Colonne2]],'BCP stats'!$C$6:$D$305,2,FALSE)</f>
        <v>27</v>
      </c>
      <c r="G86" s="13">
        <v>61</v>
      </c>
      <c r="H86">
        <v>66</v>
      </c>
      <c r="I86">
        <v>61</v>
      </c>
      <c r="J86">
        <v>53</v>
      </c>
      <c r="K86">
        <v>46</v>
      </c>
      <c r="L86">
        <v>45</v>
      </c>
      <c r="M86" s="9">
        <f>AVERAGE(Tableau1[[#This Row],[Lepool.com]:[CBS]])</f>
        <v>55.333333333333336</v>
      </c>
      <c r="N86" s="9">
        <f>VLOOKUP(Tableau1[[#This Row],[Colonne2]],Final!$B$3:$I$302,4,FALSE)</f>
        <v>78</v>
      </c>
      <c r="O86" s="9">
        <f>VLOOKUP(Tableau1[[#This Row],[Colonne2]],Final!$B$3:$I$302,7,FALSE)</f>
        <v>55</v>
      </c>
      <c r="P86">
        <f>Tableau1[[#This Row],[Final]]-Tableau1[[#This Row],[Lepool.com]]</f>
        <v>-6</v>
      </c>
      <c r="Q86">
        <f>Tableau1[[#This Row],[Final]]-Tableau1[[#This Row],[HM]]</f>
        <v>-11</v>
      </c>
      <c r="R86">
        <f>Tableau1[[#This Row],[Final]]-Tableau1[[#This Row],[Pool Pro]]</f>
        <v>-6</v>
      </c>
      <c r="S86">
        <f>Tableau1[[#This Row],[Final]]-Tableau1[[#This Row],[ESPN]]</f>
        <v>9</v>
      </c>
      <c r="T86">
        <f>Tableau1[[#This Row],[Final]]-Tableau1[[#This Row],[CBS]]</f>
        <v>10</v>
      </c>
      <c r="U86">
        <f>Tableau1[[#This Row],[Final]]-Tableau1[[#This Row],[Moyenne]]</f>
        <v>-0.3333333333333357</v>
      </c>
    </row>
    <row r="87" spans="1:21" ht="15.75" thickBot="1" x14ac:dyDescent="0.3">
      <c r="A87" s="2"/>
      <c r="B87" t="s">
        <v>349</v>
      </c>
      <c r="C87" t="s">
        <v>350</v>
      </c>
      <c r="D87" t="str">
        <f>Tableau1[[#This Row],[Prenom]]&amp;" "&amp;Tableau1[[#This Row],[Nom]]</f>
        <v>Drew Doughty</v>
      </c>
      <c r="E87">
        <f>VLOOKUP(Tableau1[[#This Row],[Colonne2]],'BCP stats'!$C$6:$D$305,2,FALSE)</f>
        <v>27</v>
      </c>
      <c r="G87" s="22">
        <v>53</v>
      </c>
      <c r="H87">
        <v>50</v>
      </c>
      <c r="I87">
        <v>46</v>
      </c>
      <c r="J87">
        <v>48</v>
      </c>
      <c r="K87">
        <v>46</v>
      </c>
      <c r="L87">
        <v>49</v>
      </c>
      <c r="M87" s="9">
        <f>AVERAGE(Tableau1[[#This Row],[Lepool.com]:[CBS]])</f>
        <v>48.666666666666664</v>
      </c>
      <c r="N87" s="9">
        <f>VLOOKUP(Tableau1[[#This Row],[Colonne2]],Final!$B$3:$I$302,4,FALSE)</f>
        <v>82</v>
      </c>
      <c r="O87" s="9">
        <f>VLOOKUP(Tableau1[[#This Row],[Colonne2]],Final!$B$3:$I$302,7,FALSE)</f>
        <v>44</v>
      </c>
      <c r="P87">
        <f>Tableau1[[#This Row],[Final]]-Tableau1[[#This Row],[Lepool.com]]</f>
        <v>-9</v>
      </c>
      <c r="Q87">
        <f>Tableau1[[#This Row],[Final]]-Tableau1[[#This Row],[HM]]</f>
        <v>-6</v>
      </c>
      <c r="R87">
        <f>Tableau1[[#This Row],[Final]]-Tableau1[[#This Row],[Pool Pro]]</f>
        <v>-2</v>
      </c>
      <c r="S87">
        <f>Tableau1[[#This Row],[Final]]-Tableau1[[#This Row],[ESPN]]</f>
        <v>-2</v>
      </c>
      <c r="T87">
        <f>Tableau1[[#This Row],[Final]]-Tableau1[[#This Row],[CBS]]</f>
        <v>-5</v>
      </c>
      <c r="U87">
        <f>Tableau1[[#This Row],[Final]]-Tableau1[[#This Row],[Moyenne]]</f>
        <v>-4.6666666666666643</v>
      </c>
    </row>
    <row r="88" spans="1:21" ht="15.75" thickBot="1" x14ac:dyDescent="0.3">
      <c r="A88" s="1"/>
      <c r="B88" t="s">
        <v>233</v>
      </c>
      <c r="C88" t="s">
        <v>1433</v>
      </c>
      <c r="D88" t="str">
        <f>Tableau1[[#This Row],[Prenom]]&amp;" "&amp;Tableau1[[#This Row],[Nom]]</f>
        <v>Alex Killorn</v>
      </c>
      <c r="E88">
        <f>VLOOKUP(Tableau1[[#This Row],[Colonne2]],'BCP stats'!$C$6:$D$305,2,FALSE)</f>
        <v>27</v>
      </c>
      <c r="G88" s="22"/>
      <c r="H88">
        <v>42</v>
      </c>
      <c r="I88">
        <v>47</v>
      </c>
      <c r="J88">
        <v>44</v>
      </c>
      <c r="K88">
        <v>39</v>
      </c>
      <c r="L88">
        <v>49</v>
      </c>
      <c r="M88" s="21">
        <f>AVERAGE(Tableau1[[#This Row],[Lepool.com]:[CBS]])</f>
        <v>44.2</v>
      </c>
      <c r="N88" s="21">
        <f>VLOOKUP(Tableau1[[#This Row],[Colonne2]],Final!$B$3:$I$302,4,FALSE)</f>
        <v>81</v>
      </c>
      <c r="O88" s="9">
        <f>VLOOKUP(Tableau1[[#This Row],[Colonne2]],Final!$B$3:$I$302,7,FALSE)</f>
        <v>36</v>
      </c>
      <c r="P88">
        <f>Tableau1[[#This Row],[Final]]-Tableau1[[#This Row],[Lepool.com]]</f>
        <v>36</v>
      </c>
      <c r="Q88">
        <f>Tableau1[[#This Row],[Final]]-Tableau1[[#This Row],[HM]]</f>
        <v>-6</v>
      </c>
      <c r="R88">
        <f>Tableau1[[#This Row],[Final]]-Tableau1[[#This Row],[Pool Pro]]</f>
        <v>-11</v>
      </c>
      <c r="S88">
        <f>Tableau1[[#This Row],[Final]]-Tableau1[[#This Row],[ESPN]]</f>
        <v>-3</v>
      </c>
      <c r="T88">
        <f>Tableau1[[#This Row],[Final]]-Tableau1[[#This Row],[CBS]]</f>
        <v>-13</v>
      </c>
      <c r="U88">
        <f>Tableau1[[#This Row],[Final]]-Tableau1[[#This Row],[Moyenne]]</f>
        <v>-8.2000000000000028</v>
      </c>
    </row>
    <row r="89" spans="1:21" ht="15.75" thickBot="1" x14ac:dyDescent="0.3">
      <c r="A89" s="1"/>
      <c r="B89" t="s">
        <v>290</v>
      </c>
      <c r="C89" t="s">
        <v>291</v>
      </c>
      <c r="D89" t="str">
        <f>Tableau1[[#This Row],[Prenom]]&amp;" "&amp;Tableau1[[#This Row],[Nom]]</f>
        <v>Mike Hoffman</v>
      </c>
      <c r="E89">
        <f>VLOOKUP(Tableau1[[#This Row],[Colonne2]],'BCP stats'!$C$6:$D$305,2,FALSE)</f>
        <v>27</v>
      </c>
      <c r="G89" s="13">
        <v>57</v>
      </c>
      <c r="H89">
        <v>63</v>
      </c>
      <c r="I89">
        <v>58</v>
      </c>
      <c r="J89">
        <v>60</v>
      </c>
      <c r="K89">
        <v>60</v>
      </c>
      <c r="L89">
        <v>67</v>
      </c>
      <c r="M89" s="9">
        <f>AVERAGE(Tableau1[[#This Row],[Lepool.com]:[CBS]])</f>
        <v>60.833333333333336</v>
      </c>
      <c r="N89" s="9">
        <f>VLOOKUP(Tableau1[[#This Row],[Colonne2]],Final!$B$3:$I$302,4,FALSE)</f>
        <v>74</v>
      </c>
      <c r="O89" s="9">
        <f>VLOOKUP(Tableau1[[#This Row],[Colonne2]],Final!$B$3:$I$302,7,FALSE)</f>
        <v>61</v>
      </c>
      <c r="P89">
        <f>Tableau1[[#This Row],[Final]]-Tableau1[[#This Row],[Lepool.com]]</f>
        <v>4</v>
      </c>
      <c r="Q89">
        <f>Tableau1[[#This Row],[Final]]-Tableau1[[#This Row],[HM]]</f>
        <v>-2</v>
      </c>
      <c r="R89">
        <f>Tableau1[[#This Row],[Final]]-Tableau1[[#This Row],[Pool Pro]]</f>
        <v>3</v>
      </c>
      <c r="S89">
        <f>Tableau1[[#This Row],[Final]]-Tableau1[[#This Row],[ESPN]]</f>
        <v>1</v>
      </c>
      <c r="T89">
        <f>Tableau1[[#This Row],[Final]]-Tableau1[[#This Row],[CBS]]</f>
        <v>-6</v>
      </c>
      <c r="U89">
        <f>Tableau1[[#This Row],[Final]]-Tableau1[[#This Row],[Moyenne]]</f>
        <v>0.1666666666666643</v>
      </c>
    </row>
    <row r="90" spans="1:21" ht="15.75" thickBot="1" x14ac:dyDescent="0.3">
      <c r="A90" s="2"/>
      <c r="B90" t="s">
        <v>314</v>
      </c>
      <c r="C90" t="s">
        <v>315</v>
      </c>
      <c r="D90" t="str">
        <f>Tableau1[[#This Row],[Prenom]]&amp;" "&amp;Tableau1[[#This Row],[Nom]]</f>
        <v>Gustav Nyquist</v>
      </c>
      <c r="E90">
        <f>VLOOKUP(Tableau1[[#This Row],[Colonne2]],'BCP stats'!$C$6:$D$305,2,FALSE)</f>
        <v>27</v>
      </c>
      <c r="G90" s="13">
        <v>55</v>
      </c>
      <c r="H90">
        <v>48</v>
      </c>
      <c r="I90">
        <v>48</v>
      </c>
      <c r="J90">
        <v>50</v>
      </c>
      <c r="K90">
        <v>47</v>
      </c>
      <c r="L90">
        <v>44</v>
      </c>
      <c r="M90" s="9">
        <f>AVERAGE(Tableau1[[#This Row],[Lepool.com]:[CBS]])</f>
        <v>48.666666666666664</v>
      </c>
      <c r="N90" s="9">
        <f>VLOOKUP(Tableau1[[#This Row],[Colonne2]],Final!$B$3:$I$302,4,FALSE)</f>
        <v>76</v>
      </c>
      <c r="O90" s="9">
        <f>VLOOKUP(Tableau1[[#This Row],[Colonne2]],Final!$B$3:$I$302,7,FALSE)</f>
        <v>48</v>
      </c>
      <c r="P90">
        <f>Tableau1[[#This Row],[Final]]-Tableau1[[#This Row],[Lepool.com]]</f>
        <v>-7</v>
      </c>
      <c r="Q90">
        <f>Tableau1[[#This Row],[Final]]-Tableau1[[#This Row],[HM]]</f>
        <v>0</v>
      </c>
      <c r="R90">
        <f>Tableau1[[#This Row],[Final]]-Tableau1[[#This Row],[Pool Pro]]</f>
        <v>0</v>
      </c>
      <c r="S90">
        <f>Tableau1[[#This Row],[Final]]-Tableau1[[#This Row],[ESPN]]</f>
        <v>1</v>
      </c>
      <c r="T90">
        <f>Tableau1[[#This Row],[Final]]-Tableau1[[#This Row],[CBS]]</f>
        <v>4</v>
      </c>
      <c r="U90">
        <f>Tableau1[[#This Row],[Final]]-Tableau1[[#This Row],[Moyenne]]</f>
        <v>-0.6666666666666643</v>
      </c>
    </row>
    <row r="91" spans="1:21" ht="15.75" thickBot="1" x14ac:dyDescent="0.3">
      <c r="A91" s="1"/>
      <c r="B91" t="s">
        <v>257</v>
      </c>
      <c r="C91" t="s">
        <v>710</v>
      </c>
      <c r="D91" t="str">
        <f>Tableau1[[#This Row],[Prenom]]&amp;" "&amp;Tableau1[[#This Row],[Nom]]</f>
        <v>James van Riemsdyk</v>
      </c>
      <c r="E91">
        <f>VLOOKUP(Tableau1[[#This Row],[Colonne2]],'BCP stats'!$C$6:$D$305,2,FALSE)</f>
        <v>27</v>
      </c>
      <c r="G91" s="13">
        <v>61</v>
      </c>
      <c r="H91">
        <v>58</v>
      </c>
      <c r="I91">
        <v>58</v>
      </c>
      <c r="J91">
        <v>64</v>
      </c>
      <c r="K91">
        <v>54</v>
      </c>
      <c r="L91">
        <v>59</v>
      </c>
      <c r="M91" s="9">
        <f>AVERAGE(Tableau1[[#This Row],[Lepool.com]:[CBS]])</f>
        <v>59</v>
      </c>
      <c r="N91" s="9">
        <f>VLOOKUP(Tableau1[[#This Row],[Colonne2]],Final!$B$3:$I$302,4,FALSE)</f>
        <v>82</v>
      </c>
      <c r="O91" s="9">
        <f>VLOOKUP(Tableau1[[#This Row],[Colonne2]],Final!$B$3:$I$302,7,FALSE)</f>
        <v>62</v>
      </c>
      <c r="P91">
        <f>Tableau1[[#This Row],[Final]]-Tableau1[[#This Row],[Lepool.com]]</f>
        <v>1</v>
      </c>
      <c r="Q91">
        <f>Tableau1[[#This Row],[Final]]-Tableau1[[#This Row],[HM]]</f>
        <v>4</v>
      </c>
      <c r="R91">
        <f>Tableau1[[#This Row],[Final]]-Tableau1[[#This Row],[Pool Pro]]</f>
        <v>4</v>
      </c>
      <c r="S91">
        <f>Tableau1[[#This Row],[Final]]-Tableau1[[#This Row],[ESPN]]</f>
        <v>8</v>
      </c>
      <c r="T91">
        <f>Tableau1[[#This Row],[Final]]-Tableau1[[#This Row],[CBS]]</f>
        <v>3</v>
      </c>
      <c r="U91">
        <f>Tableau1[[#This Row],[Final]]-Tableau1[[#This Row],[Moyenne]]</f>
        <v>3</v>
      </c>
    </row>
    <row r="92" spans="1:21" ht="15.75" thickBot="1" x14ac:dyDescent="0.3">
      <c r="A92" s="1"/>
      <c r="B92" t="s">
        <v>386</v>
      </c>
      <c r="C92" t="s">
        <v>430</v>
      </c>
      <c r="D92" t="str">
        <f>Tableau1[[#This Row],[Prenom]]&amp;" "&amp;Tableau1[[#This Row],[Nom]]</f>
        <v>Mikael Backlund</v>
      </c>
      <c r="E92">
        <f>VLOOKUP(Tableau1[[#This Row],[Colonne2]],'BCP stats'!$C$6:$D$305,2,FALSE)</f>
        <v>27</v>
      </c>
      <c r="G92" s="22">
        <v>47</v>
      </c>
      <c r="H92">
        <v>43</v>
      </c>
      <c r="I92">
        <v>44</v>
      </c>
      <c r="J92">
        <v>42</v>
      </c>
      <c r="K92">
        <v>50</v>
      </c>
      <c r="L92">
        <v>44</v>
      </c>
      <c r="M92" s="9">
        <f>AVERAGE(Tableau1[[#This Row],[Lepool.com]:[CBS]])</f>
        <v>45</v>
      </c>
      <c r="N92" s="9">
        <f>VLOOKUP(Tableau1[[#This Row],[Colonne2]],Final!$B$3:$I$302,4,FALSE)</f>
        <v>81</v>
      </c>
      <c r="O92" s="9">
        <f>VLOOKUP(Tableau1[[#This Row],[Colonne2]],Final!$B$3:$I$302,7,FALSE)</f>
        <v>53</v>
      </c>
      <c r="P92">
        <f>Tableau1[[#This Row],[Final]]-Tableau1[[#This Row],[Lepool.com]]</f>
        <v>6</v>
      </c>
      <c r="Q92">
        <f>Tableau1[[#This Row],[Final]]-Tableau1[[#This Row],[HM]]</f>
        <v>10</v>
      </c>
      <c r="R92">
        <f>Tableau1[[#This Row],[Final]]-Tableau1[[#This Row],[Pool Pro]]</f>
        <v>9</v>
      </c>
      <c r="S92">
        <f>Tableau1[[#This Row],[Final]]-Tableau1[[#This Row],[ESPN]]</f>
        <v>3</v>
      </c>
      <c r="T92">
        <f>Tableau1[[#This Row],[Final]]-Tableau1[[#This Row],[CBS]]</f>
        <v>9</v>
      </c>
      <c r="U92">
        <f>Tableau1[[#This Row],[Final]]-Tableau1[[#This Row],[Moyenne]]</f>
        <v>8</v>
      </c>
    </row>
    <row r="93" spans="1:21" ht="15.75" thickBot="1" x14ac:dyDescent="0.3">
      <c r="A93" s="2"/>
      <c r="B93" t="s">
        <v>426</v>
      </c>
      <c r="C93" t="s">
        <v>427</v>
      </c>
      <c r="D93" t="str">
        <f>Tableau1[[#This Row],[Prenom]]&amp;" "&amp;Tableau1[[#This Row],[Nom]]</f>
        <v>Kevin Shattenkirk</v>
      </c>
      <c r="E93">
        <f>VLOOKUP(Tableau1[[#This Row],[Colonne2]],'BCP stats'!$C$6:$D$305,2,FALSE)</f>
        <v>27</v>
      </c>
      <c r="G93" s="22">
        <v>48</v>
      </c>
      <c r="H93">
        <v>45</v>
      </c>
      <c r="I93">
        <v>46</v>
      </c>
      <c r="J93">
        <v>49</v>
      </c>
      <c r="K93">
        <v>38</v>
      </c>
      <c r="L93">
        <v>50</v>
      </c>
      <c r="M93" s="9">
        <f>AVERAGE(Tableau1[[#This Row],[Lepool.com]:[CBS]])</f>
        <v>46</v>
      </c>
      <c r="N93" s="9">
        <f>VLOOKUP(Tableau1[[#This Row],[Colonne2]],Final!$B$3:$I$302,4,FALSE)</f>
        <v>80</v>
      </c>
      <c r="O93" s="9">
        <f>VLOOKUP(Tableau1[[#This Row],[Colonne2]],Final!$B$3:$I$302,7,FALSE)</f>
        <v>56</v>
      </c>
      <c r="P93">
        <f>Tableau1[[#This Row],[Final]]-Tableau1[[#This Row],[Lepool.com]]</f>
        <v>8</v>
      </c>
      <c r="Q93">
        <f>Tableau1[[#This Row],[Final]]-Tableau1[[#This Row],[HM]]</f>
        <v>11</v>
      </c>
      <c r="R93">
        <f>Tableau1[[#This Row],[Final]]-Tableau1[[#This Row],[Pool Pro]]</f>
        <v>10</v>
      </c>
      <c r="S93">
        <f>Tableau1[[#This Row],[Final]]-Tableau1[[#This Row],[ESPN]]</f>
        <v>18</v>
      </c>
      <c r="T93">
        <f>Tableau1[[#This Row],[Final]]-Tableau1[[#This Row],[CBS]]</f>
        <v>6</v>
      </c>
      <c r="U93">
        <f>Tableau1[[#This Row],[Final]]-Tableau1[[#This Row],[Moyenne]]</f>
        <v>10</v>
      </c>
    </row>
    <row r="94" spans="1:21" ht="15.75" thickBot="1" x14ac:dyDescent="0.3">
      <c r="A94" s="1"/>
      <c r="B94" t="s">
        <v>329</v>
      </c>
      <c r="C94" t="s">
        <v>330</v>
      </c>
      <c r="D94" t="str">
        <f>Tableau1[[#This Row],[Prenom]]&amp;" "&amp;Tableau1[[#This Row],[Nom]]</f>
        <v>Cam Atkinson</v>
      </c>
      <c r="E94">
        <f>VLOOKUP(Tableau1[[#This Row],[Colonne2]],'BCP stats'!$C$6:$D$305,2,FALSE)</f>
        <v>27</v>
      </c>
      <c r="G94" s="13">
        <v>54</v>
      </c>
      <c r="H94">
        <v>49</v>
      </c>
      <c r="I94">
        <v>48</v>
      </c>
      <c r="J94">
        <v>41</v>
      </c>
      <c r="K94">
        <v>49</v>
      </c>
      <c r="L94">
        <v>53</v>
      </c>
      <c r="M94" s="9">
        <f>AVERAGE(Tableau1[[#This Row],[Lepool.com]:[CBS]])</f>
        <v>49</v>
      </c>
      <c r="N94" s="9">
        <f>VLOOKUP(Tableau1[[#This Row],[Colonne2]],Final!$B$3:$I$302,4,FALSE)</f>
        <v>82</v>
      </c>
      <c r="O94" s="9">
        <f>VLOOKUP(Tableau1[[#This Row],[Colonne2]],Final!$B$3:$I$302,7,FALSE)</f>
        <v>62</v>
      </c>
      <c r="P94">
        <f>Tableau1[[#This Row],[Final]]-Tableau1[[#This Row],[Lepool.com]]</f>
        <v>8</v>
      </c>
      <c r="Q94">
        <f>Tableau1[[#This Row],[Final]]-Tableau1[[#This Row],[HM]]</f>
        <v>13</v>
      </c>
      <c r="R94">
        <f>Tableau1[[#This Row],[Final]]-Tableau1[[#This Row],[Pool Pro]]</f>
        <v>14</v>
      </c>
      <c r="S94">
        <f>Tableau1[[#This Row],[Final]]-Tableau1[[#This Row],[ESPN]]</f>
        <v>13</v>
      </c>
      <c r="T94">
        <f>Tableau1[[#This Row],[Final]]-Tableau1[[#This Row],[CBS]]</f>
        <v>9</v>
      </c>
      <c r="U94">
        <f>Tableau1[[#This Row],[Final]]-Tableau1[[#This Row],[Moyenne]]</f>
        <v>13</v>
      </c>
    </row>
    <row r="95" spans="1:21" ht="15.75" thickBot="1" x14ac:dyDescent="0.3">
      <c r="A95" s="1"/>
      <c r="B95" t="s">
        <v>184</v>
      </c>
      <c r="C95" t="s">
        <v>185</v>
      </c>
      <c r="D95" t="str">
        <f>Tableau1[[#This Row],[Prenom]]&amp;" "&amp;Tableau1[[#This Row],[Nom]]</f>
        <v>Claude Giroux</v>
      </c>
      <c r="E95">
        <f>VLOOKUP(Tableau1[[#This Row],[Colonne2]],'BCP stats'!$C$6:$D$305,2,FALSE)</f>
        <v>28</v>
      </c>
      <c r="G95" s="13">
        <v>75</v>
      </c>
      <c r="H95">
        <v>77</v>
      </c>
      <c r="I95">
        <v>76</v>
      </c>
      <c r="J95">
        <v>73</v>
      </c>
      <c r="K95">
        <v>70</v>
      </c>
      <c r="L95">
        <v>73</v>
      </c>
      <c r="M95" s="9">
        <f>AVERAGE(Tableau1[[#This Row],[Lepool.com]:[CBS]])</f>
        <v>74</v>
      </c>
      <c r="N95" s="9">
        <f>VLOOKUP(Tableau1[[#This Row],[Colonne2]],Final!$B$3:$I$302,4,FALSE)</f>
        <v>82</v>
      </c>
      <c r="O95" s="9">
        <f>VLOOKUP(Tableau1[[#This Row],[Colonne2]],Final!$B$3:$I$302,7,FALSE)</f>
        <v>58</v>
      </c>
      <c r="P95">
        <f>Tableau1[[#This Row],[Final]]-Tableau1[[#This Row],[Lepool.com]]</f>
        <v>-17</v>
      </c>
      <c r="Q95">
        <f>Tableau1[[#This Row],[Final]]-Tableau1[[#This Row],[HM]]</f>
        <v>-19</v>
      </c>
      <c r="R95">
        <f>Tableau1[[#This Row],[Final]]-Tableau1[[#This Row],[Pool Pro]]</f>
        <v>-18</v>
      </c>
      <c r="S95">
        <f>Tableau1[[#This Row],[Final]]-Tableau1[[#This Row],[ESPN]]</f>
        <v>-12</v>
      </c>
      <c r="T95">
        <f>Tableau1[[#This Row],[Final]]-Tableau1[[#This Row],[CBS]]</f>
        <v>-15</v>
      </c>
      <c r="U95">
        <f>Tableau1[[#This Row],[Final]]-Tableau1[[#This Row],[Moyenne]]</f>
        <v>-16</v>
      </c>
    </row>
    <row r="96" spans="1:21" ht="15.75" thickBot="1" x14ac:dyDescent="0.3">
      <c r="A96" s="2"/>
      <c r="B96" t="s">
        <v>254</v>
      </c>
      <c r="C96" t="s">
        <v>258</v>
      </c>
      <c r="D96" t="str">
        <f>Tableau1[[#This Row],[Prenom]]&amp;" "&amp;Tableau1[[#This Row],[Nom]]</f>
        <v>Kyle Okposo</v>
      </c>
      <c r="E96">
        <f>VLOOKUP(Tableau1[[#This Row],[Colonne2]],'BCP stats'!$C$6:$D$305,2,FALSE)</f>
        <v>28</v>
      </c>
      <c r="G96" s="13">
        <v>61</v>
      </c>
      <c r="H96">
        <v>57</v>
      </c>
      <c r="I96">
        <v>62</v>
      </c>
      <c r="J96">
        <v>56</v>
      </c>
      <c r="K96">
        <v>50</v>
      </c>
      <c r="L96">
        <v>54</v>
      </c>
      <c r="M96" s="9">
        <f>AVERAGE(Tableau1[[#This Row],[Lepool.com]:[CBS]])</f>
        <v>56.666666666666664</v>
      </c>
      <c r="N96" s="9">
        <f>VLOOKUP(Tableau1[[#This Row],[Colonne2]],Final!$B$3:$I$302,4,FALSE)</f>
        <v>65</v>
      </c>
      <c r="O96" s="9">
        <f>VLOOKUP(Tableau1[[#This Row],[Colonne2]],Final!$B$3:$I$302,7,FALSE)</f>
        <v>45</v>
      </c>
      <c r="P96">
        <f>Tableau1[[#This Row],[Final]]-Tableau1[[#This Row],[Lepool.com]]</f>
        <v>-16</v>
      </c>
      <c r="Q96">
        <f>Tableau1[[#This Row],[Final]]-Tableau1[[#This Row],[HM]]</f>
        <v>-12</v>
      </c>
      <c r="R96">
        <f>Tableau1[[#This Row],[Final]]-Tableau1[[#This Row],[Pool Pro]]</f>
        <v>-17</v>
      </c>
      <c r="S96">
        <f>Tableau1[[#This Row],[Final]]-Tableau1[[#This Row],[ESPN]]</f>
        <v>-5</v>
      </c>
      <c r="T96">
        <f>Tableau1[[#This Row],[Final]]-Tableau1[[#This Row],[CBS]]</f>
        <v>-9</v>
      </c>
      <c r="U96">
        <f>Tableau1[[#This Row],[Final]]-Tableau1[[#This Row],[Moyenne]]</f>
        <v>-11.666666666666664</v>
      </c>
    </row>
    <row r="97" spans="1:21" ht="15.75" thickBot="1" x14ac:dyDescent="0.3">
      <c r="A97" s="1"/>
      <c r="B97" t="s">
        <v>218</v>
      </c>
      <c r="C97" t="s">
        <v>242</v>
      </c>
      <c r="D97" t="str">
        <f>Tableau1[[#This Row],[Prenom]]&amp;" "&amp;Tableau1[[#This Row],[Nom]]</f>
        <v>Jonathan Toews</v>
      </c>
      <c r="E97">
        <f>VLOOKUP(Tableau1[[#This Row],[Colonne2]],'BCP stats'!$C$6:$D$305,2,FALSE)</f>
        <v>28</v>
      </c>
      <c r="G97" s="13">
        <v>63</v>
      </c>
      <c r="H97">
        <v>67</v>
      </c>
      <c r="I97">
        <v>62</v>
      </c>
      <c r="J97">
        <v>63</v>
      </c>
      <c r="K97">
        <v>60</v>
      </c>
      <c r="L97">
        <v>64</v>
      </c>
      <c r="M97" s="9">
        <f>AVERAGE(Tableau1[[#This Row],[Lepool.com]:[CBS]])</f>
        <v>63.166666666666664</v>
      </c>
      <c r="N97" s="9">
        <f>VLOOKUP(Tableau1[[#This Row],[Colonne2]],Final!$B$3:$I$302,4,FALSE)</f>
        <v>72</v>
      </c>
      <c r="O97" s="9">
        <f>VLOOKUP(Tableau1[[#This Row],[Colonne2]],Final!$B$3:$I$302,7,FALSE)</f>
        <v>58</v>
      </c>
      <c r="P97">
        <f>Tableau1[[#This Row],[Final]]-Tableau1[[#This Row],[Lepool.com]]</f>
        <v>-5</v>
      </c>
      <c r="Q97">
        <f>Tableau1[[#This Row],[Final]]-Tableau1[[#This Row],[HM]]</f>
        <v>-9</v>
      </c>
      <c r="R97">
        <f>Tableau1[[#This Row],[Final]]-Tableau1[[#This Row],[Pool Pro]]</f>
        <v>-4</v>
      </c>
      <c r="S97">
        <f>Tableau1[[#This Row],[Final]]-Tableau1[[#This Row],[ESPN]]</f>
        <v>-2</v>
      </c>
      <c r="T97">
        <f>Tableau1[[#This Row],[Final]]-Tableau1[[#This Row],[CBS]]</f>
        <v>-6</v>
      </c>
      <c r="U97">
        <f>Tableau1[[#This Row],[Final]]-Tableau1[[#This Row],[Moyenne]]</f>
        <v>-5.1666666666666643</v>
      </c>
    </row>
    <row r="98" spans="1:21" ht="15.75" thickBot="1" x14ac:dyDescent="0.3">
      <c r="A98" s="1"/>
      <c r="B98" t="s">
        <v>282</v>
      </c>
      <c r="C98" t="s">
        <v>283</v>
      </c>
      <c r="D98" t="str">
        <f>Tableau1[[#This Row],[Prenom]]&amp;" "&amp;Tableau1[[#This Row],[Nom]]</f>
        <v>Milan Lucic</v>
      </c>
      <c r="E98">
        <f>VLOOKUP(Tableau1[[#This Row],[Colonne2]],'BCP stats'!$C$6:$D$305,2,FALSE)</f>
        <v>28</v>
      </c>
      <c r="G98" s="13">
        <v>58</v>
      </c>
      <c r="H98">
        <v>55</v>
      </c>
      <c r="I98">
        <v>63</v>
      </c>
      <c r="J98">
        <v>65</v>
      </c>
      <c r="K98">
        <v>51</v>
      </c>
      <c r="L98">
        <v>49</v>
      </c>
      <c r="M98" s="9">
        <f>AVERAGE(Tableau1[[#This Row],[Lepool.com]:[CBS]])</f>
        <v>56.833333333333336</v>
      </c>
      <c r="N98" s="9">
        <f>VLOOKUP(Tableau1[[#This Row],[Colonne2]],Final!$B$3:$I$302,4,FALSE)</f>
        <v>82</v>
      </c>
      <c r="O98" s="9">
        <f>VLOOKUP(Tableau1[[#This Row],[Colonne2]],Final!$B$3:$I$302,7,FALSE)</f>
        <v>50</v>
      </c>
      <c r="P98">
        <f>Tableau1[[#This Row],[Final]]-Tableau1[[#This Row],[Lepool.com]]</f>
        <v>-8</v>
      </c>
      <c r="Q98">
        <f>Tableau1[[#This Row],[Final]]-Tableau1[[#This Row],[HM]]</f>
        <v>-5</v>
      </c>
      <c r="R98">
        <f>Tableau1[[#This Row],[Final]]-Tableau1[[#This Row],[Pool Pro]]</f>
        <v>-13</v>
      </c>
      <c r="S98">
        <f>Tableau1[[#This Row],[Final]]-Tableau1[[#This Row],[ESPN]]</f>
        <v>-1</v>
      </c>
      <c r="T98">
        <f>Tableau1[[#This Row],[Final]]-Tableau1[[#This Row],[CBS]]</f>
        <v>1</v>
      </c>
      <c r="U98">
        <f>Tableau1[[#This Row],[Final]]-Tableau1[[#This Row],[Moyenne]]</f>
        <v>-6.8333333333333357</v>
      </c>
    </row>
    <row r="99" spans="1:21" ht="15.75" thickBot="1" x14ac:dyDescent="0.3">
      <c r="A99" s="2"/>
      <c r="B99" t="s">
        <v>250</v>
      </c>
      <c r="C99" t="s">
        <v>251</v>
      </c>
      <c r="D99" t="str">
        <f>Tableau1[[#This Row],[Prenom]]&amp;" "&amp;Tableau1[[#This Row],[Nom]]</f>
        <v>Wayne Simmonds</v>
      </c>
      <c r="E99">
        <f>VLOOKUP(Tableau1[[#This Row],[Colonne2]],'BCP stats'!$C$6:$D$305,2,FALSE)</f>
        <v>28</v>
      </c>
      <c r="G99" s="13">
        <v>62</v>
      </c>
      <c r="H99">
        <v>58</v>
      </c>
      <c r="I99">
        <v>60</v>
      </c>
      <c r="J99">
        <v>60</v>
      </c>
      <c r="K99">
        <v>57</v>
      </c>
      <c r="L99">
        <v>65</v>
      </c>
      <c r="M99" s="9">
        <f>AVERAGE(Tableau1[[#This Row],[Lepool.com]:[CBS]])</f>
        <v>60.333333333333336</v>
      </c>
      <c r="N99" s="9">
        <f>VLOOKUP(Tableau1[[#This Row],[Colonne2]],Final!$B$3:$I$302,4,FALSE)</f>
        <v>82</v>
      </c>
      <c r="O99" s="9">
        <f>VLOOKUP(Tableau1[[#This Row],[Colonne2]],Final!$B$3:$I$302,7,FALSE)</f>
        <v>54</v>
      </c>
      <c r="P99">
        <f>Tableau1[[#This Row],[Final]]-Tableau1[[#This Row],[Lepool.com]]</f>
        <v>-8</v>
      </c>
      <c r="Q99">
        <f>Tableau1[[#This Row],[Final]]-Tableau1[[#This Row],[HM]]</f>
        <v>-4</v>
      </c>
      <c r="R99">
        <f>Tableau1[[#This Row],[Final]]-Tableau1[[#This Row],[Pool Pro]]</f>
        <v>-6</v>
      </c>
      <c r="S99">
        <f>Tableau1[[#This Row],[Final]]-Tableau1[[#This Row],[ESPN]]</f>
        <v>-3</v>
      </c>
      <c r="T99">
        <f>Tableau1[[#This Row],[Final]]-Tableau1[[#This Row],[CBS]]</f>
        <v>-11</v>
      </c>
      <c r="U99">
        <f>Tableau1[[#This Row],[Final]]-Tableau1[[#This Row],[Moyenne]]</f>
        <v>-6.3333333333333357</v>
      </c>
    </row>
    <row r="100" spans="1:21" ht="15.75" thickBot="1" x14ac:dyDescent="0.3">
      <c r="A100" s="1"/>
      <c r="B100" t="s">
        <v>226</v>
      </c>
      <c r="C100" t="s">
        <v>373</v>
      </c>
      <c r="D100" t="str">
        <f>Tableau1[[#This Row],[Prenom]]&amp;" "&amp;Tableau1[[#This Row],[Nom]]</f>
        <v>Jordan Staal</v>
      </c>
      <c r="E100">
        <f>VLOOKUP(Tableau1[[#This Row],[Colonne2]],'BCP stats'!$C$6:$D$305,2,FALSE)</f>
        <v>28</v>
      </c>
      <c r="G100" s="22">
        <v>51</v>
      </c>
      <c r="H100">
        <v>46</v>
      </c>
      <c r="I100">
        <v>46</v>
      </c>
      <c r="J100">
        <v>42</v>
      </c>
      <c r="K100">
        <v>47</v>
      </c>
      <c r="L100">
        <v>48</v>
      </c>
      <c r="M100" s="9">
        <f>AVERAGE(Tableau1[[#This Row],[Lepool.com]:[CBS]])</f>
        <v>46.666666666666664</v>
      </c>
      <c r="N100" s="9">
        <f>VLOOKUP(Tableau1[[#This Row],[Colonne2]],Final!$B$3:$I$302,4,FALSE)</f>
        <v>75</v>
      </c>
      <c r="O100" s="9">
        <f>VLOOKUP(Tableau1[[#This Row],[Colonne2]],Final!$B$3:$I$302,7,FALSE)</f>
        <v>45</v>
      </c>
      <c r="P100">
        <f>Tableau1[[#This Row],[Final]]-Tableau1[[#This Row],[Lepool.com]]</f>
        <v>-6</v>
      </c>
      <c r="Q100">
        <f>Tableau1[[#This Row],[Final]]-Tableau1[[#This Row],[HM]]</f>
        <v>-1</v>
      </c>
      <c r="R100">
        <f>Tableau1[[#This Row],[Final]]-Tableau1[[#This Row],[Pool Pro]]</f>
        <v>-1</v>
      </c>
      <c r="S100">
        <f>Tableau1[[#This Row],[Final]]-Tableau1[[#This Row],[ESPN]]</f>
        <v>-2</v>
      </c>
      <c r="T100">
        <f>Tableau1[[#This Row],[Final]]-Tableau1[[#This Row],[CBS]]</f>
        <v>-3</v>
      </c>
      <c r="U100">
        <f>Tableau1[[#This Row],[Final]]-Tableau1[[#This Row],[Moyenne]]</f>
        <v>-1.6666666666666643</v>
      </c>
    </row>
    <row r="101" spans="1:21" ht="15.75" thickBot="1" x14ac:dyDescent="0.3">
      <c r="A101" s="1"/>
      <c r="B101" t="s">
        <v>1233</v>
      </c>
      <c r="C101" t="s">
        <v>1234</v>
      </c>
      <c r="D101" t="str">
        <f>Tableau1[[#This Row],[Prenom]]&amp;" "&amp;Tableau1[[#This Row],[Nom]]</f>
        <v>Mathieu Perreault</v>
      </c>
      <c r="E101">
        <f>VLOOKUP(Tableau1[[#This Row],[Colonne2]],'BCP stats'!$C$6:$D$305,2,FALSE)</f>
        <v>28</v>
      </c>
      <c r="G101" s="22"/>
      <c r="H101">
        <v>46</v>
      </c>
      <c r="I101">
        <v>42</v>
      </c>
      <c r="J101">
        <v>51</v>
      </c>
      <c r="L101">
        <v>51</v>
      </c>
      <c r="M101" s="21">
        <f>AVERAGE(Tableau1[[#This Row],[Lepool.com]:[CBS]])</f>
        <v>47.5</v>
      </c>
      <c r="N101" s="21">
        <f>VLOOKUP(Tableau1[[#This Row],[Colonne2]],Final!$B$3:$I$302,4,FALSE)</f>
        <v>65</v>
      </c>
      <c r="O101" s="9">
        <f>VLOOKUP(Tableau1[[#This Row],[Colonne2]],Final!$B$3:$I$302,7,FALSE)</f>
        <v>45</v>
      </c>
      <c r="P101">
        <f>Tableau1[[#This Row],[Final]]-Tableau1[[#This Row],[Lepool.com]]</f>
        <v>45</v>
      </c>
      <c r="Q101">
        <f>Tableau1[[#This Row],[Final]]-Tableau1[[#This Row],[HM]]</f>
        <v>-1</v>
      </c>
      <c r="R101">
        <f>Tableau1[[#This Row],[Final]]-Tableau1[[#This Row],[Pool Pro]]</f>
        <v>3</v>
      </c>
      <c r="S101">
        <f>Tableau1[[#This Row],[Final]]-Tableau1[[#This Row],[ESPN]]</f>
        <v>45</v>
      </c>
      <c r="T101">
        <f>Tableau1[[#This Row],[Final]]-Tableau1[[#This Row],[CBS]]</f>
        <v>-6</v>
      </c>
      <c r="U101">
        <f>Tableau1[[#This Row],[Final]]-Tableau1[[#This Row],[Moyenne]]</f>
        <v>-2.5</v>
      </c>
    </row>
    <row r="102" spans="1:21" ht="15.75" thickBot="1" x14ac:dyDescent="0.3">
      <c r="A102" s="2"/>
      <c r="B102" t="s">
        <v>162</v>
      </c>
      <c r="C102" t="s">
        <v>163</v>
      </c>
      <c r="D102" t="str">
        <f>Tableau1[[#This Row],[Prenom]]&amp;" "&amp;Tableau1[[#This Row],[Nom]]</f>
        <v>Patrick Kane</v>
      </c>
      <c r="E102">
        <f>VLOOKUP(Tableau1[[#This Row],[Colonne2]],'BCP stats'!$C$6:$D$305,2,FALSE)</f>
        <v>28</v>
      </c>
      <c r="G102" s="13">
        <v>89</v>
      </c>
      <c r="H102">
        <v>90</v>
      </c>
      <c r="I102">
        <v>95</v>
      </c>
      <c r="J102">
        <v>90</v>
      </c>
      <c r="K102">
        <v>91</v>
      </c>
      <c r="L102">
        <v>112</v>
      </c>
      <c r="M102" s="9">
        <f>AVERAGE(Tableau1[[#This Row],[Lepool.com]:[CBS]])</f>
        <v>94.5</v>
      </c>
      <c r="N102" s="9">
        <f>VLOOKUP(Tableau1[[#This Row],[Colonne2]],Final!$B$3:$I$302,4,FALSE)</f>
        <v>82</v>
      </c>
      <c r="O102" s="9">
        <f>VLOOKUP(Tableau1[[#This Row],[Colonne2]],Final!$B$3:$I$302,7,FALSE)</f>
        <v>89</v>
      </c>
      <c r="P102">
        <f>Tableau1[[#This Row],[Final]]-Tableau1[[#This Row],[Lepool.com]]</f>
        <v>0</v>
      </c>
      <c r="Q102">
        <f>Tableau1[[#This Row],[Final]]-Tableau1[[#This Row],[HM]]</f>
        <v>-1</v>
      </c>
      <c r="R102">
        <f>Tableau1[[#This Row],[Final]]-Tableau1[[#This Row],[Pool Pro]]</f>
        <v>-6</v>
      </c>
      <c r="S102">
        <f>Tableau1[[#This Row],[Final]]-Tableau1[[#This Row],[ESPN]]</f>
        <v>-2</v>
      </c>
      <c r="T102">
        <f>Tableau1[[#This Row],[Final]]-Tableau1[[#This Row],[CBS]]</f>
        <v>-23</v>
      </c>
      <c r="U102">
        <f>Tableau1[[#This Row],[Final]]-Tableau1[[#This Row],[Moyenne]]</f>
        <v>-5.5</v>
      </c>
    </row>
    <row r="103" spans="1:21" ht="15.75" thickBot="1" x14ac:dyDescent="0.3">
      <c r="A103" s="1"/>
      <c r="B103" t="s">
        <v>216</v>
      </c>
      <c r="C103" t="s">
        <v>217</v>
      </c>
      <c r="D103" t="str">
        <f>Tableau1[[#This Row],[Prenom]]&amp;" "&amp;Tableau1[[#This Row],[Nom]]</f>
        <v>Max Pacioretty</v>
      </c>
      <c r="E103">
        <f>VLOOKUP(Tableau1[[#This Row],[Colonne2]],'BCP stats'!$C$6:$D$305,2,FALSE)</f>
        <v>28</v>
      </c>
      <c r="G103" s="12">
        <v>67</v>
      </c>
      <c r="H103">
        <v>67</v>
      </c>
      <c r="I103">
        <v>68</v>
      </c>
      <c r="J103">
        <v>66</v>
      </c>
      <c r="K103">
        <v>61</v>
      </c>
      <c r="L103">
        <v>66</v>
      </c>
      <c r="M103" s="9">
        <f>AVERAGE(Tableau1[[#This Row],[Lepool.com]:[CBS]])</f>
        <v>65.833333333333329</v>
      </c>
      <c r="N103" s="9">
        <f>VLOOKUP(Tableau1[[#This Row],[Colonne2]],Final!$B$3:$I$302,4,FALSE)</f>
        <v>81</v>
      </c>
      <c r="O103" s="9">
        <f>VLOOKUP(Tableau1[[#This Row],[Colonne2]],Final!$B$3:$I$302,7,FALSE)</f>
        <v>67</v>
      </c>
      <c r="P103">
        <f>Tableau1[[#This Row],[Final]]-Tableau1[[#This Row],[Lepool.com]]</f>
        <v>0</v>
      </c>
      <c r="Q103">
        <f>Tableau1[[#This Row],[Final]]-Tableau1[[#This Row],[HM]]</f>
        <v>0</v>
      </c>
      <c r="R103">
        <f>Tableau1[[#This Row],[Final]]-Tableau1[[#This Row],[Pool Pro]]</f>
        <v>-1</v>
      </c>
      <c r="S103">
        <f>Tableau1[[#This Row],[Final]]-Tableau1[[#This Row],[ESPN]]</f>
        <v>6</v>
      </c>
      <c r="T103">
        <f>Tableau1[[#This Row],[Final]]-Tableau1[[#This Row],[CBS]]</f>
        <v>1</v>
      </c>
      <c r="U103">
        <f>Tableau1[[#This Row],[Final]]-Tableau1[[#This Row],[Moyenne]]</f>
        <v>1.1666666666666714</v>
      </c>
    </row>
    <row r="104" spans="1:21" x14ac:dyDescent="0.25">
      <c r="A104" s="1"/>
      <c r="B104" t="s">
        <v>455</v>
      </c>
      <c r="C104" t="s">
        <v>456</v>
      </c>
      <c r="D104" t="str">
        <f>Tableau1[[#This Row],[Prenom]]&amp;" "&amp;Tableau1[[#This Row],[Nom]]</f>
        <v>Artem Anisimov</v>
      </c>
      <c r="E104">
        <f>VLOOKUP(Tableau1[[#This Row],[Colonne2]],'BCP stats'!$C$6:$D$305,2,FALSE)</f>
        <v>28</v>
      </c>
      <c r="G104" s="11">
        <v>44</v>
      </c>
      <c r="H104">
        <v>44</v>
      </c>
      <c r="I104">
        <v>44</v>
      </c>
      <c r="J104">
        <v>38</v>
      </c>
      <c r="L104">
        <v>47</v>
      </c>
      <c r="M104" s="9">
        <f>AVERAGE(Tableau1[[#This Row],[Lepool.com]:[CBS]])</f>
        <v>43.4</v>
      </c>
      <c r="N104" s="9">
        <f>VLOOKUP(Tableau1[[#This Row],[Colonne2]],Final!$B$3:$I$302,4,FALSE)</f>
        <v>64</v>
      </c>
      <c r="O104" s="9">
        <f>VLOOKUP(Tableau1[[#This Row],[Colonne2]],Final!$B$3:$I$302,7,FALSE)</f>
        <v>45</v>
      </c>
      <c r="P104">
        <f>Tableau1[[#This Row],[Final]]-Tableau1[[#This Row],[Lepool.com]]</f>
        <v>1</v>
      </c>
      <c r="Q104">
        <f>Tableau1[[#This Row],[Final]]-Tableau1[[#This Row],[HM]]</f>
        <v>1</v>
      </c>
      <c r="R104">
        <f>Tableau1[[#This Row],[Final]]-Tableau1[[#This Row],[Pool Pro]]</f>
        <v>1</v>
      </c>
      <c r="S104">
        <f>Tableau1[[#This Row],[Final]]-Tableau1[[#This Row],[ESPN]]</f>
        <v>45</v>
      </c>
      <c r="T104">
        <f>Tableau1[[#This Row],[Final]]-Tableau1[[#This Row],[CBS]]</f>
        <v>-2</v>
      </c>
      <c r="U104">
        <f>Tableau1[[#This Row],[Final]]-Tableau1[[#This Row],[Moyenne]]</f>
        <v>1.6000000000000014</v>
      </c>
    </row>
    <row r="105" spans="1:21" ht="15.75" thickBot="1" x14ac:dyDescent="0.3">
      <c r="A105" s="2"/>
      <c r="B105" t="s">
        <v>307</v>
      </c>
      <c r="C105" t="s">
        <v>308</v>
      </c>
      <c r="D105" t="str">
        <f>Tableau1[[#This Row],[Prenom]]&amp;" "&amp;Tableau1[[#This Row],[Nom]]</f>
        <v>Brad Marchand</v>
      </c>
      <c r="E105">
        <f>VLOOKUP(Tableau1[[#This Row],[Colonne2]],'BCP stats'!$C$6:$D$305,2,FALSE)</f>
        <v>28</v>
      </c>
      <c r="G105" s="12">
        <v>56</v>
      </c>
      <c r="H105">
        <v>53</v>
      </c>
      <c r="I105">
        <v>58</v>
      </c>
      <c r="J105">
        <v>52</v>
      </c>
      <c r="K105">
        <v>52</v>
      </c>
      <c r="L105">
        <v>67</v>
      </c>
      <c r="M105" s="9">
        <f>AVERAGE(Tableau1[[#This Row],[Lepool.com]:[CBS]])</f>
        <v>56.333333333333336</v>
      </c>
      <c r="N105" s="9">
        <f>VLOOKUP(Tableau1[[#This Row],[Colonne2]],Final!$B$3:$I$302,4,FALSE)</f>
        <v>80</v>
      </c>
      <c r="O105" s="9">
        <f>VLOOKUP(Tableau1[[#This Row],[Colonne2]],Final!$B$3:$I$302,7,FALSE)</f>
        <v>85</v>
      </c>
      <c r="P105">
        <f>Tableau1[[#This Row],[Final]]-Tableau1[[#This Row],[Lepool.com]]</f>
        <v>29</v>
      </c>
      <c r="Q105">
        <f>Tableau1[[#This Row],[Final]]-Tableau1[[#This Row],[HM]]</f>
        <v>32</v>
      </c>
      <c r="R105">
        <f>Tableau1[[#This Row],[Final]]-Tableau1[[#This Row],[Pool Pro]]</f>
        <v>27</v>
      </c>
      <c r="S105">
        <f>Tableau1[[#This Row],[Final]]-Tableau1[[#This Row],[ESPN]]</f>
        <v>33</v>
      </c>
      <c r="T105">
        <f>Tableau1[[#This Row],[Final]]-Tableau1[[#This Row],[CBS]]</f>
        <v>18</v>
      </c>
      <c r="U105">
        <f>Tableau1[[#This Row],[Final]]-Tableau1[[#This Row],[Moyenne]]</f>
        <v>28.666666666666664</v>
      </c>
    </row>
    <row r="106" spans="1:21" ht="15.75" thickBot="1" x14ac:dyDescent="0.3">
      <c r="A106" s="1"/>
      <c r="B106" t="s">
        <v>270</v>
      </c>
      <c r="C106" t="s">
        <v>271</v>
      </c>
      <c r="D106" t="str">
        <f>Tableau1[[#This Row],[Prenom]]&amp;" "&amp;Tableau1[[#This Row],[Nom]]</f>
        <v>Kristopher Letang</v>
      </c>
      <c r="E106">
        <f>VLOOKUP(Tableau1[[#This Row],[Colonne2]],'BCP stats'!$C$6:$D$305,2,FALSE)</f>
        <v>29</v>
      </c>
      <c r="G106" s="12">
        <v>59</v>
      </c>
      <c r="H106">
        <v>69</v>
      </c>
      <c r="I106">
        <v>70</v>
      </c>
      <c r="J106">
        <v>60</v>
      </c>
      <c r="K106">
        <v>53</v>
      </c>
      <c r="L106">
        <v>73</v>
      </c>
      <c r="M106" s="9">
        <f>AVERAGE(Tableau1[[#This Row],[Lepool.com]:[CBS]])</f>
        <v>64</v>
      </c>
      <c r="N106" s="9" t="e">
        <f>VLOOKUP(Tableau1[[#This Row],[Colonne2]],Final!$B$3:$I$302,4,FALSE)</f>
        <v>#N/A</v>
      </c>
      <c r="O106" s="9">
        <v>34</v>
      </c>
      <c r="P106">
        <f>Tableau1[[#This Row],[Final]]-Tableau1[[#This Row],[Lepool.com]]</f>
        <v>-25</v>
      </c>
      <c r="Q106">
        <f>Tableau1[[#This Row],[Final]]-Tableau1[[#This Row],[HM]]</f>
        <v>-35</v>
      </c>
      <c r="R106">
        <f>Tableau1[[#This Row],[Final]]-Tableau1[[#This Row],[Pool Pro]]</f>
        <v>-36</v>
      </c>
      <c r="S106">
        <f>Tableau1[[#This Row],[Final]]-Tableau1[[#This Row],[ESPN]]</f>
        <v>-19</v>
      </c>
      <c r="T106">
        <f>Tableau1[[#This Row],[Final]]-Tableau1[[#This Row],[CBS]]</f>
        <v>-39</v>
      </c>
      <c r="U106">
        <f>Tableau1[[#This Row],[Final]]-Tableau1[[#This Row],[Moyenne]]</f>
        <v>-30</v>
      </c>
    </row>
    <row r="107" spans="1:21" x14ac:dyDescent="0.25">
      <c r="A107" s="1"/>
      <c r="B107" t="s">
        <v>302</v>
      </c>
      <c r="C107" t="s">
        <v>188</v>
      </c>
      <c r="D107" t="str">
        <f>Tableau1[[#This Row],[Prenom]]&amp;" "&amp;Tableau1[[#This Row],[Nom]]</f>
        <v>Bobby Ryan</v>
      </c>
      <c r="E107">
        <f>VLOOKUP(Tableau1[[#This Row],[Colonne2]],'BCP stats'!$C$6:$D$305,2,FALSE)</f>
        <v>29</v>
      </c>
      <c r="G107" s="12">
        <v>57</v>
      </c>
      <c r="H107">
        <v>47</v>
      </c>
      <c r="I107">
        <v>60</v>
      </c>
      <c r="J107">
        <v>56</v>
      </c>
      <c r="K107">
        <v>64</v>
      </c>
      <c r="L107">
        <v>60</v>
      </c>
      <c r="M107" s="9">
        <f>AVERAGE(Tableau1[[#This Row],[Lepool.com]:[CBS]])</f>
        <v>57.333333333333336</v>
      </c>
      <c r="N107" s="9">
        <f>VLOOKUP(Tableau1[[#This Row],[Colonne2]],Final!$B$3:$I$302,4,FALSE)</f>
        <v>62</v>
      </c>
      <c r="O107" s="9">
        <f>VLOOKUP(Tableau1[[#This Row],[Colonne2]],Final!$B$3:$I$302,7,FALSE)</f>
        <v>25</v>
      </c>
      <c r="P107">
        <f>Tableau1[[#This Row],[Final]]-Tableau1[[#This Row],[Lepool.com]]</f>
        <v>-32</v>
      </c>
      <c r="Q107">
        <f>Tableau1[[#This Row],[Final]]-Tableau1[[#This Row],[HM]]</f>
        <v>-22</v>
      </c>
      <c r="R107">
        <f>Tableau1[[#This Row],[Final]]-Tableau1[[#This Row],[Pool Pro]]</f>
        <v>-35</v>
      </c>
      <c r="S107">
        <f>Tableau1[[#This Row],[Final]]-Tableau1[[#This Row],[ESPN]]</f>
        <v>-39</v>
      </c>
      <c r="T107">
        <f>Tableau1[[#This Row],[Final]]-Tableau1[[#This Row],[CBS]]</f>
        <v>-35</v>
      </c>
      <c r="U107">
        <f>Tableau1[[#This Row],[Final]]-Tableau1[[#This Row],[Moyenne]]</f>
        <v>-32.333333333333336</v>
      </c>
    </row>
    <row r="108" spans="1:21" ht="15.75" thickBot="1" x14ac:dyDescent="0.3">
      <c r="A108" s="2"/>
      <c r="B108" t="s">
        <v>292</v>
      </c>
      <c r="C108" t="s">
        <v>293</v>
      </c>
      <c r="D108" t="str">
        <f>Tableau1[[#This Row],[Prenom]]&amp;" "&amp;Tableau1[[#This Row],[Nom]]</f>
        <v>Derick Brassard</v>
      </c>
      <c r="E108">
        <f>VLOOKUP(Tableau1[[#This Row],[Colonne2]],'BCP stats'!$C$6:$D$305,2,FALSE)</f>
        <v>29</v>
      </c>
      <c r="G108" s="12">
        <v>57</v>
      </c>
      <c r="H108">
        <v>60</v>
      </c>
      <c r="I108">
        <v>62</v>
      </c>
      <c r="J108">
        <v>61</v>
      </c>
      <c r="K108">
        <v>54</v>
      </c>
      <c r="L108">
        <v>63</v>
      </c>
      <c r="M108" s="9">
        <f>AVERAGE(Tableau1[[#This Row],[Lepool.com]:[CBS]])</f>
        <v>59.5</v>
      </c>
      <c r="N108" s="9">
        <f>VLOOKUP(Tableau1[[#This Row],[Colonne2]],Final!$B$3:$I$302,4,FALSE)</f>
        <v>81</v>
      </c>
      <c r="O108" s="9">
        <f>VLOOKUP(Tableau1[[#This Row],[Colonne2]],Final!$B$3:$I$302,7,FALSE)</f>
        <v>39</v>
      </c>
      <c r="P108">
        <f>Tableau1[[#This Row],[Final]]-Tableau1[[#This Row],[Lepool.com]]</f>
        <v>-18</v>
      </c>
      <c r="Q108">
        <f>Tableau1[[#This Row],[Final]]-Tableau1[[#This Row],[HM]]</f>
        <v>-21</v>
      </c>
      <c r="R108">
        <f>Tableau1[[#This Row],[Final]]-Tableau1[[#This Row],[Pool Pro]]</f>
        <v>-23</v>
      </c>
      <c r="S108">
        <f>Tableau1[[#This Row],[Final]]-Tableau1[[#This Row],[ESPN]]</f>
        <v>-15</v>
      </c>
      <c r="T108">
        <f>Tableau1[[#This Row],[Final]]-Tableau1[[#This Row],[CBS]]</f>
        <v>-24</v>
      </c>
      <c r="U108">
        <f>Tableau1[[#This Row],[Final]]-Tableau1[[#This Row],[Moyenne]]</f>
        <v>-20.5</v>
      </c>
    </row>
    <row r="109" spans="1:21" ht="15.75" thickBot="1" x14ac:dyDescent="0.3">
      <c r="A109" s="1"/>
      <c r="B109" t="s">
        <v>180</v>
      </c>
      <c r="C109" t="s">
        <v>181</v>
      </c>
      <c r="D109" t="str">
        <f>Tableau1[[#This Row],[Prenom]]&amp;" "&amp;Tableau1[[#This Row],[Nom]]</f>
        <v>Anze Kopitar</v>
      </c>
      <c r="E109">
        <f>VLOOKUP(Tableau1[[#This Row],[Colonne2]],'BCP stats'!$C$6:$D$305,2,FALSE)</f>
        <v>29</v>
      </c>
      <c r="G109" s="12">
        <v>77</v>
      </c>
      <c r="H109">
        <v>72</v>
      </c>
      <c r="I109">
        <v>68</v>
      </c>
      <c r="J109">
        <v>70</v>
      </c>
      <c r="K109">
        <v>73</v>
      </c>
      <c r="L109">
        <v>75</v>
      </c>
      <c r="M109" s="9">
        <f>AVERAGE(Tableau1[[#This Row],[Lepool.com]:[CBS]])</f>
        <v>72.5</v>
      </c>
      <c r="N109" s="9">
        <f>VLOOKUP(Tableau1[[#This Row],[Colonne2]],Final!$B$3:$I$302,4,FALSE)</f>
        <v>76</v>
      </c>
      <c r="O109" s="9">
        <f>VLOOKUP(Tableau1[[#This Row],[Colonne2]],Final!$B$3:$I$302,7,FALSE)</f>
        <v>52</v>
      </c>
      <c r="P109">
        <f>Tableau1[[#This Row],[Final]]-Tableau1[[#This Row],[Lepool.com]]</f>
        <v>-25</v>
      </c>
      <c r="Q109">
        <f>Tableau1[[#This Row],[Final]]-Tableau1[[#This Row],[HM]]</f>
        <v>-20</v>
      </c>
      <c r="R109">
        <f>Tableau1[[#This Row],[Final]]-Tableau1[[#This Row],[Pool Pro]]</f>
        <v>-16</v>
      </c>
      <c r="S109">
        <f>Tableau1[[#This Row],[Final]]-Tableau1[[#This Row],[ESPN]]</f>
        <v>-21</v>
      </c>
      <c r="T109">
        <f>Tableau1[[#This Row],[Final]]-Tableau1[[#This Row],[CBS]]</f>
        <v>-23</v>
      </c>
      <c r="U109">
        <f>Tableau1[[#This Row],[Final]]-Tableau1[[#This Row],[Moyenne]]</f>
        <v>-20.5</v>
      </c>
    </row>
    <row r="110" spans="1:21" x14ac:dyDescent="0.25">
      <c r="A110" s="1"/>
      <c r="B110" t="s">
        <v>257</v>
      </c>
      <c r="C110" t="s">
        <v>272</v>
      </c>
      <c r="D110" t="str">
        <f>Tableau1[[#This Row],[Prenom]]&amp;" "&amp;Tableau1[[#This Row],[Nom]]</f>
        <v>James Neal</v>
      </c>
      <c r="E110">
        <f>VLOOKUP(Tableau1[[#This Row],[Colonne2]],'BCP stats'!$C$6:$D$305,2,FALSE)</f>
        <v>29</v>
      </c>
      <c r="G110" s="12">
        <v>59</v>
      </c>
      <c r="H110">
        <v>60</v>
      </c>
      <c r="I110">
        <v>56</v>
      </c>
      <c r="J110">
        <v>57</v>
      </c>
      <c r="K110">
        <v>51</v>
      </c>
      <c r="L110">
        <v>61</v>
      </c>
      <c r="M110" s="9">
        <f>AVERAGE(Tableau1[[#This Row],[Lepool.com]:[CBS]])</f>
        <v>57.333333333333336</v>
      </c>
      <c r="N110" s="9">
        <f>VLOOKUP(Tableau1[[#This Row],[Colonne2]],Final!$B$3:$I$302,4,FALSE)</f>
        <v>70</v>
      </c>
      <c r="O110" s="9">
        <f>VLOOKUP(Tableau1[[#This Row],[Colonne2]],Final!$B$3:$I$302,7,FALSE)</f>
        <v>41</v>
      </c>
      <c r="P110">
        <f>Tableau1[[#This Row],[Final]]-Tableau1[[#This Row],[Lepool.com]]</f>
        <v>-18</v>
      </c>
      <c r="Q110">
        <f>Tableau1[[#This Row],[Final]]-Tableau1[[#This Row],[HM]]</f>
        <v>-19</v>
      </c>
      <c r="R110">
        <f>Tableau1[[#This Row],[Final]]-Tableau1[[#This Row],[Pool Pro]]</f>
        <v>-15</v>
      </c>
      <c r="S110">
        <f>Tableau1[[#This Row],[Final]]-Tableau1[[#This Row],[ESPN]]</f>
        <v>-10</v>
      </c>
      <c r="T110">
        <f>Tableau1[[#This Row],[Final]]-Tableau1[[#This Row],[CBS]]</f>
        <v>-20</v>
      </c>
      <c r="U110">
        <f>Tableau1[[#This Row],[Final]]-Tableau1[[#This Row],[Moyenne]]</f>
        <v>-16.333333333333336</v>
      </c>
    </row>
    <row r="111" spans="1:21" ht="15.75" thickBot="1" x14ac:dyDescent="0.3">
      <c r="A111" s="2"/>
      <c r="B111" t="s">
        <v>280</v>
      </c>
      <c r="C111" t="s">
        <v>281</v>
      </c>
      <c r="D111" t="str">
        <f>Tableau1[[#This Row],[Prenom]]&amp;" "&amp;Tableau1[[#This Row],[Nom]]</f>
        <v>Bryan Little</v>
      </c>
      <c r="E111">
        <f>VLOOKUP(Tableau1[[#This Row],[Colonne2]],'BCP stats'!$C$6:$D$305,2,FALSE)</f>
        <v>29</v>
      </c>
      <c r="G111" s="12">
        <v>58</v>
      </c>
      <c r="H111">
        <v>55</v>
      </c>
      <c r="I111">
        <v>58</v>
      </c>
      <c r="J111">
        <v>51</v>
      </c>
      <c r="K111">
        <v>51</v>
      </c>
      <c r="L111">
        <v>63</v>
      </c>
      <c r="M111" s="9">
        <f>AVERAGE(Tableau1[[#This Row],[Lepool.com]:[CBS]])</f>
        <v>56</v>
      </c>
      <c r="N111" s="9">
        <f>VLOOKUP(Tableau1[[#This Row],[Colonne2]],Final!$B$3:$I$302,4,FALSE)</f>
        <v>59</v>
      </c>
      <c r="O111" s="9">
        <f>VLOOKUP(Tableau1[[#This Row],[Colonne2]],Final!$B$3:$I$302,7,FALSE)</f>
        <v>47</v>
      </c>
      <c r="P111">
        <f>Tableau1[[#This Row],[Final]]-Tableau1[[#This Row],[Lepool.com]]</f>
        <v>-11</v>
      </c>
      <c r="Q111">
        <f>Tableau1[[#This Row],[Final]]-Tableau1[[#This Row],[HM]]</f>
        <v>-8</v>
      </c>
      <c r="R111">
        <f>Tableau1[[#This Row],[Final]]-Tableau1[[#This Row],[Pool Pro]]</f>
        <v>-11</v>
      </c>
      <c r="S111">
        <f>Tableau1[[#This Row],[Final]]-Tableau1[[#This Row],[ESPN]]</f>
        <v>-4</v>
      </c>
      <c r="T111">
        <f>Tableau1[[#This Row],[Final]]-Tableau1[[#This Row],[CBS]]</f>
        <v>-16</v>
      </c>
      <c r="U111">
        <f>Tableau1[[#This Row],[Final]]-Tableau1[[#This Row],[Moyenne]]</f>
        <v>-9</v>
      </c>
    </row>
    <row r="112" spans="1:21" ht="15.75" thickBot="1" x14ac:dyDescent="0.3">
      <c r="A112" s="1"/>
      <c r="B112" t="s">
        <v>367</v>
      </c>
      <c r="C112" t="s">
        <v>368</v>
      </c>
      <c r="D112" t="str">
        <f>Tableau1[[#This Row],[Prenom]]&amp;" "&amp;Tableau1[[#This Row],[Nom]]</f>
        <v>Martin Hanzal</v>
      </c>
      <c r="E112">
        <f>VLOOKUP(Tableau1[[#This Row],[Colonne2]],'BCP stats'!$C$6:$D$305,2,FALSE)</f>
        <v>29</v>
      </c>
      <c r="G112" s="11">
        <v>52</v>
      </c>
      <c r="H112">
        <v>45</v>
      </c>
      <c r="I112">
        <v>43</v>
      </c>
      <c r="J112">
        <v>43</v>
      </c>
      <c r="K112">
        <v>41</v>
      </c>
      <c r="L112">
        <v>52</v>
      </c>
      <c r="M112" s="9">
        <f>AVERAGE(Tableau1[[#This Row],[Lepool.com]:[CBS]])</f>
        <v>46</v>
      </c>
      <c r="N112" s="9">
        <f>VLOOKUP(Tableau1[[#This Row],[Colonne2]],Final!$B$3:$I$302,4,FALSE)</f>
        <v>71</v>
      </c>
      <c r="O112" s="9">
        <f>VLOOKUP(Tableau1[[#This Row],[Colonne2]],Final!$B$3:$I$302,7,FALSE)</f>
        <v>39</v>
      </c>
      <c r="P112">
        <f>Tableau1[[#This Row],[Final]]-Tableau1[[#This Row],[Lepool.com]]</f>
        <v>-13</v>
      </c>
      <c r="Q112">
        <f>Tableau1[[#This Row],[Final]]-Tableau1[[#This Row],[HM]]</f>
        <v>-6</v>
      </c>
      <c r="R112">
        <f>Tableau1[[#This Row],[Final]]-Tableau1[[#This Row],[Pool Pro]]</f>
        <v>-4</v>
      </c>
      <c r="S112">
        <f>Tableau1[[#This Row],[Final]]-Tableau1[[#This Row],[ESPN]]</f>
        <v>-2</v>
      </c>
      <c r="T112">
        <f>Tableau1[[#This Row],[Final]]-Tableau1[[#This Row],[CBS]]</f>
        <v>-13</v>
      </c>
      <c r="U112">
        <f>Tableau1[[#This Row],[Final]]-Tableau1[[#This Row],[Moyenne]]</f>
        <v>-7</v>
      </c>
    </row>
    <row r="113" spans="1:21" x14ac:dyDescent="0.25">
      <c r="A113" s="1"/>
      <c r="B113" t="s">
        <v>164</v>
      </c>
      <c r="C113" t="s">
        <v>165</v>
      </c>
      <c r="D113" t="str">
        <f>Tableau1[[#This Row],[Prenom]]&amp;" "&amp;Tableau1[[#This Row],[Nom]]</f>
        <v>Sidney Crosby</v>
      </c>
      <c r="E113">
        <f>VLOOKUP(Tableau1[[#This Row],[Colonne2]],'BCP stats'!$C$6:$D$305,2,FALSE)</f>
        <v>29</v>
      </c>
      <c r="G113" s="12">
        <v>87</v>
      </c>
      <c r="H113">
        <v>93</v>
      </c>
      <c r="I113">
        <v>102</v>
      </c>
      <c r="J113">
        <v>95</v>
      </c>
      <c r="K113">
        <v>93</v>
      </c>
      <c r="L113">
        <v>89</v>
      </c>
      <c r="M113" s="9">
        <f>AVERAGE(Tableau1[[#This Row],[Lepool.com]:[CBS]])</f>
        <v>93.166666666666671</v>
      </c>
      <c r="N113" s="9">
        <f>VLOOKUP(Tableau1[[#This Row],[Colonne2]],Final!$B$3:$I$302,4,FALSE)</f>
        <v>75</v>
      </c>
      <c r="O113" s="9">
        <f>VLOOKUP(Tableau1[[#This Row],[Colonne2]],Final!$B$3:$I$302,7,FALSE)</f>
        <v>89</v>
      </c>
      <c r="P113">
        <f>Tableau1[[#This Row],[Final]]-Tableau1[[#This Row],[Lepool.com]]</f>
        <v>2</v>
      </c>
      <c r="Q113">
        <f>Tableau1[[#This Row],[Final]]-Tableau1[[#This Row],[HM]]</f>
        <v>-4</v>
      </c>
      <c r="R113">
        <f>Tableau1[[#This Row],[Final]]-Tableau1[[#This Row],[Pool Pro]]</f>
        <v>-13</v>
      </c>
      <c r="S113">
        <f>Tableau1[[#This Row],[Final]]-Tableau1[[#This Row],[ESPN]]</f>
        <v>-4</v>
      </c>
      <c r="T113">
        <f>Tableau1[[#This Row],[Final]]-Tableau1[[#This Row],[CBS]]</f>
        <v>0</v>
      </c>
      <c r="U113">
        <f>Tableau1[[#This Row],[Final]]-Tableau1[[#This Row],[Moyenne]]</f>
        <v>-4.1666666666666714</v>
      </c>
    </row>
    <row r="114" spans="1:21" ht="15.75" thickBot="1" x14ac:dyDescent="0.3">
      <c r="A114" s="2"/>
      <c r="B114" t="s">
        <v>274</v>
      </c>
      <c r="C114" t="s">
        <v>275</v>
      </c>
      <c r="D114" t="str">
        <f>Tableau1[[#This Row],[Prenom]]&amp;" "&amp;Tableau1[[#This Row],[Nom]]</f>
        <v>Mats Zuccarello</v>
      </c>
      <c r="E114">
        <f>VLOOKUP(Tableau1[[#This Row],[Colonne2]],'BCP stats'!$C$6:$D$305,2,FALSE)</f>
        <v>29</v>
      </c>
      <c r="G114" s="12">
        <v>59</v>
      </c>
      <c r="H114">
        <v>59</v>
      </c>
      <c r="I114">
        <v>59</v>
      </c>
      <c r="J114">
        <v>58</v>
      </c>
      <c r="K114">
        <v>56</v>
      </c>
      <c r="L114">
        <v>62</v>
      </c>
      <c r="M114" s="9">
        <f>AVERAGE(Tableau1[[#This Row],[Lepool.com]:[CBS]])</f>
        <v>58.833333333333336</v>
      </c>
      <c r="N114" s="9">
        <f>VLOOKUP(Tableau1[[#This Row],[Colonne2]],Final!$B$3:$I$302,4,FALSE)</f>
        <v>80</v>
      </c>
      <c r="O114" s="9">
        <f>VLOOKUP(Tableau1[[#This Row],[Colonne2]],Final!$B$3:$I$302,7,FALSE)</f>
        <v>59</v>
      </c>
      <c r="P114">
        <f>Tableau1[[#This Row],[Final]]-Tableau1[[#This Row],[Lepool.com]]</f>
        <v>0</v>
      </c>
      <c r="Q114">
        <f>Tableau1[[#This Row],[Final]]-Tableau1[[#This Row],[HM]]</f>
        <v>0</v>
      </c>
      <c r="R114">
        <f>Tableau1[[#This Row],[Final]]-Tableau1[[#This Row],[Pool Pro]]</f>
        <v>0</v>
      </c>
      <c r="S114">
        <f>Tableau1[[#This Row],[Final]]-Tableau1[[#This Row],[ESPN]]</f>
        <v>3</v>
      </c>
      <c r="T114">
        <f>Tableau1[[#This Row],[Final]]-Tableau1[[#This Row],[CBS]]</f>
        <v>-3</v>
      </c>
      <c r="U114">
        <f>Tableau1[[#This Row],[Final]]-Tableau1[[#This Row],[Moyenne]]</f>
        <v>0.1666666666666643</v>
      </c>
    </row>
    <row r="115" spans="1:21" ht="15.75" thickBot="1" x14ac:dyDescent="0.3">
      <c r="A115" s="1"/>
      <c r="B115" t="s">
        <v>431</v>
      </c>
      <c r="C115" t="s">
        <v>448</v>
      </c>
      <c r="D115" t="str">
        <f>Tableau1[[#This Row],[Prenom]]&amp;" "&amp;Tableau1[[#This Row],[Nom]]</f>
        <v>Nick Foligno</v>
      </c>
      <c r="E115">
        <f>VLOOKUP(Tableau1[[#This Row],[Colonne2]],'BCP stats'!$C$6:$D$305,2,FALSE)</f>
        <v>29</v>
      </c>
      <c r="G115" s="11">
        <v>46</v>
      </c>
      <c r="H115">
        <v>44</v>
      </c>
      <c r="I115">
        <v>42</v>
      </c>
      <c r="J115">
        <v>39</v>
      </c>
      <c r="K115">
        <v>47</v>
      </c>
      <c r="L115">
        <v>41</v>
      </c>
      <c r="M115" s="9">
        <f>AVERAGE(Tableau1[[#This Row],[Lepool.com]:[CBS]])</f>
        <v>43.166666666666664</v>
      </c>
      <c r="N115" s="9">
        <f>VLOOKUP(Tableau1[[#This Row],[Colonne2]],Final!$B$3:$I$302,4,FALSE)</f>
        <v>79</v>
      </c>
      <c r="O115" s="9">
        <f>VLOOKUP(Tableau1[[#This Row],[Colonne2]],Final!$B$3:$I$302,7,FALSE)</f>
        <v>51</v>
      </c>
      <c r="P115">
        <f>Tableau1[[#This Row],[Final]]-Tableau1[[#This Row],[Lepool.com]]</f>
        <v>5</v>
      </c>
      <c r="Q115">
        <f>Tableau1[[#This Row],[Final]]-Tableau1[[#This Row],[HM]]</f>
        <v>7</v>
      </c>
      <c r="R115">
        <f>Tableau1[[#This Row],[Final]]-Tableau1[[#This Row],[Pool Pro]]</f>
        <v>9</v>
      </c>
      <c r="S115">
        <f>Tableau1[[#This Row],[Final]]-Tableau1[[#This Row],[ESPN]]</f>
        <v>4</v>
      </c>
      <c r="T115">
        <f>Tableau1[[#This Row],[Final]]-Tableau1[[#This Row],[CBS]]</f>
        <v>10</v>
      </c>
      <c r="U115">
        <f>Tableau1[[#This Row],[Final]]-Tableau1[[#This Row],[Moyenne]]</f>
        <v>7.8333333333333357</v>
      </c>
    </row>
    <row r="116" spans="1:21" x14ac:dyDescent="0.25">
      <c r="A116" s="1"/>
      <c r="B116" t="s">
        <v>248</v>
      </c>
      <c r="C116" t="s">
        <v>249</v>
      </c>
      <c r="D116" t="str">
        <f>Tableau1[[#This Row],[Prenom]]&amp;" "&amp;Tableau1[[#This Row],[Nom]]</f>
        <v>Phil Kessel</v>
      </c>
      <c r="E116">
        <f>VLOOKUP(Tableau1[[#This Row],[Colonne2]],'BCP stats'!$C$6:$D$305,2,FALSE)</f>
        <v>29</v>
      </c>
      <c r="G116" s="12">
        <v>62</v>
      </c>
      <c r="H116">
        <v>61</v>
      </c>
      <c r="I116">
        <v>65</v>
      </c>
      <c r="J116">
        <v>68</v>
      </c>
      <c r="K116">
        <v>66</v>
      </c>
      <c r="L116">
        <v>68</v>
      </c>
      <c r="M116" s="9">
        <f>AVERAGE(Tableau1[[#This Row],[Lepool.com]:[CBS]])</f>
        <v>65</v>
      </c>
      <c r="N116" s="9">
        <f>VLOOKUP(Tableau1[[#This Row],[Colonne2]],Final!$B$3:$I$302,4,FALSE)</f>
        <v>82</v>
      </c>
      <c r="O116" s="9">
        <f>VLOOKUP(Tableau1[[#This Row],[Colonne2]],Final!$B$3:$I$302,7,FALSE)</f>
        <v>70</v>
      </c>
      <c r="P116">
        <f>Tableau1[[#This Row],[Final]]-Tableau1[[#This Row],[Lepool.com]]</f>
        <v>8</v>
      </c>
      <c r="Q116">
        <f>Tableau1[[#This Row],[Final]]-Tableau1[[#This Row],[HM]]</f>
        <v>9</v>
      </c>
      <c r="R116">
        <f>Tableau1[[#This Row],[Final]]-Tableau1[[#This Row],[Pool Pro]]</f>
        <v>5</v>
      </c>
      <c r="S116">
        <f>Tableau1[[#This Row],[Final]]-Tableau1[[#This Row],[ESPN]]</f>
        <v>4</v>
      </c>
      <c r="T116">
        <f>Tableau1[[#This Row],[Final]]-Tableau1[[#This Row],[CBS]]</f>
        <v>2</v>
      </c>
      <c r="U116">
        <f>Tableau1[[#This Row],[Final]]-Tableau1[[#This Row],[Moyenne]]</f>
        <v>5</v>
      </c>
    </row>
    <row r="117" spans="1:21" ht="15.75" thickBot="1" x14ac:dyDescent="0.3">
      <c r="A117" s="2"/>
      <c r="B117" t="s">
        <v>303</v>
      </c>
      <c r="C117" t="s">
        <v>406</v>
      </c>
      <c r="D117" t="str">
        <f>Tableau1[[#This Row],[Prenom]]&amp;" "&amp;Tableau1[[#This Row],[Nom]]</f>
        <v>Brandon Dubinsky</v>
      </c>
      <c r="E117">
        <f>VLOOKUP(Tableau1[[#This Row],[Colonne2]],'BCP stats'!$C$6:$D$305,2,FALSE)</f>
        <v>30</v>
      </c>
      <c r="G117" s="11">
        <v>49</v>
      </c>
      <c r="H117">
        <v>48</v>
      </c>
      <c r="I117">
        <v>45</v>
      </c>
      <c r="J117">
        <v>48</v>
      </c>
      <c r="K117">
        <v>42</v>
      </c>
      <c r="L117">
        <v>52</v>
      </c>
      <c r="M117" s="9">
        <f>AVERAGE(Tableau1[[#This Row],[Lepool.com]:[CBS]])</f>
        <v>47.333333333333336</v>
      </c>
      <c r="N117" s="9">
        <f>VLOOKUP(Tableau1[[#This Row],[Colonne2]],Final!$B$3:$I$302,4,FALSE)</f>
        <v>80</v>
      </c>
      <c r="O117" s="9">
        <f>VLOOKUP(Tableau1[[#This Row],[Colonne2]],Final!$B$3:$I$302,7,FALSE)</f>
        <v>41</v>
      </c>
      <c r="P117">
        <f>Tableau1[[#This Row],[Final]]-Tableau1[[#This Row],[Lepool.com]]</f>
        <v>-8</v>
      </c>
      <c r="Q117">
        <f>Tableau1[[#This Row],[Final]]-Tableau1[[#This Row],[HM]]</f>
        <v>-7</v>
      </c>
      <c r="R117">
        <f>Tableau1[[#This Row],[Final]]-Tableau1[[#This Row],[Pool Pro]]</f>
        <v>-4</v>
      </c>
      <c r="S117">
        <f>Tableau1[[#This Row],[Final]]-Tableau1[[#This Row],[ESPN]]</f>
        <v>-1</v>
      </c>
      <c r="T117">
        <f>Tableau1[[#This Row],[Final]]-Tableau1[[#This Row],[CBS]]</f>
        <v>-11</v>
      </c>
      <c r="U117">
        <f>Tableau1[[#This Row],[Final]]-Tableau1[[#This Row],[Moyenne]]</f>
        <v>-6.3333333333333357</v>
      </c>
    </row>
    <row r="118" spans="1:21" ht="15.75" thickBot="1" x14ac:dyDescent="0.3">
      <c r="A118" s="1"/>
      <c r="B118" t="s">
        <v>402</v>
      </c>
      <c r="C118" t="s">
        <v>1547</v>
      </c>
      <c r="D118" t="str">
        <f>Tableau1[[#This Row],[Prenom]]&amp;" "&amp;Tableau1[[#This Row],[Nom]]</f>
        <v>Keith Yandle</v>
      </c>
      <c r="E118">
        <f>VLOOKUP(Tableau1[[#This Row],[Colonne2]],'BCP stats'!$C$6:$D$305,2,FALSE)</f>
        <v>30</v>
      </c>
      <c r="G118" s="11"/>
      <c r="H118">
        <v>45</v>
      </c>
      <c r="K118">
        <v>46</v>
      </c>
      <c r="L118">
        <v>42</v>
      </c>
      <c r="M118" s="21">
        <f>AVERAGE(Tableau1[[#This Row],[Lepool.com]:[CBS]])</f>
        <v>44.333333333333336</v>
      </c>
      <c r="N118" s="21">
        <f>VLOOKUP(Tableau1[[#This Row],[Colonne2]],Final!$B$3:$I$302,4,FALSE)</f>
        <v>82</v>
      </c>
      <c r="O118" s="9">
        <f>VLOOKUP(Tableau1[[#This Row],[Colonne2]],Final!$B$3:$I$302,7,FALSE)</f>
        <v>41</v>
      </c>
      <c r="P118">
        <f>Tableau1[[#This Row],[Final]]-Tableau1[[#This Row],[Lepool.com]]</f>
        <v>41</v>
      </c>
      <c r="Q118">
        <f>Tableau1[[#This Row],[Final]]-Tableau1[[#This Row],[HM]]</f>
        <v>-4</v>
      </c>
      <c r="R118">
        <f>Tableau1[[#This Row],[Final]]-Tableau1[[#This Row],[Pool Pro]]</f>
        <v>41</v>
      </c>
      <c r="S118">
        <f>Tableau1[[#This Row],[Final]]-Tableau1[[#This Row],[ESPN]]</f>
        <v>-5</v>
      </c>
      <c r="T118">
        <f>Tableau1[[#This Row],[Final]]-Tableau1[[#This Row],[CBS]]</f>
        <v>-1</v>
      </c>
      <c r="U118">
        <f>Tableau1[[#This Row],[Final]]-Tableau1[[#This Row],[Moyenne]]</f>
        <v>-3.3333333333333357</v>
      </c>
    </row>
    <row r="119" spans="1:21" x14ac:dyDescent="0.25">
      <c r="A119" s="1"/>
      <c r="B119" t="s">
        <v>202</v>
      </c>
      <c r="C119" t="s">
        <v>203</v>
      </c>
      <c r="D119" t="str">
        <f>Tableau1[[#This Row],[Prenom]]&amp;" "&amp;Tableau1[[#This Row],[Nom]]</f>
        <v>Evgeni Malkin</v>
      </c>
      <c r="E119">
        <f>VLOOKUP(Tableau1[[#This Row],[Colonne2]],'BCP stats'!$C$6:$D$305,2,FALSE)</f>
        <v>30</v>
      </c>
      <c r="G119" s="12">
        <v>70</v>
      </c>
      <c r="H119">
        <v>76</v>
      </c>
      <c r="I119">
        <v>82</v>
      </c>
      <c r="J119">
        <v>73</v>
      </c>
      <c r="K119">
        <v>72</v>
      </c>
      <c r="L119">
        <v>90</v>
      </c>
      <c r="M119" s="9">
        <f>AVERAGE(Tableau1[[#This Row],[Lepool.com]:[CBS]])</f>
        <v>77.166666666666671</v>
      </c>
      <c r="N119" s="9">
        <f>VLOOKUP(Tableau1[[#This Row],[Colonne2]],Final!$B$3:$I$302,4,FALSE)</f>
        <v>62</v>
      </c>
      <c r="O119" s="9">
        <f>VLOOKUP(Tableau1[[#This Row],[Colonne2]],Final!$B$3:$I$302,7,FALSE)</f>
        <v>72</v>
      </c>
      <c r="P119">
        <f>Tableau1[[#This Row],[Final]]-Tableau1[[#This Row],[Lepool.com]]</f>
        <v>2</v>
      </c>
      <c r="Q119">
        <f>Tableau1[[#This Row],[Final]]-Tableau1[[#This Row],[HM]]</f>
        <v>-4</v>
      </c>
      <c r="R119">
        <f>Tableau1[[#This Row],[Final]]-Tableau1[[#This Row],[Pool Pro]]</f>
        <v>-10</v>
      </c>
      <c r="S119">
        <f>Tableau1[[#This Row],[Final]]-Tableau1[[#This Row],[ESPN]]</f>
        <v>0</v>
      </c>
      <c r="T119">
        <f>Tableau1[[#This Row],[Final]]-Tableau1[[#This Row],[CBS]]</f>
        <v>-18</v>
      </c>
      <c r="U119">
        <f>Tableau1[[#This Row],[Final]]-Tableau1[[#This Row],[Moyenne]]</f>
        <v>-5.1666666666666714</v>
      </c>
    </row>
    <row r="120" spans="1:21" ht="15.75" thickBot="1" x14ac:dyDescent="0.3">
      <c r="A120" s="2"/>
      <c r="B120" t="s">
        <v>319</v>
      </c>
      <c r="C120" t="s">
        <v>320</v>
      </c>
      <c r="D120" t="str">
        <f>Tableau1[[#This Row],[Prenom]]&amp;" "&amp;Tableau1[[#This Row],[Nom]]</f>
        <v>T.J. Oshie</v>
      </c>
      <c r="E120">
        <f>VLOOKUP(Tableau1[[#This Row],[Colonne2]],'BCP stats'!$C$6:$D$305,2,FALSE)</f>
        <v>30</v>
      </c>
      <c r="G120" s="12">
        <v>54</v>
      </c>
      <c r="H120">
        <v>57</v>
      </c>
      <c r="I120">
        <v>56</v>
      </c>
      <c r="J120">
        <v>53</v>
      </c>
      <c r="K120">
        <v>53</v>
      </c>
      <c r="L120">
        <v>56</v>
      </c>
      <c r="M120" s="9">
        <f>AVERAGE(Tableau1[[#This Row],[Lepool.com]:[CBS]])</f>
        <v>54.833333333333336</v>
      </c>
      <c r="N120" s="9">
        <f>VLOOKUP(Tableau1[[#This Row],[Colonne2]],Final!$B$3:$I$302,4,FALSE)</f>
        <v>68</v>
      </c>
      <c r="O120" s="9">
        <f>VLOOKUP(Tableau1[[#This Row],[Colonne2]],Final!$B$3:$I$302,7,FALSE)</f>
        <v>56</v>
      </c>
      <c r="P120">
        <f>Tableau1[[#This Row],[Final]]-Tableau1[[#This Row],[Lepool.com]]</f>
        <v>2</v>
      </c>
      <c r="Q120">
        <f>Tableau1[[#This Row],[Final]]-Tableau1[[#This Row],[HM]]</f>
        <v>-1</v>
      </c>
      <c r="R120">
        <f>Tableau1[[#This Row],[Final]]-Tableau1[[#This Row],[Pool Pro]]</f>
        <v>0</v>
      </c>
      <c r="S120">
        <f>Tableau1[[#This Row],[Final]]-Tableau1[[#This Row],[ESPN]]</f>
        <v>3</v>
      </c>
      <c r="T120">
        <f>Tableau1[[#This Row],[Final]]-Tableau1[[#This Row],[CBS]]</f>
        <v>0</v>
      </c>
      <c r="U120">
        <f>Tableau1[[#This Row],[Final]]-Tableau1[[#This Row],[Moyenne]]</f>
        <v>1.1666666666666643</v>
      </c>
    </row>
    <row r="121" spans="1:21" ht="15.75" thickBot="1" x14ac:dyDescent="0.3">
      <c r="A121" s="1"/>
      <c r="B121" t="s">
        <v>174</v>
      </c>
      <c r="C121" t="s">
        <v>230</v>
      </c>
      <c r="D121" t="str">
        <f>Tableau1[[#This Row],[Prenom]]&amp;" "&amp;Tableau1[[#This Row],[Nom]]</f>
        <v>Alexander Radulov</v>
      </c>
      <c r="E121">
        <f>VLOOKUP(Tableau1[[#This Row],[Colonne2]],'BCP stats'!$C$6:$D$305,2,FALSE)</f>
        <v>30</v>
      </c>
      <c r="G121" s="12">
        <v>65</v>
      </c>
      <c r="H121">
        <v>49</v>
      </c>
      <c r="I121">
        <v>59</v>
      </c>
      <c r="J121">
        <v>60</v>
      </c>
      <c r="K121">
        <v>42</v>
      </c>
      <c r="L121">
        <v>39</v>
      </c>
      <c r="M121" s="9">
        <f>AVERAGE(Tableau1[[#This Row],[Lepool.com]:[CBS]])</f>
        <v>52.333333333333336</v>
      </c>
      <c r="N121" s="9">
        <f>VLOOKUP(Tableau1[[#This Row],[Colonne2]],Final!$B$3:$I$302,4,FALSE)</f>
        <v>76</v>
      </c>
      <c r="O121" s="9">
        <f>VLOOKUP(Tableau1[[#This Row],[Colonne2]],Final!$B$3:$I$302,7,FALSE)</f>
        <v>54</v>
      </c>
      <c r="P121">
        <f>Tableau1[[#This Row],[Final]]-Tableau1[[#This Row],[Lepool.com]]</f>
        <v>-11</v>
      </c>
      <c r="Q121">
        <f>Tableau1[[#This Row],[Final]]-Tableau1[[#This Row],[HM]]</f>
        <v>5</v>
      </c>
      <c r="R121">
        <f>Tableau1[[#This Row],[Final]]-Tableau1[[#This Row],[Pool Pro]]</f>
        <v>-5</v>
      </c>
      <c r="S121">
        <f>Tableau1[[#This Row],[Final]]-Tableau1[[#This Row],[ESPN]]</f>
        <v>12</v>
      </c>
      <c r="T121">
        <f>Tableau1[[#This Row],[Final]]-Tableau1[[#This Row],[CBS]]</f>
        <v>15</v>
      </c>
      <c r="U121">
        <f>Tableau1[[#This Row],[Final]]-Tableau1[[#This Row],[Moyenne]]</f>
        <v>1.6666666666666643</v>
      </c>
    </row>
    <row r="122" spans="1:21" x14ac:dyDescent="0.25">
      <c r="A122" s="1"/>
      <c r="B122" t="s">
        <v>192</v>
      </c>
      <c r="C122" t="s">
        <v>193</v>
      </c>
      <c r="D122" t="str">
        <f>Tableau1[[#This Row],[Prenom]]&amp;" "&amp;Tableau1[[#This Row],[Nom]]</f>
        <v>Blake Wheeler</v>
      </c>
      <c r="E122">
        <f>VLOOKUP(Tableau1[[#This Row],[Colonne2]],'BCP stats'!$C$6:$D$305,2,FALSE)</f>
        <v>30</v>
      </c>
      <c r="G122" s="12">
        <v>73</v>
      </c>
      <c r="H122">
        <v>69</v>
      </c>
      <c r="I122">
        <v>68</v>
      </c>
      <c r="J122">
        <v>72</v>
      </c>
      <c r="K122">
        <v>73</v>
      </c>
      <c r="L122">
        <v>80</v>
      </c>
      <c r="M122" s="9">
        <f>AVERAGE(Tableau1[[#This Row],[Lepool.com]:[CBS]])</f>
        <v>72.5</v>
      </c>
      <c r="N122" s="9">
        <f>VLOOKUP(Tableau1[[#This Row],[Colonne2]],Final!$B$3:$I$302,4,FALSE)</f>
        <v>82</v>
      </c>
      <c r="O122" s="9">
        <f>VLOOKUP(Tableau1[[#This Row],[Colonne2]],Final!$B$3:$I$302,7,FALSE)</f>
        <v>74</v>
      </c>
      <c r="P122">
        <f>Tableau1[[#This Row],[Final]]-Tableau1[[#This Row],[Lepool.com]]</f>
        <v>1</v>
      </c>
      <c r="Q122">
        <f>Tableau1[[#This Row],[Final]]-Tableau1[[#This Row],[HM]]</f>
        <v>5</v>
      </c>
      <c r="R122">
        <f>Tableau1[[#This Row],[Final]]-Tableau1[[#This Row],[Pool Pro]]</f>
        <v>6</v>
      </c>
      <c r="S122">
        <f>Tableau1[[#This Row],[Final]]-Tableau1[[#This Row],[ESPN]]</f>
        <v>1</v>
      </c>
      <c r="T122">
        <f>Tableau1[[#This Row],[Final]]-Tableau1[[#This Row],[CBS]]</f>
        <v>-6</v>
      </c>
      <c r="U122">
        <f>Tableau1[[#This Row],[Final]]-Tableau1[[#This Row],[Moyenne]]</f>
        <v>1.5</v>
      </c>
    </row>
    <row r="123" spans="1:21" ht="15.75" thickBot="1" x14ac:dyDescent="0.3">
      <c r="A123" s="2"/>
      <c r="B123" t="s">
        <v>166</v>
      </c>
      <c r="C123" t="s">
        <v>1248</v>
      </c>
      <c r="D123" t="str">
        <f>Tableau1[[#This Row],[Prenom]]&amp;" "&amp;Tableau1[[#This Row],[Nom]]</f>
        <v>Tyler Bozak</v>
      </c>
      <c r="E123">
        <f>VLOOKUP(Tableau1[[#This Row],[Colonne2]],'BCP stats'!$C$6:$D$305,2,FALSE)</f>
        <v>30</v>
      </c>
      <c r="G123" s="11"/>
      <c r="H123">
        <v>45</v>
      </c>
      <c r="I123">
        <v>42</v>
      </c>
      <c r="J123">
        <v>48</v>
      </c>
      <c r="L123">
        <v>52</v>
      </c>
      <c r="M123" s="21">
        <f>AVERAGE(Tableau1[[#This Row],[Lepool.com]:[CBS]])</f>
        <v>46.75</v>
      </c>
      <c r="N123" s="21">
        <f>VLOOKUP(Tableau1[[#This Row],[Colonne2]],Final!$B$3:$I$302,4,FALSE)</f>
        <v>78</v>
      </c>
      <c r="O123" s="9">
        <f>VLOOKUP(Tableau1[[#This Row],[Colonne2]],Final!$B$3:$I$302,7,FALSE)</f>
        <v>55</v>
      </c>
      <c r="P123">
        <f>Tableau1[[#This Row],[Final]]-Tableau1[[#This Row],[Lepool.com]]</f>
        <v>55</v>
      </c>
      <c r="Q123">
        <f>Tableau1[[#This Row],[Final]]-Tableau1[[#This Row],[HM]]</f>
        <v>10</v>
      </c>
      <c r="R123">
        <f>Tableau1[[#This Row],[Final]]-Tableau1[[#This Row],[Pool Pro]]</f>
        <v>13</v>
      </c>
      <c r="S123">
        <f>Tableau1[[#This Row],[Final]]-Tableau1[[#This Row],[ESPN]]</f>
        <v>55</v>
      </c>
      <c r="T123">
        <f>Tableau1[[#This Row],[Final]]-Tableau1[[#This Row],[CBS]]</f>
        <v>3</v>
      </c>
      <c r="U123">
        <f>Tableau1[[#This Row],[Final]]-Tableau1[[#This Row],[Moyenne]]</f>
        <v>8.25</v>
      </c>
    </row>
    <row r="124" spans="1:21" ht="15.75" thickBot="1" x14ac:dyDescent="0.3">
      <c r="A124" s="1"/>
      <c r="B124" t="s">
        <v>310</v>
      </c>
      <c r="C124" t="s">
        <v>311</v>
      </c>
      <c r="D124" t="str">
        <f>Tableau1[[#This Row],[Prenom]]&amp;" "&amp;Tableau1[[#This Row],[Nom]]</f>
        <v>Andrew Ladd</v>
      </c>
      <c r="E124">
        <f>VLOOKUP(Tableau1[[#This Row],[Colonne2]],'BCP stats'!$C$6:$D$305,2,FALSE)</f>
        <v>31</v>
      </c>
      <c r="G124" s="12">
        <v>56</v>
      </c>
      <c r="H124">
        <v>50</v>
      </c>
      <c r="I124">
        <v>54</v>
      </c>
      <c r="J124">
        <v>66</v>
      </c>
      <c r="K124">
        <v>51</v>
      </c>
      <c r="L124">
        <v>49</v>
      </c>
      <c r="M124" s="9">
        <f>AVERAGE(Tableau1[[#This Row],[Lepool.com]:[CBS]])</f>
        <v>54.333333333333336</v>
      </c>
      <c r="N124" s="9">
        <f>VLOOKUP(Tableau1[[#This Row],[Colonne2]],Final!$B$3:$I$302,4,FALSE)</f>
        <v>78</v>
      </c>
      <c r="O124" s="9">
        <f>VLOOKUP(Tableau1[[#This Row],[Colonne2]],Final!$B$3:$I$302,7,FALSE)</f>
        <v>31</v>
      </c>
      <c r="P124">
        <f>Tableau1[[#This Row],[Final]]-Tableau1[[#This Row],[Lepool.com]]</f>
        <v>-25</v>
      </c>
      <c r="Q124">
        <f>Tableau1[[#This Row],[Final]]-Tableau1[[#This Row],[HM]]</f>
        <v>-19</v>
      </c>
      <c r="R124">
        <f>Tableau1[[#This Row],[Final]]-Tableau1[[#This Row],[Pool Pro]]</f>
        <v>-23</v>
      </c>
      <c r="S124">
        <f>Tableau1[[#This Row],[Final]]-Tableau1[[#This Row],[ESPN]]</f>
        <v>-20</v>
      </c>
      <c r="T124">
        <f>Tableau1[[#This Row],[Final]]-Tableau1[[#This Row],[CBS]]</f>
        <v>-18</v>
      </c>
      <c r="U124">
        <f>Tableau1[[#This Row],[Final]]-Tableau1[[#This Row],[Moyenne]]</f>
        <v>-23.333333333333336</v>
      </c>
    </row>
    <row r="125" spans="1:21" x14ac:dyDescent="0.25">
      <c r="A125" s="1"/>
      <c r="B125" t="s">
        <v>341</v>
      </c>
      <c r="C125" t="s">
        <v>342</v>
      </c>
      <c r="D125" t="str">
        <f>Tableau1[[#This Row],[Prenom]]&amp;" "&amp;Tableau1[[#This Row],[Nom]]</f>
        <v>Paul Stastny</v>
      </c>
      <c r="E125">
        <f>VLOOKUP(Tableau1[[#This Row],[Colonne2]],'BCP stats'!$C$6:$D$305,2,FALSE)</f>
        <v>31</v>
      </c>
      <c r="G125" s="11">
        <v>53</v>
      </c>
      <c r="H125">
        <v>55</v>
      </c>
      <c r="I125">
        <v>52</v>
      </c>
      <c r="J125">
        <v>52</v>
      </c>
      <c r="K125">
        <v>48</v>
      </c>
      <c r="L125">
        <v>60</v>
      </c>
      <c r="M125" s="9">
        <f>AVERAGE(Tableau1[[#This Row],[Lepool.com]:[CBS]])</f>
        <v>53.333333333333336</v>
      </c>
      <c r="N125" s="9">
        <f>VLOOKUP(Tableau1[[#This Row],[Colonne2]],Final!$B$3:$I$302,4,FALSE)</f>
        <v>66</v>
      </c>
      <c r="O125" s="9">
        <f>VLOOKUP(Tableau1[[#This Row],[Colonne2]],Final!$B$3:$I$302,7,FALSE)</f>
        <v>40</v>
      </c>
      <c r="P125">
        <f>Tableau1[[#This Row],[Final]]-Tableau1[[#This Row],[Lepool.com]]</f>
        <v>-13</v>
      </c>
      <c r="Q125">
        <f>Tableau1[[#This Row],[Final]]-Tableau1[[#This Row],[HM]]</f>
        <v>-15</v>
      </c>
      <c r="R125">
        <f>Tableau1[[#This Row],[Final]]-Tableau1[[#This Row],[Pool Pro]]</f>
        <v>-12</v>
      </c>
      <c r="S125">
        <f>Tableau1[[#This Row],[Final]]-Tableau1[[#This Row],[ESPN]]</f>
        <v>-8</v>
      </c>
      <c r="T125">
        <f>Tableau1[[#This Row],[Final]]-Tableau1[[#This Row],[CBS]]</f>
        <v>-20</v>
      </c>
      <c r="U125">
        <f>Tableau1[[#This Row],[Final]]-Tableau1[[#This Row],[Moyenne]]</f>
        <v>-13.333333333333336</v>
      </c>
    </row>
    <row r="126" spans="1:21" ht="15.75" thickBot="1" x14ac:dyDescent="0.3">
      <c r="A126" s="2"/>
      <c r="B126" t="s">
        <v>1370</v>
      </c>
      <c r="C126" t="s">
        <v>1371</v>
      </c>
      <c r="D126" t="str">
        <f>Tableau1[[#This Row],[Prenom]]&amp;" "&amp;Tableau1[[#This Row],[Nom]]</f>
        <v>Troy Brouwer</v>
      </c>
      <c r="E126">
        <f>VLOOKUP(Tableau1[[#This Row],[Colonne2]],'BCP stats'!$C$6:$D$305,2,FALSE)</f>
        <v>31</v>
      </c>
      <c r="G126" s="11"/>
      <c r="H126">
        <v>40</v>
      </c>
      <c r="I126">
        <v>49</v>
      </c>
      <c r="J126">
        <v>43</v>
      </c>
      <c r="L126">
        <v>41</v>
      </c>
      <c r="M126" s="21">
        <f>AVERAGE(Tableau1[[#This Row],[Lepool.com]:[CBS]])</f>
        <v>43.25</v>
      </c>
      <c r="N126" s="21">
        <f>VLOOKUP(Tableau1[[#This Row],[Colonne2]],Final!$B$3:$I$302,4,FALSE)</f>
        <v>74</v>
      </c>
      <c r="O126" s="9">
        <f>VLOOKUP(Tableau1[[#This Row],[Colonne2]],Final!$B$3:$I$302,7,FALSE)</f>
        <v>25</v>
      </c>
      <c r="P126">
        <f>Tableau1[[#This Row],[Final]]-Tableau1[[#This Row],[Lepool.com]]</f>
        <v>25</v>
      </c>
      <c r="Q126">
        <f>Tableau1[[#This Row],[Final]]-Tableau1[[#This Row],[HM]]</f>
        <v>-15</v>
      </c>
      <c r="R126">
        <f>Tableau1[[#This Row],[Final]]-Tableau1[[#This Row],[Pool Pro]]</f>
        <v>-24</v>
      </c>
      <c r="S126">
        <f>Tableau1[[#This Row],[Final]]-Tableau1[[#This Row],[ESPN]]</f>
        <v>25</v>
      </c>
      <c r="T126">
        <f>Tableau1[[#This Row],[Final]]-Tableau1[[#This Row],[CBS]]</f>
        <v>-16</v>
      </c>
      <c r="U126">
        <f>Tableau1[[#This Row],[Final]]-Tableau1[[#This Row],[Moyenne]]</f>
        <v>-18.25</v>
      </c>
    </row>
    <row r="127" spans="1:21" ht="15.75" thickBot="1" x14ac:dyDescent="0.3">
      <c r="A127" s="1"/>
      <c r="B127" t="s">
        <v>204</v>
      </c>
      <c r="C127" t="s">
        <v>205</v>
      </c>
      <c r="D127" t="str">
        <f>Tableau1[[#This Row],[Prenom]]&amp;" "&amp;Tableau1[[#This Row],[Nom]]</f>
        <v>Corey Perry</v>
      </c>
      <c r="E127">
        <f>VLOOKUP(Tableau1[[#This Row],[Colonne2]],'BCP stats'!$C$6:$D$305,2,FALSE)</f>
        <v>31</v>
      </c>
      <c r="G127" s="12">
        <v>70</v>
      </c>
      <c r="H127">
        <v>65</v>
      </c>
      <c r="I127">
        <v>65</v>
      </c>
      <c r="J127">
        <v>70</v>
      </c>
      <c r="K127">
        <v>63</v>
      </c>
      <c r="L127">
        <v>68</v>
      </c>
      <c r="M127" s="9">
        <f>AVERAGE(Tableau1[[#This Row],[Lepool.com]:[CBS]])</f>
        <v>66.833333333333329</v>
      </c>
      <c r="N127" s="9">
        <f>VLOOKUP(Tableau1[[#This Row],[Colonne2]],Final!$B$3:$I$302,4,FALSE)</f>
        <v>82</v>
      </c>
      <c r="O127" s="9">
        <f>VLOOKUP(Tableau1[[#This Row],[Colonne2]],Final!$B$3:$I$302,7,FALSE)</f>
        <v>53</v>
      </c>
      <c r="P127">
        <f>Tableau1[[#This Row],[Final]]-Tableau1[[#This Row],[Lepool.com]]</f>
        <v>-17</v>
      </c>
      <c r="Q127">
        <f>Tableau1[[#This Row],[Final]]-Tableau1[[#This Row],[HM]]</f>
        <v>-12</v>
      </c>
      <c r="R127">
        <f>Tableau1[[#This Row],[Final]]-Tableau1[[#This Row],[Pool Pro]]</f>
        <v>-12</v>
      </c>
      <c r="S127">
        <f>Tableau1[[#This Row],[Final]]-Tableau1[[#This Row],[ESPN]]</f>
        <v>-10</v>
      </c>
      <c r="T127">
        <f>Tableau1[[#This Row],[Final]]-Tableau1[[#This Row],[CBS]]</f>
        <v>-15</v>
      </c>
      <c r="U127">
        <f>Tableau1[[#This Row],[Final]]-Tableau1[[#This Row],[Moyenne]]</f>
        <v>-13.833333333333329</v>
      </c>
    </row>
    <row r="128" spans="1:21" x14ac:dyDescent="0.25">
      <c r="A128" s="1"/>
      <c r="B128" t="s">
        <v>174</v>
      </c>
      <c r="C128" t="s">
        <v>175</v>
      </c>
      <c r="D128" t="str">
        <f>Tableau1[[#This Row],[Prenom]]&amp;" "&amp;Tableau1[[#This Row],[Nom]]</f>
        <v>Alexander Ovechkin</v>
      </c>
      <c r="E128">
        <f>VLOOKUP(Tableau1[[#This Row],[Colonne2]],'BCP stats'!$C$6:$D$305,2,FALSE)</f>
        <v>31</v>
      </c>
      <c r="G128" s="12">
        <v>79</v>
      </c>
      <c r="H128">
        <v>79</v>
      </c>
      <c r="I128">
        <v>76</v>
      </c>
      <c r="J128">
        <v>75</v>
      </c>
      <c r="K128">
        <v>73</v>
      </c>
      <c r="L128">
        <v>76</v>
      </c>
      <c r="M128" s="9">
        <f>AVERAGE(Tableau1[[#This Row],[Lepool.com]:[CBS]])</f>
        <v>76.333333333333329</v>
      </c>
      <c r="N128" s="9">
        <f>VLOOKUP(Tableau1[[#This Row],[Colonne2]],Final!$B$3:$I$302,4,FALSE)</f>
        <v>82</v>
      </c>
      <c r="O128" s="9">
        <f>VLOOKUP(Tableau1[[#This Row],[Colonne2]],Final!$B$3:$I$302,7,FALSE)</f>
        <v>69</v>
      </c>
      <c r="P128">
        <f>Tableau1[[#This Row],[Final]]-Tableau1[[#This Row],[Lepool.com]]</f>
        <v>-10</v>
      </c>
      <c r="Q128">
        <f>Tableau1[[#This Row],[Final]]-Tableau1[[#This Row],[HM]]</f>
        <v>-10</v>
      </c>
      <c r="R128">
        <f>Tableau1[[#This Row],[Final]]-Tableau1[[#This Row],[Pool Pro]]</f>
        <v>-7</v>
      </c>
      <c r="S128">
        <f>Tableau1[[#This Row],[Final]]-Tableau1[[#This Row],[ESPN]]</f>
        <v>-4</v>
      </c>
      <c r="T128">
        <f>Tableau1[[#This Row],[Final]]-Tableau1[[#This Row],[CBS]]</f>
        <v>-7</v>
      </c>
      <c r="U128">
        <f>Tableau1[[#This Row],[Final]]-Tableau1[[#This Row],[Moyenne]]</f>
        <v>-7.3333333333333286</v>
      </c>
    </row>
    <row r="129" spans="1:21" ht="15.75" thickBot="1" x14ac:dyDescent="0.3">
      <c r="A129" s="2"/>
      <c r="B129" t="s">
        <v>325</v>
      </c>
      <c r="C129" t="s">
        <v>326</v>
      </c>
      <c r="D129" t="str">
        <f>Tableau1[[#This Row],[Prenom]]&amp;" "&amp;Tableau1[[#This Row],[Nom]]</f>
        <v>Shea Weber</v>
      </c>
      <c r="E129">
        <f>VLOOKUP(Tableau1[[#This Row],[Colonne2]],'BCP stats'!$C$6:$D$305,2,FALSE)</f>
        <v>31</v>
      </c>
      <c r="G129" s="12">
        <v>54</v>
      </c>
      <c r="H129">
        <v>51</v>
      </c>
      <c r="I129">
        <v>54</v>
      </c>
      <c r="J129">
        <v>47</v>
      </c>
      <c r="K129">
        <v>45</v>
      </c>
      <c r="L129">
        <v>55</v>
      </c>
      <c r="M129" s="9">
        <f>AVERAGE(Tableau1[[#This Row],[Lepool.com]:[CBS]])</f>
        <v>51</v>
      </c>
      <c r="N129" s="9">
        <f>VLOOKUP(Tableau1[[#This Row],[Colonne2]],Final!$B$3:$I$302,4,FALSE)</f>
        <v>78</v>
      </c>
      <c r="O129" s="9">
        <f>VLOOKUP(Tableau1[[#This Row],[Colonne2]],Final!$B$3:$I$302,7,FALSE)</f>
        <v>42</v>
      </c>
      <c r="P129">
        <f>Tableau1[[#This Row],[Final]]-Tableau1[[#This Row],[Lepool.com]]</f>
        <v>-12</v>
      </c>
      <c r="Q129">
        <f>Tableau1[[#This Row],[Final]]-Tableau1[[#This Row],[HM]]</f>
        <v>-9</v>
      </c>
      <c r="R129">
        <f>Tableau1[[#This Row],[Final]]-Tableau1[[#This Row],[Pool Pro]]</f>
        <v>-12</v>
      </c>
      <c r="S129">
        <f>Tableau1[[#This Row],[Final]]-Tableau1[[#This Row],[ESPN]]</f>
        <v>-3</v>
      </c>
      <c r="T129">
        <f>Tableau1[[#This Row],[Final]]-Tableau1[[#This Row],[CBS]]</f>
        <v>-13</v>
      </c>
      <c r="U129">
        <f>Tableau1[[#This Row],[Final]]-Tableau1[[#This Row],[Moyenne]]</f>
        <v>-9</v>
      </c>
    </row>
    <row r="130" spans="1:21" ht="15.75" thickBot="1" x14ac:dyDescent="0.3">
      <c r="A130" s="1"/>
      <c r="B130" t="s">
        <v>237</v>
      </c>
      <c r="C130" t="s">
        <v>238</v>
      </c>
      <c r="D130" t="str">
        <f>Tableau1[[#This Row],[Prenom]]&amp;" "&amp;Tableau1[[#This Row],[Nom]]</f>
        <v>Patrice Bergeron</v>
      </c>
      <c r="E130">
        <f>VLOOKUP(Tableau1[[#This Row],[Colonne2]],'BCP stats'!$C$6:$D$305,2,FALSE)</f>
        <v>31</v>
      </c>
      <c r="G130" s="12">
        <v>64</v>
      </c>
      <c r="H130">
        <v>60</v>
      </c>
      <c r="I130">
        <v>64</v>
      </c>
      <c r="J130">
        <v>63</v>
      </c>
      <c r="K130">
        <v>60</v>
      </c>
      <c r="L130">
        <v>71</v>
      </c>
      <c r="M130" s="9">
        <f>AVERAGE(Tableau1[[#This Row],[Lepool.com]:[CBS]])</f>
        <v>63.666666666666664</v>
      </c>
      <c r="N130" s="9">
        <f>VLOOKUP(Tableau1[[#This Row],[Colonne2]],Final!$B$3:$I$302,4,FALSE)</f>
        <v>79</v>
      </c>
      <c r="O130" s="9">
        <f>VLOOKUP(Tableau1[[#This Row],[Colonne2]],Final!$B$3:$I$302,7,FALSE)</f>
        <v>53</v>
      </c>
      <c r="P130">
        <f>Tableau1[[#This Row],[Final]]-Tableau1[[#This Row],[Lepool.com]]</f>
        <v>-11</v>
      </c>
      <c r="Q130">
        <f>Tableau1[[#This Row],[Final]]-Tableau1[[#This Row],[HM]]</f>
        <v>-7</v>
      </c>
      <c r="R130">
        <f>Tableau1[[#This Row],[Final]]-Tableau1[[#This Row],[Pool Pro]]</f>
        <v>-11</v>
      </c>
      <c r="S130">
        <f>Tableau1[[#This Row],[Final]]-Tableau1[[#This Row],[ESPN]]</f>
        <v>-7</v>
      </c>
      <c r="T130">
        <f>Tableau1[[#This Row],[Final]]-Tableau1[[#This Row],[CBS]]</f>
        <v>-18</v>
      </c>
      <c r="U130">
        <f>Tableau1[[#This Row],[Final]]-Tableau1[[#This Row],[Moyenne]]</f>
        <v>-10.666666666666664</v>
      </c>
    </row>
    <row r="131" spans="1:21" x14ac:dyDescent="0.25">
      <c r="A131" s="1"/>
      <c r="B131" t="s">
        <v>188</v>
      </c>
      <c r="C131" t="s">
        <v>389</v>
      </c>
      <c r="D131" t="str">
        <f>Tableau1[[#This Row],[Prenom]]&amp;" "&amp;Tableau1[[#This Row],[Nom]]</f>
        <v>Ryan Suter</v>
      </c>
      <c r="E131">
        <f>VLOOKUP(Tableau1[[#This Row],[Colonne2]],'BCP stats'!$C$6:$D$305,2,FALSE)</f>
        <v>31</v>
      </c>
      <c r="G131" s="11">
        <v>50</v>
      </c>
      <c r="H131">
        <v>46</v>
      </c>
      <c r="I131">
        <v>46</v>
      </c>
      <c r="J131">
        <v>43</v>
      </c>
      <c r="K131">
        <v>43</v>
      </c>
      <c r="L131">
        <v>47</v>
      </c>
      <c r="M131" s="9">
        <f>AVERAGE(Tableau1[[#This Row],[Lepool.com]:[CBS]])</f>
        <v>45.833333333333336</v>
      </c>
      <c r="N131" s="9">
        <f>VLOOKUP(Tableau1[[#This Row],[Colonne2]],Final!$B$3:$I$302,4,FALSE)</f>
        <v>82</v>
      </c>
      <c r="O131" s="9">
        <f>VLOOKUP(Tableau1[[#This Row],[Colonne2]],Final!$B$3:$I$302,7,FALSE)</f>
        <v>40</v>
      </c>
      <c r="P131">
        <f>Tableau1[[#This Row],[Final]]-Tableau1[[#This Row],[Lepool.com]]</f>
        <v>-10</v>
      </c>
      <c r="Q131">
        <f>Tableau1[[#This Row],[Final]]-Tableau1[[#This Row],[HM]]</f>
        <v>-6</v>
      </c>
      <c r="R131">
        <f>Tableau1[[#This Row],[Final]]-Tableau1[[#This Row],[Pool Pro]]</f>
        <v>-6</v>
      </c>
      <c r="S131">
        <f>Tableau1[[#This Row],[Final]]-Tableau1[[#This Row],[ESPN]]</f>
        <v>-3</v>
      </c>
      <c r="T131">
        <f>Tableau1[[#This Row],[Final]]-Tableau1[[#This Row],[CBS]]</f>
        <v>-7</v>
      </c>
      <c r="U131">
        <f>Tableau1[[#This Row],[Final]]-Tableau1[[#This Row],[Moyenne]]</f>
        <v>-5.8333333333333357</v>
      </c>
    </row>
    <row r="132" spans="1:21" ht="15.75" thickBot="1" x14ac:dyDescent="0.3">
      <c r="A132" s="2"/>
      <c r="B132" t="s">
        <v>222</v>
      </c>
      <c r="C132" t="s">
        <v>1514</v>
      </c>
      <c r="D132" t="str">
        <f>Tableau1[[#This Row],[Prenom]]&amp;" "&amp;Tableau1[[#This Row],[Nom]]</f>
        <v>Brent Seabrook</v>
      </c>
      <c r="E132">
        <f>VLOOKUP(Tableau1[[#This Row],[Colonne2]],'BCP stats'!$C$6:$D$305,2,FALSE)</f>
        <v>31</v>
      </c>
      <c r="G132" s="11"/>
      <c r="H132">
        <v>42</v>
      </c>
      <c r="I132">
        <v>41</v>
      </c>
      <c r="J132">
        <v>45</v>
      </c>
      <c r="K132">
        <v>37</v>
      </c>
      <c r="L132">
        <v>50</v>
      </c>
      <c r="M132" s="21">
        <f>AVERAGE(Tableau1[[#This Row],[Lepool.com]:[CBS]])</f>
        <v>43</v>
      </c>
      <c r="N132" s="21">
        <f>VLOOKUP(Tableau1[[#This Row],[Colonne2]],Final!$B$3:$I$302,4,FALSE)</f>
        <v>79</v>
      </c>
      <c r="O132" s="9">
        <f>VLOOKUP(Tableau1[[#This Row],[Colonne2]],Final!$B$3:$I$302,7,FALSE)</f>
        <v>39</v>
      </c>
      <c r="P132">
        <f>Tableau1[[#This Row],[Final]]-Tableau1[[#This Row],[Lepool.com]]</f>
        <v>39</v>
      </c>
      <c r="Q132">
        <f>Tableau1[[#This Row],[Final]]-Tableau1[[#This Row],[HM]]</f>
        <v>-3</v>
      </c>
      <c r="R132">
        <f>Tableau1[[#This Row],[Final]]-Tableau1[[#This Row],[Pool Pro]]</f>
        <v>-2</v>
      </c>
      <c r="S132">
        <f>Tableau1[[#This Row],[Final]]-Tableau1[[#This Row],[ESPN]]</f>
        <v>2</v>
      </c>
      <c r="T132">
        <f>Tableau1[[#This Row],[Final]]-Tableau1[[#This Row],[CBS]]</f>
        <v>-11</v>
      </c>
      <c r="U132">
        <f>Tableau1[[#This Row],[Final]]-Tableau1[[#This Row],[Moyenne]]</f>
        <v>-4</v>
      </c>
    </row>
    <row r="133" spans="1:21" ht="15.75" thickBot="1" x14ac:dyDescent="0.3">
      <c r="A133" s="1"/>
      <c r="B133" t="s">
        <v>424</v>
      </c>
      <c r="C133" t="s">
        <v>425</v>
      </c>
      <c r="D133" t="str">
        <f>Tableau1[[#This Row],[Prenom]]&amp;" "&amp;Tableau1[[#This Row],[Nom]]</f>
        <v>Travis Zajac</v>
      </c>
      <c r="E133">
        <f>VLOOKUP(Tableau1[[#This Row],[Colonne2]],'BCP stats'!$C$6:$D$305,2,FALSE)</f>
        <v>31</v>
      </c>
      <c r="G133" s="11">
        <v>48</v>
      </c>
      <c r="H133">
        <v>44</v>
      </c>
      <c r="I133">
        <v>43</v>
      </c>
      <c r="J133">
        <v>44</v>
      </c>
      <c r="L133">
        <v>51</v>
      </c>
      <c r="M133" s="9">
        <f>AVERAGE(Tableau1[[#This Row],[Lepool.com]:[CBS]])</f>
        <v>46</v>
      </c>
      <c r="N133" s="9">
        <f>VLOOKUP(Tableau1[[#This Row],[Colonne2]],Final!$B$3:$I$302,4,FALSE)</f>
        <v>80</v>
      </c>
      <c r="O133" s="9">
        <f>VLOOKUP(Tableau1[[#This Row],[Colonne2]],Final!$B$3:$I$302,7,FALSE)</f>
        <v>45</v>
      </c>
      <c r="P133">
        <f>Tableau1[[#This Row],[Final]]-Tableau1[[#This Row],[Lepool.com]]</f>
        <v>-3</v>
      </c>
      <c r="Q133">
        <f>Tableau1[[#This Row],[Final]]-Tableau1[[#This Row],[HM]]</f>
        <v>1</v>
      </c>
      <c r="R133">
        <f>Tableau1[[#This Row],[Final]]-Tableau1[[#This Row],[Pool Pro]]</f>
        <v>2</v>
      </c>
      <c r="S133">
        <f>Tableau1[[#This Row],[Final]]-Tableau1[[#This Row],[ESPN]]</f>
        <v>45</v>
      </c>
      <c r="T133">
        <f>Tableau1[[#This Row],[Final]]-Tableau1[[#This Row],[CBS]]</f>
        <v>-6</v>
      </c>
      <c r="U133">
        <f>Tableau1[[#This Row],[Final]]-Tableau1[[#This Row],[Moyenne]]</f>
        <v>-1</v>
      </c>
    </row>
    <row r="134" spans="1:21" x14ac:dyDescent="0.25">
      <c r="A134" s="1"/>
      <c r="B134" t="s">
        <v>300</v>
      </c>
      <c r="C134" t="s">
        <v>301</v>
      </c>
      <c r="D134" t="str">
        <f>Tableau1[[#This Row],[Prenom]]&amp;" "&amp;Tableau1[[#This Row],[Nom]]</f>
        <v>Dustin Byfuglien</v>
      </c>
      <c r="E134">
        <f>VLOOKUP(Tableau1[[#This Row],[Colonne2]],'BCP stats'!$C$6:$D$305,2,FALSE)</f>
        <v>31</v>
      </c>
      <c r="G134" s="12">
        <v>57</v>
      </c>
      <c r="H134">
        <v>51</v>
      </c>
      <c r="I134">
        <v>55</v>
      </c>
      <c r="J134">
        <v>53</v>
      </c>
      <c r="K134">
        <v>51</v>
      </c>
      <c r="L134">
        <v>56</v>
      </c>
      <c r="M134" s="9">
        <f>AVERAGE(Tableau1[[#This Row],[Lepool.com]:[CBS]])</f>
        <v>53.833333333333336</v>
      </c>
      <c r="N134" s="9">
        <f>VLOOKUP(Tableau1[[#This Row],[Colonne2]],Final!$B$3:$I$302,4,FALSE)</f>
        <v>80</v>
      </c>
      <c r="O134" s="9">
        <f>VLOOKUP(Tableau1[[#This Row],[Colonne2]],Final!$B$3:$I$302,7,FALSE)</f>
        <v>52</v>
      </c>
      <c r="P134">
        <f>Tableau1[[#This Row],[Final]]-Tableau1[[#This Row],[Lepool.com]]</f>
        <v>-5</v>
      </c>
      <c r="Q134">
        <f>Tableau1[[#This Row],[Final]]-Tableau1[[#This Row],[HM]]</f>
        <v>1</v>
      </c>
      <c r="R134">
        <f>Tableau1[[#This Row],[Final]]-Tableau1[[#This Row],[Pool Pro]]</f>
        <v>-3</v>
      </c>
      <c r="S134">
        <f>Tableau1[[#This Row],[Final]]-Tableau1[[#This Row],[ESPN]]</f>
        <v>1</v>
      </c>
      <c r="T134">
        <f>Tableau1[[#This Row],[Final]]-Tableau1[[#This Row],[CBS]]</f>
        <v>-4</v>
      </c>
      <c r="U134">
        <f>Tableau1[[#This Row],[Final]]-Tableau1[[#This Row],[Moyenne]]</f>
        <v>-1.8333333333333357</v>
      </c>
    </row>
    <row r="135" spans="1:21" ht="15.75" thickBot="1" x14ac:dyDescent="0.3">
      <c r="A135" s="2"/>
      <c r="B135" t="s">
        <v>277</v>
      </c>
      <c r="C135" t="s">
        <v>278</v>
      </c>
      <c r="D135" t="str">
        <f>Tableau1[[#This Row],[Prenom]]&amp;" "&amp;Tableau1[[#This Row],[Nom]]</f>
        <v>Jeff Carter</v>
      </c>
      <c r="E135">
        <f>VLOOKUP(Tableau1[[#This Row],[Colonne2]],'BCP stats'!$C$6:$D$305,2,FALSE)</f>
        <v>31</v>
      </c>
      <c r="G135" s="12">
        <v>58</v>
      </c>
      <c r="H135">
        <v>64</v>
      </c>
      <c r="I135">
        <v>62</v>
      </c>
      <c r="J135">
        <v>61</v>
      </c>
      <c r="K135">
        <v>62</v>
      </c>
      <c r="L135">
        <v>67</v>
      </c>
      <c r="M135" s="9">
        <f>AVERAGE(Tableau1[[#This Row],[Lepool.com]:[CBS]])</f>
        <v>62.333333333333336</v>
      </c>
      <c r="N135" s="9">
        <f>VLOOKUP(Tableau1[[#This Row],[Colonne2]],Final!$B$3:$I$302,4,FALSE)</f>
        <v>82</v>
      </c>
      <c r="O135" s="9">
        <f>VLOOKUP(Tableau1[[#This Row],[Colonne2]],Final!$B$3:$I$302,7,FALSE)</f>
        <v>66</v>
      </c>
      <c r="P135">
        <f>Tableau1[[#This Row],[Final]]-Tableau1[[#This Row],[Lepool.com]]</f>
        <v>8</v>
      </c>
      <c r="Q135">
        <f>Tableau1[[#This Row],[Final]]-Tableau1[[#This Row],[HM]]</f>
        <v>2</v>
      </c>
      <c r="R135">
        <f>Tableau1[[#This Row],[Final]]-Tableau1[[#This Row],[Pool Pro]]</f>
        <v>4</v>
      </c>
      <c r="S135">
        <f>Tableau1[[#This Row],[Final]]-Tableau1[[#This Row],[ESPN]]</f>
        <v>4</v>
      </c>
      <c r="T135">
        <f>Tableau1[[#This Row],[Final]]-Tableau1[[#This Row],[CBS]]</f>
        <v>-1</v>
      </c>
      <c r="U135">
        <f>Tableau1[[#This Row],[Final]]-Tableau1[[#This Row],[Moyenne]]</f>
        <v>3.6666666666666643</v>
      </c>
    </row>
    <row r="136" spans="1:21" ht="15.75" thickBot="1" x14ac:dyDescent="0.3">
      <c r="A136" s="1"/>
      <c r="B136" t="s">
        <v>188</v>
      </c>
      <c r="C136" t="s">
        <v>189</v>
      </c>
      <c r="D136" t="str">
        <f>Tableau1[[#This Row],[Prenom]]&amp;" "&amp;Tableau1[[#This Row],[Nom]]</f>
        <v>Ryan Getzlaf</v>
      </c>
      <c r="E136">
        <f>VLOOKUP(Tableau1[[#This Row],[Colonne2]],'BCP stats'!$C$6:$D$305,2,FALSE)</f>
        <v>31</v>
      </c>
      <c r="G136" s="12">
        <v>74</v>
      </c>
      <c r="H136">
        <v>71</v>
      </c>
      <c r="I136">
        <v>68</v>
      </c>
      <c r="J136">
        <v>74</v>
      </c>
      <c r="K136">
        <v>66</v>
      </c>
      <c r="L136">
        <v>75</v>
      </c>
      <c r="M136" s="9">
        <f>AVERAGE(Tableau1[[#This Row],[Lepool.com]:[CBS]])</f>
        <v>71.333333333333329</v>
      </c>
      <c r="N136" s="9">
        <f>VLOOKUP(Tableau1[[#This Row],[Colonne2]],Final!$B$3:$I$302,4,FALSE)</f>
        <v>74</v>
      </c>
      <c r="O136" s="9">
        <f>VLOOKUP(Tableau1[[#This Row],[Colonne2]],Final!$B$3:$I$302,7,FALSE)</f>
        <v>73</v>
      </c>
      <c r="P136">
        <f>Tableau1[[#This Row],[Final]]-Tableau1[[#This Row],[Lepool.com]]</f>
        <v>-1</v>
      </c>
      <c r="Q136">
        <f>Tableau1[[#This Row],[Final]]-Tableau1[[#This Row],[HM]]</f>
        <v>2</v>
      </c>
      <c r="R136">
        <f>Tableau1[[#This Row],[Final]]-Tableau1[[#This Row],[Pool Pro]]</f>
        <v>5</v>
      </c>
      <c r="S136">
        <f>Tableau1[[#This Row],[Final]]-Tableau1[[#This Row],[ESPN]]</f>
        <v>7</v>
      </c>
      <c r="T136">
        <f>Tableau1[[#This Row],[Final]]-Tableau1[[#This Row],[CBS]]</f>
        <v>-2</v>
      </c>
      <c r="U136">
        <f>Tableau1[[#This Row],[Final]]-Tableau1[[#This Row],[Moyenne]]</f>
        <v>1.6666666666666714</v>
      </c>
    </row>
    <row r="137" spans="1:21" x14ac:dyDescent="0.25">
      <c r="A137" s="1"/>
      <c r="B137" t="s">
        <v>222</v>
      </c>
      <c r="C137" t="s">
        <v>223</v>
      </c>
      <c r="D137" t="str">
        <f>Tableau1[[#This Row],[Prenom]]&amp;" "&amp;Tableau1[[#This Row],[Nom]]</f>
        <v>Brent Burns</v>
      </c>
      <c r="E137">
        <f>VLOOKUP(Tableau1[[#This Row],[Colonne2]],'BCP stats'!$C$6:$D$305,2,FALSE)</f>
        <v>31</v>
      </c>
      <c r="G137" s="12">
        <v>66</v>
      </c>
      <c r="H137">
        <v>69</v>
      </c>
      <c r="I137">
        <v>64</v>
      </c>
      <c r="J137">
        <v>64</v>
      </c>
      <c r="K137">
        <v>71</v>
      </c>
      <c r="L137">
        <v>77</v>
      </c>
      <c r="M137" s="9">
        <f>AVERAGE(Tableau1[[#This Row],[Lepool.com]:[CBS]])</f>
        <v>68.5</v>
      </c>
      <c r="N137" s="9">
        <f>VLOOKUP(Tableau1[[#This Row],[Colonne2]],Final!$B$3:$I$302,4,FALSE)</f>
        <v>82</v>
      </c>
      <c r="O137" s="9">
        <f>VLOOKUP(Tableau1[[#This Row],[Colonne2]],Final!$B$3:$I$302,7,FALSE)</f>
        <v>76</v>
      </c>
      <c r="P137">
        <f>Tableau1[[#This Row],[Final]]-Tableau1[[#This Row],[Lepool.com]]</f>
        <v>10</v>
      </c>
      <c r="Q137">
        <f>Tableau1[[#This Row],[Final]]-Tableau1[[#This Row],[HM]]</f>
        <v>7</v>
      </c>
      <c r="R137">
        <f>Tableau1[[#This Row],[Final]]-Tableau1[[#This Row],[Pool Pro]]</f>
        <v>12</v>
      </c>
      <c r="S137">
        <f>Tableau1[[#This Row],[Final]]-Tableau1[[#This Row],[ESPN]]</f>
        <v>5</v>
      </c>
      <c r="T137">
        <f>Tableau1[[#This Row],[Final]]-Tableau1[[#This Row],[CBS]]</f>
        <v>-1</v>
      </c>
      <c r="U137">
        <f>Tableau1[[#This Row],[Final]]-Tableau1[[#This Row],[Moyenne]]</f>
        <v>7.5</v>
      </c>
    </row>
    <row r="138" spans="1:21" ht="15.75" thickBot="1" x14ac:dyDescent="0.3">
      <c r="A138" s="2"/>
      <c r="B138" t="s">
        <v>353</v>
      </c>
      <c r="C138" t="s">
        <v>354</v>
      </c>
      <c r="D138" t="str">
        <f>Tableau1[[#This Row],[Prenom]]&amp;" "&amp;Tableau1[[#This Row],[Nom]]</f>
        <v>Zach Parise</v>
      </c>
      <c r="E138">
        <f>VLOOKUP(Tableau1[[#This Row],[Colonne2]],'BCP stats'!$C$6:$D$305,2,FALSE)</f>
        <v>32</v>
      </c>
      <c r="G138" s="11">
        <v>52</v>
      </c>
      <c r="H138">
        <v>60</v>
      </c>
      <c r="I138">
        <v>65</v>
      </c>
      <c r="J138">
        <v>65</v>
      </c>
      <c r="K138">
        <v>49</v>
      </c>
      <c r="L138">
        <v>62</v>
      </c>
      <c r="M138" s="9">
        <f>AVERAGE(Tableau1[[#This Row],[Lepool.com]:[CBS]])</f>
        <v>58.833333333333336</v>
      </c>
      <c r="N138" s="9">
        <f>VLOOKUP(Tableau1[[#This Row],[Colonne2]],Final!$B$3:$I$302,4,FALSE)</f>
        <v>69</v>
      </c>
      <c r="O138" s="9">
        <f>VLOOKUP(Tableau1[[#This Row],[Colonne2]],Final!$B$3:$I$302,7,FALSE)</f>
        <v>42</v>
      </c>
      <c r="P138">
        <f>Tableau1[[#This Row],[Final]]-Tableau1[[#This Row],[Lepool.com]]</f>
        <v>-10</v>
      </c>
      <c r="Q138">
        <f>Tableau1[[#This Row],[Final]]-Tableau1[[#This Row],[HM]]</f>
        <v>-18</v>
      </c>
      <c r="R138">
        <f>Tableau1[[#This Row],[Final]]-Tableau1[[#This Row],[Pool Pro]]</f>
        <v>-23</v>
      </c>
      <c r="S138">
        <f>Tableau1[[#This Row],[Final]]-Tableau1[[#This Row],[ESPN]]</f>
        <v>-7</v>
      </c>
      <c r="T138">
        <f>Tableau1[[#This Row],[Final]]-Tableau1[[#This Row],[CBS]]</f>
        <v>-20</v>
      </c>
      <c r="U138">
        <f>Tableau1[[#This Row],[Final]]-Tableau1[[#This Row],[Moyenne]]</f>
        <v>-16.833333333333336</v>
      </c>
    </row>
    <row r="139" spans="1:21" ht="15.75" thickBot="1" x14ac:dyDescent="0.3">
      <c r="A139" s="1"/>
      <c r="B139" t="s">
        <v>345</v>
      </c>
      <c r="C139" t="s">
        <v>346</v>
      </c>
      <c r="D139" t="str">
        <f>Tableau1[[#This Row],[Prenom]]&amp;" "&amp;Tableau1[[#This Row],[Nom]]</f>
        <v>Rick Nash</v>
      </c>
      <c r="E139">
        <f>VLOOKUP(Tableau1[[#This Row],[Colonne2]],'BCP stats'!$C$6:$D$305,2,FALSE)</f>
        <v>32</v>
      </c>
      <c r="G139" s="11">
        <v>53</v>
      </c>
      <c r="H139">
        <v>51</v>
      </c>
      <c r="I139">
        <v>48</v>
      </c>
      <c r="J139">
        <v>60</v>
      </c>
      <c r="K139">
        <v>49</v>
      </c>
      <c r="L139">
        <v>51</v>
      </c>
      <c r="M139" s="9">
        <f>AVERAGE(Tableau1[[#This Row],[Lepool.com]:[CBS]])</f>
        <v>52</v>
      </c>
      <c r="N139" s="9">
        <f>VLOOKUP(Tableau1[[#This Row],[Colonne2]],Final!$B$3:$I$302,4,FALSE)</f>
        <v>67</v>
      </c>
      <c r="O139" s="9">
        <f>VLOOKUP(Tableau1[[#This Row],[Colonne2]],Final!$B$3:$I$302,7,FALSE)</f>
        <v>38</v>
      </c>
      <c r="P139">
        <f>Tableau1[[#This Row],[Final]]-Tableau1[[#This Row],[Lepool.com]]</f>
        <v>-15</v>
      </c>
      <c r="Q139">
        <f>Tableau1[[#This Row],[Final]]-Tableau1[[#This Row],[HM]]</f>
        <v>-13</v>
      </c>
      <c r="R139">
        <f>Tableau1[[#This Row],[Final]]-Tableau1[[#This Row],[Pool Pro]]</f>
        <v>-10</v>
      </c>
      <c r="S139">
        <f>Tableau1[[#This Row],[Final]]-Tableau1[[#This Row],[ESPN]]</f>
        <v>-11</v>
      </c>
      <c r="T139">
        <f>Tableau1[[#This Row],[Final]]-Tableau1[[#This Row],[CBS]]</f>
        <v>-13</v>
      </c>
      <c r="U139">
        <f>Tableau1[[#This Row],[Final]]-Tableau1[[#This Row],[Moyenne]]</f>
        <v>-14</v>
      </c>
    </row>
    <row r="140" spans="1:21" x14ac:dyDescent="0.25">
      <c r="A140" s="1"/>
      <c r="B140" t="s">
        <v>168</v>
      </c>
      <c r="C140" t="s">
        <v>169</v>
      </c>
      <c r="D140" t="str">
        <f>Tableau1[[#This Row],[Prenom]]&amp;" "&amp;Tableau1[[#This Row],[Nom]]</f>
        <v>Joe Pavelski</v>
      </c>
      <c r="E140">
        <f>VLOOKUP(Tableau1[[#This Row],[Colonne2]],'BCP stats'!$C$6:$D$305,2,FALSE)</f>
        <v>32</v>
      </c>
      <c r="G140" s="12">
        <v>81</v>
      </c>
      <c r="H140">
        <v>79</v>
      </c>
      <c r="I140">
        <v>72</v>
      </c>
      <c r="J140">
        <v>75</v>
      </c>
      <c r="K140">
        <v>76</v>
      </c>
      <c r="L140">
        <v>78</v>
      </c>
      <c r="M140" s="9">
        <f>AVERAGE(Tableau1[[#This Row],[Lepool.com]:[CBS]])</f>
        <v>76.833333333333329</v>
      </c>
      <c r="N140" s="9">
        <f>VLOOKUP(Tableau1[[#This Row],[Colonne2]],Final!$B$3:$I$302,4,FALSE)</f>
        <v>81</v>
      </c>
      <c r="O140" s="9">
        <f>VLOOKUP(Tableau1[[#This Row],[Colonne2]],Final!$B$3:$I$302,7,FALSE)</f>
        <v>68</v>
      </c>
      <c r="P140">
        <f>Tableau1[[#This Row],[Final]]-Tableau1[[#This Row],[Lepool.com]]</f>
        <v>-13</v>
      </c>
      <c r="Q140">
        <f>Tableau1[[#This Row],[Final]]-Tableau1[[#This Row],[HM]]</f>
        <v>-11</v>
      </c>
      <c r="R140">
        <f>Tableau1[[#This Row],[Final]]-Tableau1[[#This Row],[Pool Pro]]</f>
        <v>-4</v>
      </c>
      <c r="S140">
        <f>Tableau1[[#This Row],[Final]]-Tableau1[[#This Row],[ESPN]]</f>
        <v>-8</v>
      </c>
      <c r="T140">
        <f>Tableau1[[#This Row],[Final]]-Tableau1[[#This Row],[CBS]]</f>
        <v>-10</v>
      </c>
      <c r="U140">
        <f>Tableau1[[#This Row],[Final]]-Tableau1[[#This Row],[Moyenne]]</f>
        <v>-8.8333333333333286</v>
      </c>
    </row>
    <row r="141" spans="1:21" ht="15.75" thickBot="1" x14ac:dyDescent="0.3">
      <c r="A141" s="2"/>
      <c r="B141" t="s">
        <v>231</v>
      </c>
      <c r="C141" t="s">
        <v>1348</v>
      </c>
      <c r="D141" t="str">
        <f>Tableau1[[#This Row],[Prenom]]&amp;" "&amp;Tableau1[[#This Row],[Nom]]</f>
        <v>David Backes</v>
      </c>
      <c r="E141">
        <f>VLOOKUP(Tableau1[[#This Row],[Colonne2]],'BCP stats'!$C$6:$D$305,2,FALSE)</f>
        <v>32</v>
      </c>
      <c r="G141" s="11"/>
      <c r="H141">
        <v>46</v>
      </c>
      <c r="I141">
        <v>36</v>
      </c>
      <c r="J141">
        <v>36</v>
      </c>
      <c r="K141">
        <v>52</v>
      </c>
      <c r="L141">
        <v>53</v>
      </c>
      <c r="M141" s="21">
        <f>AVERAGE(Tableau1[[#This Row],[Lepool.com]:[CBS]])</f>
        <v>44.6</v>
      </c>
      <c r="N141" s="21">
        <f>VLOOKUP(Tableau1[[#This Row],[Colonne2]],Final!$B$3:$I$302,4,FALSE)</f>
        <v>74</v>
      </c>
      <c r="O141" s="9">
        <f>VLOOKUP(Tableau1[[#This Row],[Colonne2]],Final!$B$3:$I$302,7,FALSE)</f>
        <v>38</v>
      </c>
      <c r="P141">
        <f>Tableau1[[#This Row],[Final]]-Tableau1[[#This Row],[Lepool.com]]</f>
        <v>38</v>
      </c>
      <c r="Q141">
        <f>Tableau1[[#This Row],[Final]]-Tableau1[[#This Row],[HM]]</f>
        <v>-8</v>
      </c>
      <c r="R141">
        <f>Tableau1[[#This Row],[Final]]-Tableau1[[#This Row],[Pool Pro]]</f>
        <v>2</v>
      </c>
      <c r="S141">
        <f>Tableau1[[#This Row],[Final]]-Tableau1[[#This Row],[ESPN]]</f>
        <v>-14</v>
      </c>
      <c r="T141">
        <f>Tableau1[[#This Row],[Final]]-Tableau1[[#This Row],[CBS]]</f>
        <v>-15</v>
      </c>
      <c r="U141">
        <f>Tableau1[[#This Row],[Final]]-Tableau1[[#This Row],[Moyenne]]</f>
        <v>-6.6000000000000014</v>
      </c>
    </row>
    <row r="142" spans="1:21" ht="15.75" thickBot="1" x14ac:dyDescent="0.3">
      <c r="A142" s="1"/>
      <c r="B142" t="s">
        <v>331</v>
      </c>
      <c r="C142" t="s">
        <v>332</v>
      </c>
      <c r="D142" t="str">
        <f>Tableau1[[#This Row],[Prenom]]&amp;" "&amp;Tableau1[[#This Row],[Nom]]</f>
        <v>Frans Nielsen</v>
      </c>
      <c r="E142">
        <f>VLOOKUP(Tableau1[[#This Row],[Colonne2]],'BCP stats'!$C$6:$D$305,2,FALSE)</f>
        <v>32</v>
      </c>
      <c r="G142" s="12">
        <v>54</v>
      </c>
      <c r="H142">
        <v>49</v>
      </c>
      <c r="I142">
        <v>55</v>
      </c>
      <c r="J142">
        <v>50</v>
      </c>
      <c r="K142">
        <v>45</v>
      </c>
      <c r="L142">
        <v>50</v>
      </c>
      <c r="M142" s="9">
        <f>AVERAGE(Tableau1[[#This Row],[Lepool.com]:[CBS]])</f>
        <v>50.5</v>
      </c>
      <c r="N142" s="9">
        <f>VLOOKUP(Tableau1[[#This Row],[Colonne2]],Final!$B$3:$I$302,4,FALSE)</f>
        <v>79</v>
      </c>
      <c r="O142" s="9">
        <f>VLOOKUP(Tableau1[[#This Row],[Colonne2]],Final!$B$3:$I$302,7,FALSE)</f>
        <v>41</v>
      </c>
      <c r="P142">
        <f>Tableau1[[#This Row],[Final]]-Tableau1[[#This Row],[Lepool.com]]</f>
        <v>-13</v>
      </c>
      <c r="Q142">
        <f>Tableau1[[#This Row],[Final]]-Tableau1[[#This Row],[HM]]</f>
        <v>-8</v>
      </c>
      <c r="R142">
        <f>Tableau1[[#This Row],[Final]]-Tableau1[[#This Row],[Pool Pro]]</f>
        <v>-14</v>
      </c>
      <c r="S142">
        <f>Tableau1[[#This Row],[Final]]-Tableau1[[#This Row],[ESPN]]</f>
        <v>-4</v>
      </c>
      <c r="T142">
        <f>Tableau1[[#This Row],[Final]]-Tableau1[[#This Row],[CBS]]</f>
        <v>-9</v>
      </c>
      <c r="U142">
        <f>Tableau1[[#This Row],[Final]]-Tableau1[[#This Row],[Moyenne]]</f>
        <v>-9.5</v>
      </c>
    </row>
    <row r="143" spans="1:21" x14ac:dyDescent="0.25">
      <c r="A143" s="1"/>
      <c r="B143" t="s">
        <v>174</v>
      </c>
      <c r="C143" t="s">
        <v>276</v>
      </c>
      <c r="D143" t="str">
        <f>Tableau1[[#This Row],[Prenom]]&amp;" "&amp;Tableau1[[#This Row],[Nom]]</f>
        <v>Alexander Steen</v>
      </c>
      <c r="E143">
        <f>VLOOKUP(Tableau1[[#This Row],[Colonne2]],'BCP stats'!$C$6:$D$305,2,FALSE)</f>
        <v>32</v>
      </c>
      <c r="G143" s="12">
        <v>59</v>
      </c>
      <c r="H143">
        <v>57</v>
      </c>
      <c r="I143">
        <v>58</v>
      </c>
      <c r="J143">
        <v>62</v>
      </c>
      <c r="K143">
        <v>55</v>
      </c>
      <c r="L143">
        <v>62</v>
      </c>
      <c r="M143" s="9">
        <f>AVERAGE(Tableau1[[#This Row],[Lepool.com]:[CBS]])</f>
        <v>58.833333333333336</v>
      </c>
      <c r="N143" s="9">
        <f>VLOOKUP(Tableau1[[#This Row],[Colonne2]],Final!$B$3:$I$302,4,FALSE)</f>
        <v>76</v>
      </c>
      <c r="O143" s="9">
        <f>VLOOKUP(Tableau1[[#This Row],[Colonne2]],Final!$B$3:$I$302,7,FALSE)</f>
        <v>51</v>
      </c>
      <c r="P143">
        <f>Tableau1[[#This Row],[Final]]-Tableau1[[#This Row],[Lepool.com]]</f>
        <v>-8</v>
      </c>
      <c r="Q143">
        <f>Tableau1[[#This Row],[Final]]-Tableau1[[#This Row],[HM]]</f>
        <v>-6</v>
      </c>
      <c r="R143">
        <f>Tableau1[[#This Row],[Final]]-Tableau1[[#This Row],[Pool Pro]]</f>
        <v>-7</v>
      </c>
      <c r="S143">
        <f>Tableau1[[#This Row],[Final]]-Tableau1[[#This Row],[ESPN]]</f>
        <v>-4</v>
      </c>
      <c r="T143">
        <f>Tableau1[[#This Row],[Final]]-Tableau1[[#This Row],[CBS]]</f>
        <v>-11</v>
      </c>
      <c r="U143">
        <f>Tableau1[[#This Row],[Final]]-Tableau1[[#This Row],[Moyenne]]</f>
        <v>-7.8333333333333357</v>
      </c>
    </row>
    <row r="144" spans="1:21" ht="15.75" thickBot="1" x14ac:dyDescent="0.3">
      <c r="A144" s="2"/>
      <c r="B144" t="s">
        <v>376</v>
      </c>
      <c r="C144" t="s">
        <v>377</v>
      </c>
      <c r="D144" t="str">
        <f>Tableau1[[#This Row],[Prenom]]&amp;" "&amp;Tableau1[[#This Row],[Nom]]</f>
        <v>Thomas Vanek</v>
      </c>
      <c r="E144">
        <f>VLOOKUP(Tableau1[[#This Row],[Colonne2]],'BCP stats'!$C$6:$D$305,2,FALSE)</f>
        <v>32</v>
      </c>
      <c r="G144" s="11">
        <v>51</v>
      </c>
      <c r="H144">
        <v>41</v>
      </c>
      <c r="I144">
        <v>37</v>
      </c>
      <c r="J144">
        <v>41</v>
      </c>
      <c r="K144">
        <v>44</v>
      </c>
      <c r="L144">
        <v>44</v>
      </c>
      <c r="M144" s="9">
        <f>AVERAGE(Tableau1[[#This Row],[Lepool.com]:[CBS]])</f>
        <v>43</v>
      </c>
      <c r="N144" s="9">
        <f>VLOOKUP(Tableau1[[#This Row],[Colonne2]],Final!$B$3:$I$302,4,FALSE)</f>
        <v>68</v>
      </c>
      <c r="O144" s="9">
        <f>VLOOKUP(Tableau1[[#This Row],[Colonne2]],Final!$B$3:$I$302,7,FALSE)</f>
        <v>48</v>
      </c>
      <c r="P144">
        <f>Tableau1[[#This Row],[Final]]-Tableau1[[#This Row],[Lepool.com]]</f>
        <v>-3</v>
      </c>
      <c r="Q144">
        <f>Tableau1[[#This Row],[Final]]-Tableau1[[#This Row],[HM]]</f>
        <v>7</v>
      </c>
      <c r="R144">
        <f>Tableau1[[#This Row],[Final]]-Tableau1[[#This Row],[Pool Pro]]</f>
        <v>11</v>
      </c>
      <c r="S144">
        <f>Tableau1[[#This Row],[Final]]-Tableau1[[#This Row],[ESPN]]</f>
        <v>4</v>
      </c>
      <c r="T144">
        <f>Tableau1[[#This Row],[Final]]-Tableau1[[#This Row],[CBS]]</f>
        <v>4</v>
      </c>
      <c r="U144">
        <f>Tableau1[[#This Row],[Final]]-Tableau1[[#This Row],[Moyenne]]</f>
        <v>5</v>
      </c>
    </row>
    <row r="145" spans="1:21" ht="15.75" thickBot="1" x14ac:dyDescent="0.3">
      <c r="A145" s="1"/>
      <c r="B145" t="s">
        <v>188</v>
      </c>
      <c r="C145" t="s">
        <v>363</v>
      </c>
      <c r="D145" t="str">
        <f>Tableau1[[#This Row],[Prenom]]&amp;" "&amp;Tableau1[[#This Row],[Nom]]</f>
        <v>Ryan Kesler</v>
      </c>
      <c r="E145">
        <f>VLOOKUP(Tableau1[[#This Row],[Colonne2]],'BCP stats'!$C$6:$D$305,2,FALSE)</f>
        <v>32</v>
      </c>
      <c r="G145" s="11">
        <v>52</v>
      </c>
      <c r="H145">
        <v>50</v>
      </c>
      <c r="I145">
        <v>50</v>
      </c>
      <c r="J145">
        <v>50</v>
      </c>
      <c r="K145">
        <v>55</v>
      </c>
      <c r="L145">
        <v>62</v>
      </c>
      <c r="M145" s="9">
        <f>AVERAGE(Tableau1[[#This Row],[Lepool.com]:[CBS]])</f>
        <v>53.166666666666664</v>
      </c>
      <c r="N145" s="9">
        <f>VLOOKUP(Tableau1[[#This Row],[Colonne2]],Final!$B$3:$I$302,4,FALSE)</f>
        <v>82</v>
      </c>
      <c r="O145" s="9">
        <f>VLOOKUP(Tableau1[[#This Row],[Colonne2]],Final!$B$3:$I$302,7,FALSE)</f>
        <v>58</v>
      </c>
      <c r="P145">
        <f>Tableau1[[#This Row],[Final]]-Tableau1[[#This Row],[Lepool.com]]</f>
        <v>6</v>
      </c>
      <c r="Q145">
        <f>Tableau1[[#This Row],[Final]]-Tableau1[[#This Row],[HM]]</f>
        <v>8</v>
      </c>
      <c r="R145">
        <f>Tableau1[[#This Row],[Final]]-Tableau1[[#This Row],[Pool Pro]]</f>
        <v>8</v>
      </c>
      <c r="S145">
        <f>Tableau1[[#This Row],[Final]]-Tableau1[[#This Row],[ESPN]]</f>
        <v>3</v>
      </c>
      <c r="T145">
        <f>Tableau1[[#This Row],[Final]]-Tableau1[[#This Row],[CBS]]</f>
        <v>-4</v>
      </c>
      <c r="U145">
        <f>Tableau1[[#This Row],[Final]]-Tableau1[[#This Row],[Moyenne]]</f>
        <v>4.8333333333333357</v>
      </c>
    </row>
    <row r="146" spans="1:21" x14ac:dyDescent="0.25">
      <c r="A146" s="1"/>
      <c r="B146" t="s">
        <v>378</v>
      </c>
      <c r="C146" t="s">
        <v>373</v>
      </c>
      <c r="D146" t="str">
        <f>Tableau1[[#This Row],[Prenom]]&amp;" "&amp;Tableau1[[#This Row],[Nom]]</f>
        <v>Eric Staal</v>
      </c>
      <c r="E146">
        <f>VLOOKUP(Tableau1[[#This Row],[Colonne2]],'BCP stats'!$C$6:$D$305,2,FALSE)</f>
        <v>32</v>
      </c>
      <c r="G146" s="11">
        <v>51</v>
      </c>
      <c r="H146">
        <v>41</v>
      </c>
      <c r="I146">
        <v>44</v>
      </c>
      <c r="J146">
        <v>50</v>
      </c>
      <c r="K146">
        <v>52</v>
      </c>
      <c r="L146">
        <v>36</v>
      </c>
      <c r="M146" s="9">
        <f>AVERAGE(Tableau1[[#This Row],[Lepool.com]:[CBS]])</f>
        <v>45.666666666666664</v>
      </c>
      <c r="N146" s="9">
        <f>VLOOKUP(Tableau1[[#This Row],[Colonne2]],Final!$B$3:$I$302,4,FALSE)</f>
        <v>82</v>
      </c>
      <c r="O146" s="9">
        <f>VLOOKUP(Tableau1[[#This Row],[Colonne2]],Final!$B$3:$I$302,7,FALSE)</f>
        <v>65</v>
      </c>
      <c r="P146">
        <f>Tableau1[[#This Row],[Final]]-Tableau1[[#This Row],[Lepool.com]]</f>
        <v>14</v>
      </c>
      <c r="Q146">
        <f>Tableau1[[#This Row],[Final]]-Tableau1[[#This Row],[HM]]</f>
        <v>24</v>
      </c>
      <c r="R146">
        <f>Tableau1[[#This Row],[Final]]-Tableau1[[#This Row],[Pool Pro]]</f>
        <v>21</v>
      </c>
      <c r="S146">
        <f>Tableau1[[#This Row],[Final]]-Tableau1[[#This Row],[ESPN]]</f>
        <v>13</v>
      </c>
      <c r="T146">
        <f>Tableau1[[#This Row],[Final]]-Tableau1[[#This Row],[CBS]]</f>
        <v>29</v>
      </c>
      <c r="U146">
        <f>Tableau1[[#This Row],[Final]]-Tableau1[[#This Row],[Moyenne]]</f>
        <v>19.333333333333336</v>
      </c>
    </row>
    <row r="147" spans="1:21" ht="15.75" thickBot="1" x14ac:dyDescent="0.3">
      <c r="A147" s="2"/>
      <c r="B147" t="s">
        <v>323</v>
      </c>
      <c r="C147" t="s">
        <v>324</v>
      </c>
      <c r="D147" t="str">
        <f>Tableau1[[#This Row],[Prenom]]&amp;" "&amp;Tableau1[[#This Row],[Nom]]</f>
        <v>Jussi Jokinen</v>
      </c>
      <c r="E147">
        <f>VLOOKUP(Tableau1[[#This Row],[Colonne2]],'BCP stats'!$C$6:$D$305,2,FALSE)</f>
        <v>33</v>
      </c>
      <c r="G147" s="12">
        <v>54</v>
      </c>
      <c r="H147">
        <v>52</v>
      </c>
      <c r="I147">
        <v>56</v>
      </c>
      <c r="J147">
        <v>60</v>
      </c>
      <c r="K147">
        <v>50</v>
      </c>
      <c r="L147">
        <v>56</v>
      </c>
      <c r="M147" s="9">
        <f>AVERAGE(Tableau1[[#This Row],[Lepool.com]:[CBS]])</f>
        <v>54.666666666666664</v>
      </c>
      <c r="N147" s="9">
        <f>VLOOKUP(Tableau1[[#This Row],[Colonne2]],Final!$B$3:$I$302,4,FALSE)</f>
        <v>69</v>
      </c>
      <c r="O147" s="9">
        <f>VLOOKUP(Tableau1[[#This Row],[Colonne2]],Final!$B$3:$I$302,7,FALSE)</f>
        <v>28</v>
      </c>
      <c r="P147">
        <f>Tableau1[[#This Row],[Final]]-Tableau1[[#This Row],[Lepool.com]]</f>
        <v>-26</v>
      </c>
      <c r="Q147">
        <f>Tableau1[[#This Row],[Final]]-Tableau1[[#This Row],[HM]]</f>
        <v>-24</v>
      </c>
      <c r="R147">
        <f>Tableau1[[#This Row],[Final]]-Tableau1[[#This Row],[Pool Pro]]</f>
        <v>-28</v>
      </c>
      <c r="S147">
        <f>Tableau1[[#This Row],[Final]]-Tableau1[[#This Row],[ESPN]]</f>
        <v>-22</v>
      </c>
      <c r="T147">
        <f>Tableau1[[#This Row],[Final]]-Tableau1[[#This Row],[CBS]]</f>
        <v>-28</v>
      </c>
      <c r="U147">
        <f>Tableau1[[#This Row],[Final]]-Tableau1[[#This Row],[Moyenne]]</f>
        <v>-26.666666666666664</v>
      </c>
    </row>
    <row r="148" spans="1:21" ht="15.75" thickBot="1" x14ac:dyDescent="0.3">
      <c r="A148" s="1"/>
      <c r="B148" t="s">
        <v>196</v>
      </c>
      <c r="C148" t="s">
        <v>309</v>
      </c>
      <c r="D148" t="str">
        <f>Tableau1[[#This Row],[Prenom]]&amp;" "&amp;Tableau1[[#This Row],[Nom]]</f>
        <v>Mark Giordano</v>
      </c>
      <c r="E148">
        <f>VLOOKUP(Tableau1[[#This Row],[Colonne2]],'BCP stats'!$C$6:$D$305,2,FALSE)</f>
        <v>33</v>
      </c>
      <c r="G148" s="12">
        <v>56</v>
      </c>
      <c r="H148">
        <v>53</v>
      </c>
      <c r="I148">
        <v>54</v>
      </c>
      <c r="J148">
        <v>51</v>
      </c>
      <c r="K148">
        <v>52</v>
      </c>
      <c r="L148">
        <v>52</v>
      </c>
      <c r="M148" s="9">
        <f>AVERAGE(Tableau1[[#This Row],[Lepool.com]:[CBS]])</f>
        <v>53</v>
      </c>
      <c r="N148" s="9">
        <f>VLOOKUP(Tableau1[[#This Row],[Colonne2]],Final!$B$3:$I$302,4,FALSE)</f>
        <v>81</v>
      </c>
      <c r="O148" s="9">
        <f>VLOOKUP(Tableau1[[#This Row],[Colonne2]],Final!$B$3:$I$302,7,FALSE)</f>
        <v>39</v>
      </c>
      <c r="P148">
        <f>Tableau1[[#This Row],[Final]]-Tableau1[[#This Row],[Lepool.com]]</f>
        <v>-17</v>
      </c>
      <c r="Q148">
        <f>Tableau1[[#This Row],[Final]]-Tableau1[[#This Row],[HM]]</f>
        <v>-14</v>
      </c>
      <c r="R148">
        <f>Tableau1[[#This Row],[Final]]-Tableau1[[#This Row],[Pool Pro]]</f>
        <v>-15</v>
      </c>
      <c r="S148">
        <f>Tableau1[[#This Row],[Final]]-Tableau1[[#This Row],[ESPN]]</f>
        <v>-13</v>
      </c>
      <c r="T148">
        <f>Tableau1[[#This Row],[Final]]-Tableau1[[#This Row],[CBS]]</f>
        <v>-13</v>
      </c>
      <c r="U148">
        <f>Tableau1[[#This Row],[Final]]-Tableau1[[#This Row],[Moyenne]]</f>
        <v>-14</v>
      </c>
    </row>
    <row r="149" spans="1:21" x14ac:dyDescent="0.25">
      <c r="A149" s="1"/>
      <c r="B149" t="s">
        <v>243</v>
      </c>
      <c r="C149" t="s">
        <v>244</v>
      </c>
      <c r="D149" t="str">
        <f>Tableau1[[#This Row],[Prenom]]&amp;" "&amp;Tableau1[[#This Row],[Nom]]</f>
        <v>Jason Spezza</v>
      </c>
      <c r="E149">
        <f>VLOOKUP(Tableau1[[#This Row],[Colonne2]],'BCP stats'!$C$6:$D$305,2,FALSE)</f>
        <v>33</v>
      </c>
      <c r="G149" s="12">
        <v>63</v>
      </c>
      <c r="H149">
        <v>62</v>
      </c>
      <c r="I149">
        <v>64</v>
      </c>
      <c r="J149">
        <v>62</v>
      </c>
      <c r="K149">
        <v>62</v>
      </c>
      <c r="L149">
        <v>72</v>
      </c>
      <c r="M149" s="9">
        <f>AVERAGE(Tableau1[[#This Row],[Lepool.com]:[CBS]])</f>
        <v>64.166666666666671</v>
      </c>
      <c r="N149" s="9">
        <f>VLOOKUP(Tableau1[[#This Row],[Colonne2]],Final!$B$3:$I$302,4,FALSE)</f>
        <v>68</v>
      </c>
      <c r="O149" s="9">
        <f>VLOOKUP(Tableau1[[#This Row],[Colonne2]],Final!$B$3:$I$302,7,FALSE)</f>
        <v>50</v>
      </c>
      <c r="P149">
        <f>Tableau1[[#This Row],[Final]]-Tableau1[[#This Row],[Lepool.com]]</f>
        <v>-13</v>
      </c>
      <c r="Q149">
        <f>Tableau1[[#This Row],[Final]]-Tableau1[[#This Row],[HM]]</f>
        <v>-12</v>
      </c>
      <c r="R149">
        <f>Tableau1[[#This Row],[Final]]-Tableau1[[#This Row],[Pool Pro]]</f>
        <v>-14</v>
      </c>
      <c r="S149">
        <f>Tableau1[[#This Row],[Final]]-Tableau1[[#This Row],[ESPN]]</f>
        <v>-12</v>
      </c>
      <c r="T149">
        <f>Tableau1[[#This Row],[Final]]-Tableau1[[#This Row],[CBS]]</f>
        <v>-22</v>
      </c>
      <c r="U149">
        <f>Tableau1[[#This Row],[Final]]-Tableau1[[#This Row],[Moyenne]]</f>
        <v>-14.166666666666671</v>
      </c>
    </row>
    <row r="150" spans="1:21" ht="15.75" thickBot="1" x14ac:dyDescent="0.3">
      <c r="A150" s="2"/>
      <c r="B150" t="s">
        <v>401</v>
      </c>
      <c r="C150" t="s">
        <v>402</v>
      </c>
      <c r="D150" t="str">
        <f>Tableau1[[#This Row],[Prenom]]&amp;" "&amp;Tableau1[[#This Row],[Nom]]</f>
        <v>Duncan Keith</v>
      </c>
      <c r="E150">
        <f>VLOOKUP(Tableau1[[#This Row],[Colonne2]],'BCP stats'!$C$6:$D$305,2,FALSE)</f>
        <v>33</v>
      </c>
      <c r="G150" s="11">
        <v>49</v>
      </c>
      <c r="H150">
        <v>50</v>
      </c>
      <c r="I150">
        <v>51</v>
      </c>
      <c r="J150">
        <v>47</v>
      </c>
      <c r="K150">
        <v>49</v>
      </c>
      <c r="L150">
        <v>58</v>
      </c>
      <c r="M150" s="9">
        <f>AVERAGE(Tableau1[[#This Row],[Lepool.com]:[CBS]])</f>
        <v>50.666666666666664</v>
      </c>
      <c r="N150" s="9">
        <f>VLOOKUP(Tableau1[[#This Row],[Colonne2]],Final!$B$3:$I$302,4,FALSE)</f>
        <v>80</v>
      </c>
      <c r="O150" s="9">
        <f>VLOOKUP(Tableau1[[#This Row],[Colonne2]],Final!$B$3:$I$302,7,FALSE)</f>
        <v>53</v>
      </c>
      <c r="P150">
        <f>Tableau1[[#This Row],[Final]]-Tableau1[[#This Row],[Lepool.com]]</f>
        <v>4</v>
      </c>
      <c r="Q150">
        <f>Tableau1[[#This Row],[Final]]-Tableau1[[#This Row],[HM]]</f>
        <v>3</v>
      </c>
      <c r="R150">
        <f>Tableau1[[#This Row],[Final]]-Tableau1[[#This Row],[Pool Pro]]</f>
        <v>2</v>
      </c>
      <c r="S150">
        <f>Tableau1[[#This Row],[Final]]-Tableau1[[#This Row],[ESPN]]</f>
        <v>4</v>
      </c>
      <c r="T150">
        <f>Tableau1[[#This Row],[Final]]-Tableau1[[#This Row],[CBS]]</f>
        <v>-5</v>
      </c>
      <c r="U150">
        <f>Tableau1[[#This Row],[Final]]-Tableau1[[#This Row],[Moyenne]]</f>
        <v>2.3333333333333357</v>
      </c>
    </row>
    <row r="151" spans="1:21" ht="15.75" thickBot="1" x14ac:dyDescent="0.3">
      <c r="A151" s="1"/>
      <c r="B151" t="s">
        <v>360</v>
      </c>
      <c r="C151" t="s">
        <v>361</v>
      </c>
      <c r="D151" t="str">
        <f>Tableau1[[#This Row],[Prenom]]&amp;" "&amp;Tableau1[[#This Row],[Nom]]</f>
        <v>Mikko Koivu</v>
      </c>
      <c r="E151">
        <f>VLOOKUP(Tableau1[[#This Row],[Colonne2]],'BCP stats'!$C$6:$D$305,2,FALSE)</f>
        <v>33</v>
      </c>
      <c r="G151" s="11">
        <v>52</v>
      </c>
      <c r="H151">
        <v>54</v>
      </c>
      <c r="I151">
        <v>54</v>
      </c>
      <c r="J151">
        <v>51</v>
      </c>
      <c r="K151">
        <v>53</v>
      </c>
      <c r="L151">
        <v>55</v>
      </c>
      <c r="M151" s="9">
        <f>AVERAGE(Tableau1[[#This Row],[Lepool.com]:[CBS]])</f>
        <v>53.166666666666664</v>
      </c>
      <c r="N151" s="9">
        <f>VLOOKUP(Tableau1[[#This Row],[Colonne2]],Final!$B$3:$I$302,4,FALSE)</f>
        <v>80</v>
      </c>
      <c r="O151" s="9">
        <f>VLOOKUP(Tableau1[[#This Row],[Colonne2]],Final!$B$3:$I$302,7,FALSE)</f>
        <v>58</v>
      </c>
      <c r="P151">
        <f>Tableau1[[#This Row],[Final]]-Tableau1[[#This Row],[Lepool.com]]</f>
        <v>6</v>
      </c>
      <c r="Q151">
        <f>Tableau1[[#This Row],[Final]]-Tableau1[[#This Row],[HM]]</f>
        <v>4</v>
      </c>
      <c r="R151">
        <f>Tableau1[[#This Row],[Final]]-Tableau1[[#This Row],[Pool Pro]]</f>
        <v>4</v>
      </c>
      <c r="S151">
        <f>Tableau1[[#This Row],[Final]]-Tableau1[[#This Row],[ESPN]]</f>
        <v>5</v>
      </c>
      <c r="T151">
        <f>Tableau1[[#This Row],[Final]]-Tableau1[[#This Row],[CBS]]</f>
        <v>3</v>
      </c>
      <c r="U151">
        <f>Tableau1[[#This Row],[Final]]-Tableau1[[#This Row],[Moyenne]]</f>
        <v>4.8333333333333357</v>
      </c>
    </row>
    <row r="152" spans="1:21" x14ac:dyDescent="0.25">
      <c r="A152" s="1"/>
      <c r="B152" t="s">
        <v>1228</v>
      </c>
      <c r="C152" t="s">
        <v>1229</v>
      </c>
      <c r="D152" t="str">
        <f>Tableau1[[#This Row],[Prenom]]&amp;" "&amp;Tableau1[[#This Row],[Nom]]</f>
        <v>Antoine Vermette</v>
      </c>
      <c r="E152">
        <f>VLOOKUP(Tableau1[[#This Row],[Colonne2]],'BCP stats'!$C$6:$D$305,2,FALSE)</f>
        <v>34</v>
      </c>
      <c r="G152" s="11"/>
      <c r="H152">
        <v>43</v>
      </c>
      <c r="I152">
        <v>42</v>
      </c>
      <c r="J152">
        <v>41</v>
      </c>
      <c r="L152">
        <v>48</v>
      </c>
      <c r="M152" s="21">
        <f>AVERAGE(Tableau1[[#This Row],[Lepool.com]:[CBS]])</f>
        <v>43.5</v>
      </c>
      <c r="N152" s="21">
        <f>VLOOKUP(Tableau1[[#This Row],[Colonne2]],Final!$B$3:$I$302,4,FALSE)</f>
        <v>72</v>
      </c>
      <c r="O152" s="9">
        <f>VLOOKUP(Tableau1[[#This Row],[Colonne2]],Final!$B$3:$I$302,7,FALSE)</f>
        <v>28</v>
      </c>
      <c r="P152">
        <f>Tableau1[[#This Row],[Final]]-Tableau1[[#This Row],[Lepool.com]]</f>
        <v>28</v>
      </c>
      <c r="Q152">
        <f>Tableau1[[#This Row],[Final]]-Tableau1[[#This Row],[HM]]</f>
        <v>-15</v>
      </c>
      <c r="R152">
        <f>Tableau1[[#This Row],[Final]]-Tableau1[[#This Row],[Pool Pro]]</f>
        <v>-14</v>
      </c>
      <c r="S152">
        <f>Tableau1[[#This Row],[Final]]-Tableau1[[#This Row],[ESPN]]</f>
        <v>28</v>
      </c>
      <c r="T152">
        <f>Tableau1[[#This Row],[Final]]-Tableau1[[#This Row],[CBS]]</f>
        <v>-20</v>
      </c>
      <c r="U152">
        <f>Tableau1[[#This Row],[Final]]-Tableau1[[#This Row],[Moyenne]]</f>
        <v>-15.5</v>
      </c>
    </row>
    <row r="153" spans="1:21" ht="15.75" thickBot="1" x14ac:dyDescent="0.3">
      <c r="A153" s="2"/>
      <c r="B153" t="s">
        <v>392</v>
      </c>
      <c r="C153" t="s">
        <v>393</v>
      </c>
      <c r="D153" t="str">
        <f>Tableau1[[#This Row],[Prenom]]&amp;" "&amp;Tableau1[[#This Row],[Nom]]</f>
        <v>Scott Hartnell</v>
      </c>
      <c r="E153">
        <f>VLOOKUP(Tableau1[[#This Row],[Colonne2]],'BCP stats'!$C$6:$D$305,2,FALSE)</f>
        <v>34</v>
      </c>
      <c r="G153" s="11">
        <v>50</v>
      </c>
      <c r="H153">
        <v>40</v>
      </c>
      <c r="I153">
        <v>43</v>
      </c>
      <c r="J153">
        <v>45</v>
      </c>
      <c r="K153">
        <v>51</v>
      </c>
      <c r="L153">
        <v>50</v>
      </c>
      <c r="M153" s="9">
        <f>AVERAGE(Tableau1[[#This Row],[Lepool.com]:[CBS]])</f>
        <v>46.5</v>
      </c>
      <c r="N153" s="9">
        <f>VLOOKUP(Tableau1[[#This Row],[Colonne2]],Final!$B$3:$I$302,4,FALSE)</f>
        <v>78</v>
      </c>
      <c r="O153" s="9">
        <f>VLOOKUP(Tableau1[[#This Row],[Colonne2]],Final!$B$3:$I$302,7,FALSE)</f>
        <v>37</v>
      </c>
      <c r="P153">
        <f>Tableau1[[#This Row],[Final]]-Tableau1[[#This Row],[Lepool.com]]</f>
        <v>-13</v>
      </c>
      <c r="Q153">
        <f>Tableau1[[#This Row],[Final]]-Tableau1[[#This Row],[HM]]</f>
        <v>-3</v>
      </c>
      <c r="R153">
        <f>Tableau1[[#This Row],[Final]]-Tableau1[[#This Row],[Pool Pro]]</f>
        <v>-6</v>
      </c>
      <c r="S153">
        <f>Tableau1[[#This Row],[Final]]-Tableau1[[#This Row],[ESPN]]</f>
        <v>-14</v>
      </c>
      <c r="T153">
        <f>Tableau1[[#This Row],[Final]]-Tableau1[[#This Row],[CBS]]</f>
        <v>-13</v>
      </c>
      <c r="U153">
        <f>Tableau1[[#This Row],[Final]]-Tableau1[[#This Row],[Moyenne]]</f>
        <v>-9.5</v>
      </c>
    </row>
    <row r="154" spans="1:21" ht="15.75" thickBot="1" x14ac:dyDescent="0.3">
      <c r="A154" s="1"/>
      <c r="B154" t="s">
        <v>243</v>
      </c>
      <c r="C154" t="s">
        <v>444</v>
      </c>
      <c r="D154" t="str">
        <f>Tableau1[[#This Row],[Prenom]]&amp;" "&amp;Tableau1[[#This Row],[Nom]]</f>
        <v>Jason Pominville</v>
      </c>
      <c r="E154">
        <f>VLOOKUP(Tableau1[[#This Row],[Colonne2]],'BCP stats'!$C$6:$D$305,2,FALSE)</f>
        <v>34</v>
      </c>
      <c r="G154" s="11">
        <v>46</v>
      </c>
      <c r="H154">
        <v>45</v>
      </c>
      <c r="I154">
        <v>50</v>
      </c>
      <c r="J154">
        <v>42</v>
      </c>
      <c r="K154">
        <v>46</v>
      </c>
      <c r="L154">
        <v>42</v>
      </c>
      <c r="M154" s="9">
        <f>AVERAGE(Tableau1[[#This Row],[Lepool.com]:[CBS]])</f>
        <v>45.166666666666664</v>
      </c>
      <c r="N154" s="9">
        <f>VLOOKUP(Tableau1[[#This Row],[Colonne2]],Final!$B$3:$I$302,4,FALSE)</f>
        <v>78</v>
      </c>
      <c r="O154" s="9">
        <f>VLOOKUP(Tableau1[[#This Row],[Colonne2]],Final!$B$3:$I$302,7,FALSE)</f>
        <v>47</v>
      </c>
      <c r="P154">
        <f>Tableau1[[#This Row],[Final]]-Tableau1[[#This Row],[Lepool.com]]</f>
        <v>1</v>
      </c>
      <c r="Q154">
        <f>Tableau1[[#This Row],[Final]]-Tableau1[[#This Row],[HM]]</f>
        <v>2</v>
      </c>
      <c r="R154">
        <f>Tableau1[[#This Row],[Final]]-Tableau1[[#This Row],[Pool Pro]]</f>
        <v>-3</v>
      </c>
      <c r="S154">
        <f>Tableau1[[#This Row],[Final]]-Tableau1[[#This Row],[ESPN]]</f>
        <v>1</v>
      </c>
      <c r="T154">
        <f>Tableau1[[#This Row],[Final]]-Tableau1[[#This Row],[CBS]]</f>
        <v>5</v>
      </c>
      <c r="U154">
        <f>Tableau1[[#This Row],[Final]]-Tableau1[[#This Row],[Moyenne]]</f>
        <v>1.8333333333333357</v>
      </c>
    </row>
    <row r="155" spans="1:21" x14ac:dyDescent="0.25">
      <c r="A155" s="1"/>
      <c r="B155" t="s">
        <v>374</v>
      </c>
      <c r="C155" t="s">
        <v>385</v>
      </c>
      <c r="D155" t="str">
        <f>Tableau1[[#This Row],[Prenom]]&amp;" "&amp;Tableau1[[#This Row],[Nom]]</f>
        <v>Justin Williams</v>
      </c>
      <c r="E155">
        <f>VLOOKUP(Tableau1[[#This Row],[Colonne2]],'BCP stats'!$C$6:$D$305,2,FALSE)</f>
        <v>35</v>
      </c>
      <c r="G155" s="11">
        <v>50</v>
      </c>
      <c r="H155">
        <v>47</v>
      </c>
      <c r="I155">
        <v>47</v>
      </c>
      <c r="J155">
        <v>47</v>
      </c>
      <c r="K155">
        <v>48</v>
      </c>
      <c r="L155">
        <v>53</v>
      </c>
      <c r="M155" s="9">
        <f>AVERAGE(Tableau1[[#This Row],[Lepool.com]:[CBS]])</f>
        <v>48.666666666666664</v>
      </c>
      <c r="N155" s="9">
        <f>VLOOKUP(Tableau1[[#This Row],[Colonne2]],Final!$B$3:$I$302,4,FALSE)</f>
        <v>80</v>
      </c>
      <c r="O155" s="9">
        <f>VLOOKUP(Tableau1[[#This Row],[Colonne2]],Final!$B$3:$I$302,7,FALSE)</f>
        <v>48</v>
      </c>
      <c r="P155">
        <f>Tableau1[[#This Row],[Final]]-Tableau1[[#This Row],[Lepool.com]]</f>
        <v>-2</v>
      </c>
      <c r="Q155">
        <f>Tableau1[[#This Row],[Final]]-Tableau1[[#This Row],[HM]]</f>
        <v>1</v>
      </c>
      <c r="R155">
        <f>Tableau1[[#This Row],[Final]]-Tableau1[[#This Row],[Pool Pro]]</f>
        <v>1</v>
      </c>
      <c r="S155">
        <f>Tableau1[[#This Row],[Final]]-Tableau1[[#This Row],[ESPN]]</f>
        <v>0</v>
      </c>
      <c r="T155">
        <f>Tableau1[[#This Row],[Final]]-Tableau1[[#This Row],[CBS]]</f>
        <v>-5</v>
      </c>
      <c r="U155">
        <f>Tableau1[[#This Row],[Final]]-Tableau1[[#This Row],[Moyenne]]</f>
        <v>-0.6666666666666643</v>
      </c>
    </row>
    <row r="156" spans="1:21" ht="15.75" thickBot="1" x14ac:dyDescent="0.3">
      <c r="A156" s="2"/>
      <c r="B156" t="s">
        <v>290</v>
      </c>
      <c r="C156" t="s">
        <v>435</v>
      </c>
      <c r="D156" t="str">
        <f>Tableau1[[#This Row],[Prenom]]&amp;" "&amp;Tableau1[[#This Row],[Nom]]</f>
        <v>Mike Ribeiro</v>
      </c>
      <c r="E156">
        <f>VLOOKUP(Tableau1[[#This Row],[Colonne2]],'BCP stats'!$C$6:$D$305,2,FALSE)</f>
        <v>36</v>
      </c>
      <c r="G156" s="11">
        <v>47</v>
      </c>
      <c r="H156">
        <v>42</v>
      </c>
      <c r="I156">
        <v>48</v>
      </c>
      <c r="J156">
        <v>49</v>
      </c>
      <c r="K156">
        <v>48</v>
      </c>
      <c r="L156">
        <v>50</v>
      </c>
      <c r="M156" s="9">
        <f>AVERAGE(Tableau1[[#This Row],[Lepool.com]:[CBS]])</f>
        <v>47.333333333333336</v>
      </c>
      <c r="N156" s="9">
        <f>VLOOKUP(Tableau1[[#This Row],[Colonne2]],Final!$B$3:$I$302,4,FALSE)</f>
        <v>46</v>
      </c>
      <c r="O156" s="9">
        <f>VLOOKUP(Tableau1[[#This Row],[Colonne2]],Final!$B$3:$I$302,7,FALSE)</f>
        <v>25</v>
      </c>
      <c r="P156">
        <f>Tableau1[[#This Row],[Final]]-Tableau1[[#This Row],[Lepool.com]]</f>
        <v>-22</v>
      </c>
      <c r="Q156">
        <f>Tableau1[[#This Row],[Final]]-Tableau1[[#This Row],[HM]]</f>
        <v>-17</v>
      </c>
      <c r="R156">
        <f>Tableau1[[#This Row],[Final]]-Tableau1[[#This Row],[Pool Pro]]</f>
        <v>-23</v>
      </c>
      <c r="S156">
        <f>Tableau1[[#This Row],[Final]]-Tableau1[[#This Row],[ESPN]]</f>
        <v>-23</v>
      </c>
      <c r="T156">
        <f>Tableau1[[#This Row],[Final]]-Tableau1[[#This Row],[CBS]]</f>
        <v>-25</v>
      </c>
      <c r="U156">
        <f>Tableau1[[#This Row],[Final]]-Tableau1[[#This Row],[Moyenne]]</f>
        <v>-22.333333333333336</v>
      </c>
    </row>
    <row r="157" spans="1:21" ht="15.75" thickBot="1" x14ac:dyDescent="0.3">
      <c r="A157" s="1"/>
      <c r="B157" t="s">
        <v>264</v>
      </c>
      <c r="C157" t="s">
        <v>253</v>
      </c>
      <c r="D157" t="str">
        <f>Tableau1[[#This Row],[Prenom]]&amp;" "&amp;Tableau1[[#This Row],[Nom]]</f>
        <v>Daniel Sedin</v>
      </c>
      <c r="E157">
        <f>VLOOKUP(Tableau1[[#This Row],[Colonne2]],'BCP stats'!$C$6:$D$305,2,FALSE)</f>
        <v>36</v>
      </c>
      <c r="G157" s="12">
        <v>60</v>
      </c>
      <c r="H157">
        <v>57</v>
      </c>
      <c r="I157">
        <v>63</v>
      </c>
      <c r="J157">
        <v>59</v>
      </c>
      <c r="K157">
        <v>66</v>
      </c>
      <c r="L157">
        <v>68</v>
      </c>
      <c r="M157" s="9">
        <f>AVERAGE(Tableau1[[#This Row],[Lepool.com]:[CBS]])</f>
        <v>62.166666666666664</v>
      </c>
      <c r="N157" s="9">
        <f>VLOOKUP(Tableau1[[#This Row],[Colonne2]],Final!$B$3:$I$302,4,FALSE)</f>
        <v>82</v>
      </c>
      <c r="O157" s="9">
        <f>VLOOKUP(Tableau1[[#This Row],[Colonne2]],Final!$B$3:$I$302,7,FALSE)</f>
        <v>44</v>
      </c>
      <c r="P157">
        <f>Tableau1[[#This Row],[Final]]-Tableau1[[#This Row],[Lepool.com]]</f>
        <v>-16</v>
      </c>
      <c r="Q157">
        <f>Tableau1[[#This Row],[Final]]-Tableau1[[#This Row],[HM]]</f>
        <v>-13</v>
      </c>
      <c r="R157">
        <f>Tableau1[[#This Row],[Final]]-Tableau1[[#This Row],[Pool Pro]]</f>
        <v>-19</v>
      </c>
      <c r="S157">
        <f>Tableau1[[#This Row],[Final]]-Tableau1[[#This Row],[ESPN]]</f>
        <v>-22</v>
      </c>
      <c r="T157">
        <f>Tableau1[[#This Row],[Final]]-Tableau1[[#This Row],[CBS]]</f>
        <v>-24</v>
      </c>
      <c r="U157">
        <f>Tableau1[[#This Row],[Final]]-Tableau1[[#This Row],[Moyenne]]</f>
        <v>-18.166666666666664</v>
      </c>
    </row>
    <row r="158" spans="1:21" x14ac:dyDescent="0.25">
      <c r="A158" s="1"/>
      <c r="B158" t="s">
        <v>252</v>
      </c>
      <c r="C158" t="s">
        <v>253</v>
      </c>
      <c r="D158" t="str">
        <f>Tableau1[[#This Row],[Prenom]]&amp;" "&amp;Tableau1[[#This Row],[Nom]]</f>
        <v>Henrik Sedin</v>
      </c>
      <c r="E158">
        <f>VLOOKUP(Tableau1[[#This Row],[Colonne2]],'BCP stats'!$C$6:$D$305,2,FALSE)</f>
        <v>36</v>
      </c>
      <c r="G158" s="12">
        <v>62</v>
      </c>
      <c r="H158">
        <v>54</v>
      </c>
      <c r="I158">
        <v>61</v>
      </c>
      <c r="J158">
        <v>55</v>
      </c>
      <c r="K158">
        <v>55</v>
      </c>
      <c r="L158">
        <v>69</v>
      </c>
      <c r="M158" s="9">
        <f>AVERAGE(Tableau1[[#This Row],[Lepool.com]:[CBS]])</f>
        <v>59.333333333333336</v>
      </c>
      <c r="N158" s="9">
        <f>VLOOKUP(Tableau1[[#This Row],[Colonne2]],Final!$B$3:$I$302,4,FALSE)</f>
        <v>82</v>
      </c>
      <c r="O158" s="9">
        <f>VLOOKUP(Tableau1[[#This Row],[Colonne2]],Final!$B$3:$I$302,7,FALSE)</f>
        <v>51</v>
      </c>
      <c r="P158">
        <f>Tableau1[[#This Row],[Final]]-Tableau1[[#This Row],[Lepool.com]]</f>
        <v>-11</v>
      </c>
      <c r="Q158">
        <f>Tableau1[[#This Row],[Final]]-Tableau1[[#This Row],[HM]]</f>
        <v>-3</v>
      </c>
      <c r="R158">
        <f>Tableau1[[#This Row],[Final]]-Tableau1[[#This Row],[Pool Pro]]</f>
        <v>-10</v>
      </c>
      <c r="S158">
        <f>Tableau1[[#This Row],[Final]]-Tableau1[[#This Row],[ESPN]]</f>
        <v>-4</v>
      </c>
      <c r="T158">
        <f>Tableau1[[#This Row],[Final]]-Tableau1[[#This Row],[CBS]]</f>
        <v>-18</v>
      </c>
      <c r="U158">
        <f>Tableau1[[#This Row],[Final]]-Tableau1[[#This Row],[Moyenne]]</f>
        <v>-8.3333333333333357</v>
      </c>
    </row>
    <row r="159" spans="1:21" ht="15.75" thickBot="1" x14ac:dyDescent="0.3">
      <c r="A159" s="2"/>
      <c r="B159" t="s">
        <v>252</v>
      </c>
      <c r="C159" t="s">
        <v>364</v>
      </c>
      <c r="D159" t="str">
        <f>Tableau1[[#This Row],[Prenom]]&amp;" "&amp;Tableau1[[#This Row],[Nom]]</f>
        <v>Henrik Zetterberg</v>
      </c>
      <c r="E159">
        <f>VLOOKUP(Tableau1[[#This Row],[Colonne2]],'BCP stats'!$C$6:$D$305,2,FALSE)</f>
        <v>36</v>
      </c>
      <c r="G159" s="11">
        <v>52</v>
      </c>
      <c r="H159">
        <v>50</v>
      </c>
      <c r="I159">
        <v>56</v>
      </c>
      <c r="J159">
        <v>50</v>
      </c>
      <c r="K159">
        <v>55</v>
      </c>
      <c r="L159">
        <v>51</v>
      </c>
      <c r="M159" s="9">
        <f>AVERAGE(Tableau1[[#This Row],[Lepool.com]:[CBS]])</f>
        <v>52.333333333333336</v>
      </c>
      <c r="N159" s="9">
        <f>VLOOKUP(Tableau1[[#This Row],[Colonne2]],Final!$B$3:$I$302,4,FALSE)</f>
        <v>82</v>
      </c>
      <c r="O159" s="9">
        <f>VLOOKUP(Tableau1[[#This Row],[Colonne2]],Final!$B$3:$I$302,7,FALSE)</f>
        <v>68</v>
      </c>
      <c r="P159">
        <f>Tableau1[[#This Row],[Final]]-Tableau1[[#This Row],[Lepool.com]]</f>
        <v>16</v>
      </c>
      <c r="Q159">
        <f>Tableau1[[#This Row],[Final]]-Tableau1[[#This Row],[HM]]</f>
        <v>18</v>
      </c>
      <c r="R159">
        <f>Tableau1[[#This Row],[Final]]-Tableau1[[#This Row],[Pool Pro]]</f>
        <v>12</v>
      </c>
      <c r="S159">
        <f>Tableau1[[#This Row],[Final]]-Tableau1[[#This Row],[ESPN]]</f>
        <v>13</v>
      </c>
      <c r="T159">
        <f>Tableau1[[#This Row],[Final]]-Tableau1[[#This Row],[CBS]]</f>
        <v>17</v>
      </c>
      <c r="U159">
        <f>Tableau1[[#This Row],[Final]]-Tableau1[[#This Row],[Moyenne]]</f>
        <v>15.666666666666664</v>
      </c>
    </row>
    <row r="160" spans="1:21" ht="15.75" thickBot="1" x14ac:dyDescent="0.3">
      <c r="A160" s="1"/>
      <c r="B160" t="s">
        <v>168</v>
      </c>
      <c r="C160" t="s">
        <v>200</v>
      </c>
      <c r="D160" t="str">
        <f>Tableau1[[#This Row],[Prenom]]&amp;" "&amp;Tableau1[[#This Row],[Nom]]</f>
        <v>Joe Thornton</v>
      </c>
      <c r="E160">
        <f>VLOOKUP(Tableau1[[#This Row],[Colonne2]],'BCP stats'!$C$6:$D$305,2,FALSE)</f>
        <v>37</v>
      </c>
      <c r="G160" s="12">
        <v>71</v>
      </c>
      <c r="H160">
        <v>72</v>
      </c>
      <c r="I160">
        <v>70</v>
      </c>
      <c r="J160">
        <v>70</v>
      </c>
      <c r="K160">
        <v>76</v>
      </c>
      <c r="L160">
        <v>77</v>
      </c>
      <c r="M160" s="9">
        <f>AVERAGE(Tableau1[[#This Row],[Lepool.com]:[CBS]])</f>
        <v>72.666666666666671</v>
      </c>
      <c r="N160" s="9">
        <f>VLOOKUP(Tableau1[[#This Row],[Colonne2]],Final!$B$3:$I$302,4,FALSE)</f>
        <v>79</v>
      </c>
      <c r="O160" s="9">
        <f>VLOOKUP(Tableau1[[#This Row],[Colonne2]],Final!$B$3:$I$302,7,FALSE)</f>
        <v>50</v>
      </c>
      <c r="P160">
        <f>Tableau1[[#This Row],[Final]]-Tableau1[[#This Row],[Lepool.com]]</f>
        <v>-21</v>
      </c>
      <c r="Q160">
        <f>Tableau1[[#This Row],[Final]]-Tableau1[[#This Row],[HM]]</f>
        <v>-22</v>
      </c>
      <c r="R160">
        <f>Tableau1[[#This Row],[Final]]-Tableau1[[#This Row],[Pool Pro]]</f>
        <v>-20</v>
      </c>
      <c r="S160">
        <f>Tableau1[[#This Row],[Final]]-Tableau1[[#This Row],[ESPN]]</f>
        <v>-26</v>
      </c>
      <c r="T160">
        <f>Tableau1[[#This Row],[Final]]-Tableau1[[#This Row],[CBS]]</f>
        <v>-27</v>
      </c>
      <c r="U160">
        <f>Tableau1[[#This Row],[Final]]-Tableau1[[#This Row],[Moyenne]]</f>
        <v>-22.666666666666671</v>
      </c>
    </row>
    <row r="161" spans="1:21" x14ac:dyDescent="0.25">
      <c r="A161" s="1"/>
      <c r="B161" t="s">
        <v>1345</v>
      </c>
      <c r="C161" t="s">
        <v>1346</v>
      </c>
      <c r="D161" t="str">
        <f>Tableau1[[#This Row],[Prenom]]&amp;" "&amp;Tableau1[[#This Row],[Nom]]</f>
        <v>Marian Hossa</v>
      </c>
      <c r="E161">
        <f>VLOOKUP(Tableau1[[#This Row],[Colonne2]],'BCP stats'!$C$6:$D$305,2,FALSE)</f>
        <v>37</v>
      </c>
      <c r="G161" s="11"/>
      <c r="H161">
        <v>40</v>
      </c>
      <c r="I161">
        <v>52</v>
      </c>
      <c r="J161">
        <v>50</v>
      </c>
      <c r="K161">
        <v>44</v>
      </c>
      <c r="L161">
        <v>49</v>
      </c>
      <c r="M161" s="21">
        <f>AVERAGE(Tableau1[[#This Row],[Lepool.com]:[CBS]])</f>
        <v>47</v>
      </c>
      <c r="N161" s="21">
        <f>VLOOKUP(Tableau1[[#This Row],[Colonne2]],Final!$B$3:$I$302,4,FALSE)</f>
        <v>73</v>
      </c>
      <c r="O161" s="9">
        <f>VLOOKUP(Tableau1[[#This Row],[Colonne2]],Final!$B$3:$I$302,7,FALSE)</f>
        <v>45</v>
      </c>
      <c r="P161">
        <f>Tableau1[[#This Row],[Final]]-Tableau1[[#This Row],[Lepool.com]]</f>
        <v>45</v>
      </c>
      <c r="Q161">
        <f>Tableau1[[#This Row],[Final]]-Tableau1[[#This Row],[HM]]</f>
        <v>5</v>
      </c>
      <c r="R161">
        <f>Tableau1[[#This Row],[Final]]-Tableau1[[#This Row],[Pool Pro]]</f>
        <v>-7</v>
      </c>
      <c r="S161">
        <f>Tableau1[[#This Row],[Final]]-Tableau1[[#This Row],[ESPN]]</f>
        <v>1</v>
      </c>
      <c r="T161">
        <f>Tableau1[[#This Row],[Final]]-Tableau1[[#This Row],[CBS]]</f>
        <v>-4</v>
      </c>
      <c r="U161">
        <f>Tableau1[[#This Row],[Final]]-Tableau1[[#This Row],[Moyenne]]</f>
        <v>-2</v>
      </c>
    </row>
    <row r="162" spans="1:21" ht="15.75" thickBot="1" x14ac:dyDescent="0.3">
      <c r="A162" s="2"/>
      <c r="B162" t="s">
        <v>162</v>
      </c>
      <c r="C162" t="s">
        <v>394</v>
      </c>
      <c r="D162" t="str">
        <f>Tableau1[[#This Row],[Prenom]]&amp;" "&amp;Tableau1[[#This Row],[Nom]]</f>
        <v>Patrick Marleau</v>
      </c>
      <c r="E162">
        <f>VLOOKUP(Tableau1[[#This Row],[Colonne2]],'BCP stats'!$C$6:$D$305,2,FALSE)</f>
        <v>37</v>
      </c>
      <c r="G162" s="11">
        <v>50</v>
      </c>
      <c r="H162">
        <v>39</v>
      </c>
      <c r="I162">
        <v>45</v>
      </c>
      <c r="J162">
        <v>46</v>
      </c>
      <c r="K162">
        <v>52</v>
      </c>
      <c r="L162">
        <v>47</v>
      </c>
      <c r="M162" s="9">
        <f>AVERAGE(Tableau1[[#This Row],[Lepool.com]:[CBS]])</f>
        <v>46.5</v>
      </c>
      <c r="N162" s="9">
        <f>VLOOKUP(Tableau1[[#This Row],[Colonne2]],Final!$B$3:$I$302,4,FALSE)</f>
        <v>82</v>
      </c>
      <c r="O162" s="9">
        <f>VLOOKUP(Tableau1[[#This Row],[Colonne2]],Final!$B$3:$I$302,7,FALSE)</f>
        <v>46</v>
      </c>
      <c r="P162">
        <f>Tableau1[[#This Row],[Final]]-Tableau1[[#This Row],[Lepool.com]]</f>
        <v>-4</v>
      </c>
      <c r="Q162">
        <f>Tableau1[[#This Row],[Final]]-Tableau1[[#This Row],[HM]]</f>
        <v>7</v>
      </c>
      <c r="R162">
        <f>Tableau1[[#This Row],[Final]]-Tableau1[[#This Row],[Pool Pro]]</f>
        <v>1</v>
      </c>
      <c r="S162">
        <f>Tableau1[[#This Row],[Final]]-Tableau1[[#This Row],[ESPN]]</f>
        <v>-6</v>
      </c>
      <c r="T162">
        <f>Tableau1[[#This Row],[Final]]-Tableau1[[#This Row],[CBS]]</f>
        <v>-1</v>
      </c>
      <c r="U162">
        <f>Tableau1[[#This Row],[Final]]-Tableau1[[#This Row],[Moyenne]]</f>
        <v>-0.5</v>
      </c>
    </row>
    <row r="163" spans="1:21" ht="15.75" thickBot="1" x14ac:dyDescent="0.3">
      <c r="A163" s="1"/>
      <c r="B163" t="s">
        <v>449</v>
      </c>
      <c r="C163" t="s">
        <v>450</v>
      </c>
      <c r="D163" t="str">
        <f>Tableau1[[#This Row],[Prenom]]&amp;" "&amp;Tableau1[[#This Row],[Nom]]</f>
        <v>Jarome Iginla</v>
      </c>
      <c r="E163">
        <f>VLOOKUP(Tableau1[[#This Row],[Colonne2]],'BCP stats'!$C$6:$D$305,2,FALSE)</f>
        <v>39</v>
      </c>
      <c r="G163" s="11">
        <v>45</v>
      </c>
      <c r="H163">
        <v>39</v>
      </c>
      <c r="I163">
        <v>43</v>
      </c>
      <c r="J163">
        <v>40</v>
      </c>
      <c r="K163">
        <v>43</v>
      </c>
      <c r="L163">
        <v>47</v>
      </c>
      <c r="M163" s="9">
        <f>AVERAGE(Tableau1[[#This Row],[Lepool.com]:[CBS]])</f>
        <v>42.833333333333336</v>
      </c>
      <c r="N163" s="9">
        <f>VLOOKUP(Tableau1[[#This Row],[Colonne2]],Final!$B$3:$I$302,4,FALSE)</f>
        <v>80</v>
      </c>
      <c r="O163" s="9">
        <f>VLOOKUP(Tableau1[[#This Row],[Colonne2]],Final!$B$3:$I$302,7,FALSE)</f>
        <v>27</v>
      </c>
      <c r="P163">
        <f>Tableau1[[#This Row],[Final]]-Tableau1[[#This Row],[Lepool.com]]</f>
        <v>-18</v>
      </c>
      <c r="Q163">
        <f>Tableau1[[#This Row],[Final]]-Tableau1[[#This Row],[HM]]</f>
        <v>-12</v>
      </c>
      <c r="R163">
        <f>Tableau1[[#This Row],[Final]]-Tableau1[[#This Row],[Pool Pro]]</f>
        <v>-16</v>
      </c>
      <c r="S163">
        <f>Tableau1[[#This Row],[Final]]-Tableau1[[#This Row],[ESPN]]</f>
        <v>-16</v>
      </c>
      <c r="T163">
        <f>Tableau1[[#This Row],[Final]]-Tableau1[[#This Row],[CBS]]</f>
        <v>-20</v>
      </c>
      <c r="U163">
        <f>Tableau1[[#This Row],[Final]]-Tableau1[[#This Row],[Moyenne]]</f>
        <v>-15.833333333333336</v>
      </c>
    </row>
    <row r="164" spans="1:21" x14ac:dyDescent="0.25">
      <c r="A164" s="1"/>
      <c r="B164" t="s">
        <v>186</v>
      </c>
      <c r="C164" t="s">
        <v>187</v>
      </c>
      <c r="D164" t="str">
        <f>Tableau1[[#This Row],[Prenom]]&amp;" "&amp;Tableau1[[#This Row],[Nom]]</f>
        <v>Steven Stamkos</v>
      </c>
      <c r="E164" t="e">
        <f>VLOOKUP(Tableau1[[#This Row],[Colonne2]],'BCP stats'!$C$6:$D$305,2,FALSE)</f>
        <v>#N/A</v>
      </c>
      <c r="G164" s="12">
        <v>74</v>
      </c>
      <c r="H164">
        <v>71</v>
      </c>
      <c r="I164">
        <v>77</v>
      </c>
      <c r="J164">
        <v>72</v>
      </c>
      <c r="K164">
        <v>70</v>
      </c>
      <c r="L164">
        <v>78</v>
      </c>
      <c r="M164" s="9">
        <f>AVERAGE(Tableau1[[#This Row],[Lepool.com]:[CBS]])</f>
        <v>73.666666666666671</v>
      </c>
      <c r="N164" s="9" t="e">
        <f>VLOOKUP(Tableau1[[#This Row],[Colonne2]],Final!$B$3:$I$302,4,FALSE)</f>
        <v>#N/A</v>
      </c>
      <c r="O164" s="9">
        <v>20</v>
      </c>
      <c r="P164">
        <f>Tableau1[[#This Row],[Final]]-Tableau1[[#This Row],[Lepool.com]]</f>
        <v>-54</v>
      </c>
      <c r="Q164">
        <f>Tableau1[[#This Row],[Final]]-Tableau1[[#This Row],[HM]]</f>
        <v>-51</v>
      </c>
      <c r="R164">
        <f>Tableau1[[#This Row],[Final]]-Tableau1[[#This Row],[Pool Pro]]</f>
        <v>-57</v>
      </c>
      <c r="S164">
        <f>Tableau1[[#This Row],[Final]]-Tableau1[[#This Row],[ESPN]]</f>
        <v>-50</v>
      </c>
      <c r="T164">
        <f>Tableau1[[#This Row],[Final]]-Tableau1[[#This Row],[CBS]]</f>
        <v>-58</v>
      </c>
      <c r="U164">
        <f>Tableau1[[#This Row],[Final]]-Tableau1[[#This Row],[Moyenne]]</f>
        <v>-53.666666666666671</v>
      </c>
    </row>
    <row r="165" spans="1:21" ht="15.75" thickBot="1" x14ac:dyDescent="0.3">
      <c r="A165" s="2"/>
      <c r="B165" t="s">
        <v>162</v>
      </c>
      <c r="C165" t="s">
        <v>306</v>
      </c>
      <c r="D165" t="str">
        <f>Tableau1[[#This Row],[Prenom]]&amp;" "&amp;Tableau1[[#This Row],[Nom]]</f>
        <v>Patrick Sharp</v>
      </c>
      <c r="E165" t="e">
        <f>VLOOKUP(Tableau1[[#This Row],[Colonne2]],'BCP stats'!$C$6:$D$305,2,FALSE)</f>
        <v>#N/A</v>
      </c>
      <c r="G165" s="12">
        <v>56</v>
      </c>
      <c r="H165">
        <v>54</v>
      </c>
      <c r="I165">
        <v>48</v>
      </c>
      <c r="J165">
        <v>56</v>
      </c>
      <c r="K165">
        <v>55</v>
      </c>
      <c r="L165">
        <v>57</v>
      </c>
      <c r="M165" s="9">
        <f>AVERAGE(Tableau1[[#This Row],[Lepool.com]:[CBS]])</f>
        <v>54.333333333333336</v>
      </c>
      <c r="N165" s="9" t="e">
        <f>VLOOKUP(Tableau1[[#This Row],[Colonne2]],Final!$B$3:$I$302,4,FALSE)</f>
        <v>#N/A</v>
      </c>
      <c r="O165" s="9">
        <v>18</v>
      </c>
      <c r="P165">
        <f>Tableau1[[#This Row],[Final]]-Tableau1[[#This Row],[Lepool.com]]</f>
        <v>-38</v>
      </c>
      <c r="Q165">
        <f>Tableau1[[#This Row],[Final]]-Tableau1[[#This Row],[HM]]</f>
        <v>-36</v>
      </c>
      <c r="R165">
        <f>Tableau1[[#This Row],[Final]]-Tableau1[[#This Row],[Pool Pro]]</f>
        <v>-30</v>
      </c>
      <c r="S165">
        <f>Tableau1[[#This Row],[Final]]-Tableau1[[#This Row],[ESPN]]</f>
        <v>-37</v>
      </c>
      <c r="T165">
        <f>Tableau1[[#This Row],[Final]]-Tableau1[[#This Row],[CBS]]</f>
        <v>-39</v>
      </c>
      <c r="U165">
        <f>Tableau1[[#This Row],[Final]]-Tableau1[[#This Row],[Moyenne]]</f>
        <v>-36.333333333333336</v>
      </c>
    </row>
    <row r="166" spans="1:21" ht="15.75" thickBot="1" x14ac:dyDescent="0.3">
      <c r="A166" s="1"/>
      <c r="B166" t="s">
        <v>298</v>
      </c>
      <c r="C166" t="s">
        <v>299</v>
      </c>
      <c r="D166" t="str">
        <f>Tableau1[[#This Row],[Prenom]]&amp;" "&amp;Tableau1[[#This Row],[Nom]]</f>
        <v>Loui Eriksson</v>
      </c>
      <c r="E166" t="e">
        <f>VLOOKUP(Tableau1[[#This Row],[Colonne2]],'BCP stats'!$C$6:$D$305,2,FALSE)</f>
        <v>#N/A</v>
      </c>
      <c r="G166" s="12">
        <v>57</v>
      </c>
      <c r="H166">
        <v>53</v>
      </c>
      <c r="I166">
        <v>59</v>
      </c>
      <c r="J166">
        <v>52</v>
      </c>
      <c r="K166">
        <v>58</v>
      </c>
      <c r="L166">
        <v>56</v>
      </c>
      <c r="M166" s="9">
        <f>AVERAGE(Tableau1[[#This Row],[Lepool.com]:[CBS]])</f>
        <v>55.833333333333336</v>
      </c>
      <c r="N166" s="9" t="e">
        <f>VLOOKUP(Tableau1[[#This Row],[Colonne2]],Final!$B$3:$I$302,4,FALSE)</f>
        <v>#N/A</v>
      </c>
      <c r="O166" s="9">
        <v>24</v>
      </c>
      <c r="P166">
        <f>Tableau1[[#This Row],[Final]]-Tableau1[[#This Row],[Lepool.com]]</f>
        <v>-33</v>
      </c>
      <c r="Q166">
        <f>Tableau1[[#This Row],[Final]]-Tableau1[[#This Row],[HM]]</f>
        <v>-29</v>
      </c>
      <c r="R166">
        <f>Tableau1[[#This Row],[Final]]-Tableau1[[#This Row],[Pool Pro]]</f>
        <v>-35</v>
      </c>
      <c r="S166">
        <f>Tableau1[[#This Row],[Final]]-Tableau1[[#This Row],[ESPN]]</f>
        <v>-34</v>
      </c>
      <c r="T166">
        <f>Tableau1[[#This Row],[Final]]-Tableau1[[#This Row],[CBS]]</f>
        <v>-32</v>
      </c>
      <c r="U166">
        <f>Tableau1[[#This Row],[Final]]-Tableau1[[#This Row],[Moyenne]]</f>
        <v>-31.833333333333336</v>
      </c>
    </row>
    <row r="167" spans="1:21" x14ac:dyDescent="0.25">
      <c r="A167" s="1"/>
      <c r="B167" t="s">
        <v>358</v>
      </c>
      <c r="C167" t="s">
        <v>359</v>
      </c>
      <c r="D167" t="str">
        <f>Tableau1[[#This Row],[Prenom]]&amp;" "&amp;Tableau1[[#This Row],[Nom]]</f>
        <v>Mikkel Boedker</v>
      </c>
      <c r="E167" t="e">
        <f>VLOOKUP(Tableau1[[#This Row],[Colonne2]],'BCP stats'!$C$6:$D$305,2,FALSE)</f>
        <v>#N/A</v>
      </c>
      <c r="G167" s="11">
        <v>52</v>
      </c>
      <c r="H167">
        <v>54</v>
      </c>
      <c r="I167">
        <v>51</v>
      </c>
      <c r="J167">
        <v>50</v>
      </c>
      <c r="K167">
        <v>50</v>
      </c>
      <c r="L167">
        <v>58</v>
      </c>
      <c r="M167" s="9">
        <f>AVERAGE(Tableau1[[#This Row],[Lepool.com]:[CBS]])</f>
        <v>52.5</v>
      </c>
      <c r="N167" s="9">
        <f>VLOOKUP(Tableau1[[#This Row],[Colonne2]],Final!$B$3:$I$302,4,FALSE)</f>
        <v>81</v>
      </c>
      <c r="O167" s="9">
        <f>VLOOKUP(Tableau1[[#This Row],[Colonne2]],Final!$B$3:$I$302,7,FALSE)</f>
        <v>26</v>
      </c>
      <c r="P167">
        <f>Tableau1[[#This Row],[Final]]-Tableau1[[#This Row],[Lepool.com]]</f>
        <v>-26</v>
      </c>
      <c r="Q167">
        <f>Tableau1[[#This Row],[Final]]-Tableau1[[#This Row],[HM]]</f>
        <v>-28</v>
      </c>
      <c r="R167">
        <f>Tableau1[[#This Row],[Final]]-Tableau1[[#This Row],[Pool Pro]]</f>
        <v>-25</v>
      </c>
      <c r="S167">
        <f>Tableau1[[#This Row],[Final]]-Tableau1[[#This Row],[ESPN]]</f>
        <v>-24</v>
      </c>
      <c r="T167">
        <f>Tableau1[[#This Row],[Final]]-Tableau1[[#This Row],[CBS]]</f>
        <v>-32</v>
      </c>
      <c r="U167">
        <f>Tableau1[[#This Row],[Final]]-Tableau1[[#This Row],[Moyenne]]</f>
        <v>-26.5</v>
      </c>
    </row>
    <row r="168" spans="1:21" ht="15.75" thickBot="1" x14ac:dyDescent="0.3">
      <c r="A168" s="2"/>
      <c r="B168" t="s">
        <v>365</v>
      </c>
      <c r="C168" t="s">
        <v>366</v>
      </c>
      <c r="D168" t="str">
        <f>Tableau1[[#This Row],[Prenom]]&amp;" "&amp;Tableau1[[#This Row],[Nom]]</f>
        <v>Tomas Plekanec</v>
      </c>
      <c r="E168" t="e">
        <f>VLOOKUP(Tableau1[[#This Row],[Colonne2]],'BCP stats'!$C$6:$D$305,2,FALSE)</f>
        <v>#N/A</v>
      </c>
      <c r="G168" s="11">
        <v>52</v>
      </c>
      <c r="H168">
        <v>50</v>
      </c>
      <c r="I168">
        <v>58</v>
      </c>
      <c r="J168">
        <v>51</v>
      </c>
      <c r="K168">
        <v>54</v>
      </c>
      <c r="L168">
        <v>55</v>
      </c>
      <c r="M168" s="9">
        <f>AVERAGE(Tableau1[[#This Row],[Lepool.com]:[CBS]])</f>
        <v>53.333333333333336</v>
      </c>
      <c r="N168" s="9">
        <f>VLOOKUP(Tableau1[[#This Row],[Colonne2]],Final!$B$3:$I$302,4,FALSE)</f>
        <v>78</v>
      </c>
      <c r="O168" s="9">
        <f>VLOOKUP(Tableau1[[#This Row],[Colonne2]],Final!$B$3:$I$302,7,FALSE)</f>
        <v>28</v>
      </c>
      <c r="P168">
        <f>Tableau1[[#This Row],[Final]]-Tableau1[[#This Row],[Lepool.com]]</f>
        <v>-24</v>
      </c>
      <c r="Q168">
        <f>Tableau1[[#This Row],[Final]]-Tableau1[[#This Row],[HM]]</f>
        <v>-22</v>
      </c>
      <c r="R168">
        <f>Tableau1[[#This Row],[Final]]-Tableau1[[#This Row],[Pool Pro]]</f>
        <v>-30</v>
      </c>
      <c r="S168">
        <f>Tableau1[[#This Row],[Final]]-Tableau1[[#This Row],[ESPN]]</f>
        <v>-26</v>
      </c>
      <c r="T168">
        <f>Tableau1[[#This Row],[Final]]-Tableau1[[#This Row],[CBS]]</f>
        <v>-27</v>
      </c>
      <c r="U168">
        <f>Tableau1[[#This Row],[Final]]-Tableau1[[#This Row],[Moyenne]]</f>
        <v>-25.333333333333336</v>
      </c>
    </row>
    <row r="169" spans="1:21" ht="15.75" thickBot="1" x14ac:dyDescent="0.3">
      <c r="A169" s="1"/>
      <c r="B169" t="s">
        <v>239</v>
      </c>
      <c r="C169" t="s">
        <v>240</v>
      </c>
      <c r="D169" t="str">
        <f>Tableau1[[#This Row],[Prenom]]&amp;" "&amp;Tableau1[[#This Row],[Nom]]</f>
        <v>P.K. Subban</v>
      </c>
      <c r="E169" t="e">
        <f>VLOOKUP(Tableau1[[#This Row],[Colonne2]],'BCP stats'!$C$6:$D$305,2,FALSE)</f>
        <v>#N/A</v>
      </c>
      <c r="G169" s="12">
        <v>64</v>
      </c>
      <c r="H169">
        <v>60</v>
      </c>
      <c r="I169">
        <v>58</v>
      </c>
      <c r="J169">
        <v>59</v>
      </c>
      <c r="K169">
        <v>53</v>
      </c>
      <c r="L169">
        <v>62</v>
      </c>
      <c r="M169" s="9">
        <f>AVERAGE(Tableau1[[#This Row],[Lepool.com]:[CBS]])</f>
        <v>59.333333333333336</v>
      </c>
      <c r="N169" s="9">
        <f>VLOOKUP(Tableau1[[#This Row],[Colonne2]],Final!$B$3:$I$302,4,FALSE)</f>
        <v>66</v>
      </c>
      <c r="O169" s="9">
        <f>VLOOKUP(Tableau1[[#This Row],[Colonne2]],Final!$B$3:$I$302,7,FALSE)</f>
        <v>40</v>
      </c>
      <c r="P169">
        <f>Tableau1[[#This Row],[Final]]-Tableau1[[#This Row],[Lepool.com]]</f>
        <v>-24</v>
      </c>
      <c r="Q169">
        <f>Tableau1[[#This Row],[Final]]-Tableau1[[#This Row],[HM]]</f>
        <v>-20</v>
      </c>
      <c r="R169">
        <f>Tableau1[[#This Row],[Final]]-Tableau1[[#This Row],[Pool Pro]]</f>
        <v>-18</v>
      </c>
      <c r="S169">
        <f>Tableau1[[#This Row],[Final]]-Tableau1[[#This Row],[ESPN]]</f>
        <v>-13</v>
      </c>
      <c r="T169">
        <f>Tableau1[[#This Row],[Final]]-Tableau1[[#This Row],[CBS]]</f>
        <v>-22</v>
      </c>
      <c r="U169">
        <f>Tableau1[[#This Row],[Final]]-Tableau1[[#This Row],[Moyenne]]</f>
        <v>-19.333333333333336</v>
      </c>
    </row>
    <row r="170" spans="1:21" x14ac:dyDescent="0.25">
      <c r="A170" s="1"/>
      <c r="B170" t="s">
        <v>457</v>
      </c>
      <c r="C170" t="s">
        <v>458</v>
      </c>
      <c r="D170" t="str">
        <f>Tableau1[[#This Row],[Prenom]]&amp;" "&amp;Tableau1[[#This Row],[Nom]]</f>
        <v>Michael Cammalleri</v>
      </c>
      <c r="E170" t="e">
        <f>VLOOKUP(Tableau1[[#This Row],[Colonne2]],'BCP stats'!$C$6:$D$305,2,FALSE)</f>
        <v>#N/A</v>
      </c>
      <c r="G170" s="11">
        <v>44</v>
      </c>
      <c r="H170">
        <v>51</v>
      </c>
      <c r="I170">
        <v>46</v>
      </c>
      <c r="J170">
        <v>40</v>
      </c>
      <c r="K170">
        <v>47</v>
      </c>
      <c r="L170">
        <v>77</v>
      </c>
      <c r="M170" s="9">
        <f>AVERAGE(Tableau1[[#This Row],[Lepool.com]:[CBS]])</f>
        <v>50.833333333333336</v>
      </c>
      <c r="N170" s="9">
        <f>VLOOKUP(Tableau1[[#This Row],[Colonne2]],Final!$B$3:$I$302,4,FALSE)</f>
        <v>61</v>
      </c>
      <c r="O170" s="9">
        <f>VLOOKUP(Tableau1[[#This Row],[Colonne2]],Final!$B$3:$I$302,7,FALSE)</f>
        <v>31</v>
      </c>
      <c r="P170">
        <f>Tableau1[[#This Row],[Final]]-Tableau1[[#This Row],[Lepool.com]]</f>
        <v>-13</v>
      </c>
      <c r="Q170">
        <f>Tableau1[[#This Row],[Final]]-Tableau1[[#This Row],[HM]]</f>
        <v>-20</v>
      </c>
      <c r="R170">
        <f>Tableau1[[#This Row],[Final]]-Tableau1[[#This Row],[Pool Pro]]</f>
        <v>-15</v>
      </c>
      <c r="S170">
        <f>Tableau1[[#This Row],[Final]]-Tableau1[[#This Row],[ESPN]]</f>
        <v>-16</v>
      </c>
      <c r="T170">
        <f>Tableau1[[#This Row],[Final]]-Tableau1[[#This Row],[CBS]]</f>
        <v>-46</v>
      </c>
      <c r="U170">
        <f>Tableau1[[#This Row],[Final]]-Tableau1[[#This Row],[Moyenne]]</f>
        <v>-19.833333333333336</v>
      </c>
    </row>
    <row r="171" spans="1:21" ht="15.75" thickBot="1" x14ac:dyDescent="0.3">
      <c r="A171" s="2"/>
      <c r="B171" t="s">
        <v>231</v>
      </c>
      <c r="C171" t="s">
        <v>232</v>
      </c>
      <c r="D171" t="str">
        <f>Tableau1[[#This Row],[Prenom]]&amp;" "&amp;Tableau1[[#This Row],[Nom]]</f>
        <v>David Krejci</v>
      </c>
      <c r="E171" t="e">
        <f>VLOOKUP(Tableau1[[#This Row],[Colonne2]],'BCP stats'!$C$6:$D$305,2,FALSE)</f>
        <v>#N/A</v>
      </c>
      <c r="G171" s="12">
        <v>64</v>
      </c>
      <c r="H171">
        <v>66</v>
      </c>
      <c r="I171">
        <v>66</v>
      </c>
      <c r="J171">
        <v>63</v>
      </c>
      <c r="K171">
        <v>55</v>
      </c>
      <c r="L171">
        <v>73</v>
      </c>
      <c r="M171" s="9">
        <f>AVERAGE(Tableau1[[#This Row],[Lepool.com]:[CBS]])</f>
        <v>64.5</v>
      </c>
      <c r="N171" s="9">
        <f>VLOOKUP(Tableau1[[#This Row],[Colonne2]],Final!$B$3:$I$302,4,FALSE)</f>
        <v>82</v>
      </c>
      <c r="O171" s="9">
        <f>VLOOKUP(Tableau1[[#This Row],[Colonne2]],Final!$B$3:$I$302,7,FALSE)</f>
        <v>54</v>
      </c>
      <c r="P171">
        <f>Tableau1[[#This Row],[Final]]-Tableau1[[#This Row],[Lepool.com]]</f>
        <v>-10</v>
      </c>
      <c r="Q171">
        <f>Tableau1[[#This Row],[Final]]-Tableau1[[#This Row],[HM]]</f>
        <v>-12</v>
      </c>
      <c r="R171">
        <f>Tableau1[[#This Row],[Final]]-Tableau1[[#This Row],[Pool Pro]]</f>
        <v>-12</v>
      </c>
      <c r="S171">
        <f>Tableau1[[#This Row],[Final]]-Tableau1[[#This Row],[ESPN]]</f>
        <v>-1</v>
      </c>
      <c r="T171">
        <f>Tableau1[[#This Row],[Final]]-Tableau1[[#This Row],[CBS]]</f>
        <v>-19</v>
      </c>
      <c r="U171">
        <f>Tableau1[[#This Row],[Final]]-Tableau1[[#This Row],[Moyenne]]</f>
        <v>-10.5</v>
      </c>
    </row>
    <row r="172" spans="1:21" ht="15.75" thickBot="1" x14ac:dyDescent="0.3">
      <c r="A172" s="1"/>
      <c r="B172" t="s">
        <v>321</v>
      </c>
      <c r="C172" t="s">
        <v>322</v>
      </c>
      <c r="D172" t="str">
        <f>Tableau1[[#This Row],[Prenom]]&amp;" "&amp;Tableau1[[#This Row],[Nom]]</f>
        <v>Jaromir Jagr</v>
      </c>
      <c r="E172" t="e">
        <f>VLOOKUP(Tableau1[[#This Row],[Colonne2]],'BCP stats'!$C$6:$D$305,2,FALSE)</f>
        <v>#N/A</v>
      </c>
      <c r="G172" s="12">
        <v>54</v>
      </c>
      <c r="H172">
        <v>57</v>
      </c>
      <c r="I172">
        <v>52</v>
      </c>
      <c r="J172">
        <v>50</v>
      </c>
      <c r="K172">
        <v>54</v>
      </c>
      <c r="L172">
        <v>60</v>
      </c>
      <c r="M172" s="9">
        <f>AVERAGE(Tableau1[[#This Row],[Lepool.com]:[CBS]])</f>
        <v>54.5</v>
      </c>
      <c r="N172" s="9">
        <f>VLOOKUP(Tableau1[[#This Row],[Colonne2]],Final!$B$3:$I$302,4,FALSE)</f>
        <v>82</v>
      </c>
      <c r="O172" s="9">
        <f>VLOOKUP(Tableau1[[#This Row],[Colonne2]],Final!$B$3:$I$302,7,FALSE)</f>
        <v>46</v>
      </c>
      <c r="P172">
        <f>Tableau1[[#This Row],[Final]]-Tableau1[[#This Row],[Lepool.com]]</f>
        <v>-8</v>
      </c>
      <c r="Q172">
        <f>Tableau1[[#This Row],[Final]]-Tableau1[[#This Row],[HM]]</f>
        <v>-11</v>
      </c>
      <c r="R172">
        <f>Tableau1[[#This Row],[Final]]-Tableau1[[#This Row],[Pool Pro]]</f>
        <v>-6</v>
      </c>
      <c r="S172">
        <f>Tableau1[[#This Row],[Final]]-Tableau1[[#This Row],[ESPN]]</f>
        <v>-8</v>
      </c>
      <c r="T172">
        <f>Tableau1[[#This Row],[Final]]-Tableau1[[#This Row],[CBS]]</f>
        <v>-14</v>
      </c>
      <c r="U172">
        <f>Tableau1[[#This Row],[Final]]-Tableau1[[#This Row],[Moyenne]]</f>
        <v>-8.5</v>
      </c>
    </row>
    <row r="173" spans="1:21" x14ac:dyDescent="0.25">
      <c r="A173" s="1"/>
      <c r="B173" t="s">
        <v>212</v>
      </c>
      <c r="C173" t="s">
        <v>213</v>
      </c>
      <c r="D173" t="str">
        <f>Tableau1[[#This Row],[Prenom]]&amp;" "&amp;Tableau1[[#This Row],[Nom]]</f>
        <v>Jakub Voracek</v>
      </c>
      <c r="E173" t="e">
        <f>VLOOKUP(Tableau1[[#This Row],[Colonne2]],'BCP stats'!$C$6:$D$305,2,FALSE)</f>
        <v>#N/A</v>
      </c>
      <c r="G173" s="12">
        <v>68</v>
      </c>
      <c r="H173">
        <v>68</v>
      </c>
      <c r="I173">
        <v>66</v>
      </c>
      <c r="J173">
        <v>64</v>
      </c>
      <c r="K173">
        <v>57</v>
      </c>
      <c r="L173">
        <v>66</v>
      </c>
      <c r="M173" s="9">
        <f>AVERAGE(Tableau1[[#This Row],[Lepool.com]:[CBS]])</f>
        <v>64.833333333333329</v>
      </c>
      <c r="N173" s="9">
        <f>VLOOKUP(Tableau1[[#This Row],[Colonne2]],Final!$B$3:$I$302,4,FALSE)</f>
        <v>82</v>
      </c>
      <c r="O173" s="9">
        <f>VLOOKUP(Tableau1[[#This Row],[Colonne2]],Final!$B$3:$I$302,7,FALSE)</f>
        <v>61</v>
      </c>
      <c r="P173">
        <f>Tableau1[[#This Row],[Final]]-Tableau1[[#This Row],[Lepool.com]]</f>
        <v>-7</v>
      </c>
      <c r="Q173">
        <f>Tableau1[[#This Row],[Final]]-Tableau1[[#This Row],[HM]]</f>
        <v>-7</v>
      </c>
      <c r="R173">
        <f>Tableau1[[#This Row],[Final]]-Tableau1[[#This Row],[Pool Pro]]</f>
        <v>-5</v>
      </c>
      <c r="S173">
        <f>Tableau1[[#This Row],[Final]]-Tableau1[[#This Row],[ESPN]]</f>
        <v>4</v>
      </c>
      <c r="T173">
        <f>Tableau1[[#This Row],[Final]]-Tableau1[[#This Row],[CBS]]</f>
        <v>-5</v>
      </c>
      <c r="U173">
        <f>Tableau1[[#This Row],[Final]]-Tableau1[[#This Row],[Moyenne]]</f>
        <v>-3.8333333333333286</v>
      </c>
    </row>
    <row r="174" spans="1:21" ht="15.75" thickBot="1" x14ac:dyDescent="0.3">
      <c r="A174" s="2"/>
      <c r="B174" t="s">
        <v>433</v>
      </c>
      <c r="C174" t="s">
        <v>434</v>
      </c>
      <c r="D174" t="str">
        <f>Tableau1[[#This Row],[Prenom]]&amp;" "&amp;Tableau1[[#This Row],[Nom]]</f>
        <v>Teuvo Teravainen</v>
      </c>
      <c r="E174" t="e">
        <f>VLOOKUP(Tableau1[[#This Row],[Colonne2]],'BCP stats'!$C$6:$D$305,2,FALSE)</f>
        <v>#N/A</v>
      </c>
      <c r="G174" s="11">
        <v>47</v>
      </c>
      <c r="H174">
        <v>48</v>
      </c>
      <c r="I174">
        <v>55</v>
      </c>
      <c r="J174">
        <v>49</v>
      </c>
      <c r="L174">
        <v>29</v>
      </c>
      <c r="M174" s="9">
        <f>AVERAGE(Tableau1[[#This Row],[Lepool.com]:[CBS]])</f>
        <v>45.6</v>
      </c>
      <c r="N174" s="9">
        <f>VLOOKUP(Tableau1[[#This Row],[Colonne2]],Final!$B$3:$I$302,4,FALSE)</f>
        <v>81</v>
      </c>
      <c r="O174" s="9">
        <f>VLOOKUP(Tableau1[[#This Row],[Colonne2]],Final!$B$3:$I$302,7,FALSE)</f>
        <v>42</v>
      </c>
      <c r="P174">
        <f>Tableau1[[#This Row],[Final]]-Tableau1[[#This Row],[Lepool.com]]</f>
        <v>-5</v>
      </c>
      <c r="Q174">
        <f>Tableau1[[#This Row],[Final]]-Tableau1[[#This Row],[HM]]</f>
        <v>-6</v>
      </c>
      <c r="R174">
        <f>Tableau1[[#This Row],[Final]]-Tableau1[[#This Row],[Pool Pro]]</f>
        <v>-13</v>
      </c>
      <c r="S174">
        <f>Tableau1[[#This Row],[Final]]-Tableau1[[#This Row],[ESPN]]</f>
        <v>42</v>
      </c>
      <c r="T174">
        <f>Tableau1[[#This Row],[Final]]-Tableau1[[#This Row],[CBS]]</f>
        <v>13</v>
      </c>
      <c r="U174">
        <f>Tableau1[[#This Row],[Final]]-Tableau1[[#This Row],[Moyenne]]</f>
        <v>-3.6000000000000014</v>
      </c>
    </row>
    <row r="175" spans="1:21" ht="15.75" thickBot="1" x14ac:dyDescent="0.3">
      <c r="A175" s="1"/>
      <c r="B175" t="s">
        <v>351</v>
      </c>
      <c r="C175" t="s">
        <v>352</v>
      </c>
      <c r="D175" t="str">
        <f>Tableau1[[#This Row],[Prenom]]&amp;" "&amp;Tableau1[[#This Row],[Nom]]</f>
        <v>Patric Hornqvist</v>
      </c>
      <c r="E175" t="e">
        <f>VLOOKUP(Tableau1[[#This Row],[Colonne2]],'BCP stats'!$C$6:$D$305,2,FALSE)</f>
        <v>#N/A</v>
      </c>
      <c r="G175" s="11">
        <v>53</v>
      </c>
      <c r="H175">
        <v>49</v>
      </c>
      <c r="I175">
        <v>52</v>
      </c>
      <c r="J175">
        <v>57</v>
      </c>
      <c r="K175">
        <v>55</v>
      </c>
      <c r="L175">
        <v>55</v>
      </c>
      <c r="M175" s="9">
        <f>AVERAGE(Tableau1[[#This Row],[Lepool.com]:[CBS]])</f>
        <v>53.5</v>
      </c>
      <c r="N175" s="9">
        <f>VLOOKUP(Tableau1[[#This Row],[Colonne2]],Final!$B$3:$I$302,4,FALSE)</f>
        <v>70</v>
      </c>
      <c r="O175" s="9">
        <f>VLOOKUP(Tableau1[[#This Row],[Colonne2]],Final!$B$3:$I$302,7,FALSE)</f>
        <v>44</v>
      </c>
      <c r="P175">
        <f>Tableau1[[#This Row],[Final]]-Tableau1[[#This Row],[Lepool.com]]</f>
        <v>-9</v>
      </c>
      <c r="Q175">
        <f>Tableau1[[#This Row],[Final]]-Tableau1[[#This Row],[HM]]</f>
        <v>-5</v>
      </c>
      <c r="R175">
        <f>Tableau1[[#This Row],[Final]]-Tableau1[[#This Row],[Pool Pro]]</f>
        <v>-8</v>
      </c>
      <c r="S175">
        <f>Tableau1[[#This Row],[Final]]-Tableau1[[#This Row],[ESPN]]</f>
        <v>-11</v>
      </c>
      <c r="T175">
        <f>Tableau1[[#This Row],[Final]]-Tableau1[[#This Row],[CBS]]</f>
        <v>-11</v>
      </c>
      <c r="U175">
        <f>Tableau1[[#This Row],[Final]]-Tableau1[[#This Row],[Moyenne]]</f>
        <v>-9.5</v>
      </c>
    </row>
    <row r="176" spans="1:21" x14ac:dyDescent="0.25">
      <c r="A176" s="1"/>
      <c r="B176" t="s">
        <v>381</v>
      </c>
      <c r="C176" t="s">
        <v>382</v>
      </c>
      <c r="D176" t="str">
        <f>Tableau1[[#This Row],[Prenom]]&amp;" "&amp;Tableau1[[#This Row],[Nom]]</f>
        <v>Jiri Hudler</v>
      </c>
      <c r="E176" t="e">
        <f>VLOOKUP(Tableau1[[#This Row],[Colonne2]],'BCP stats'!$C$6:$D$305,2,FALSE)</f>
        <v>#N/A</v>
      </c>
      <c r="G176" s="11">
        <v>51</v>
      </c>
      <c r="I176">
        <v>44</v>
      </c>
      <c r="J176">
        <v>53</v>
      </c>
      <c r="K176">
        <v>48</v>
      </c>
      <c r="L176">
        <v>54</v>
      </c>
      <c r="M176" s="9">
        <f>AVERAGE(Tableau1[[#This Row],[Lepool.com]:[CBS]])</f>
        <v>50</v>
      </c>
      <c r="N176" s="9" t="e">
        <f>VLOOKUP(Tableau1[[#This Row],[Colonne2]],Final!$B$3:$I$302,4,FALSE)</f>
        <v>#N/A</v>
      </c>
      <c r="P176">
        <f>Tableau1[[#This Row],[Final]]-Tableau1[[#This Row],[Lepool.com]]</f>
        <v>-51</v>
      </c>
      <c r="Q176">
        <f>Tableau1[[#This Row],[Final]]-Tableau1[[#This Row],[HM]]</f>
        <v>0</v>
      </c>
      <c r="R176">
        <f>Tableau1[[#This Row],[Final]]-Tableau1[[#This Row],[Pool Pro]]</f>
        <v>-44</v>
      </c>
      <c r="S176">
        <f>Tableau1[[#This Row],[Final]]-Tableau1[[#This Row],[ESPN]]</f>
        <v>-48</v>
      </c>
      <c r="T176">
        <f>Tableau1[[#This Row],[Final]]-Tableau1[[#This Row],[CBS]]</f>
        <v>-54</v>
      </c>
      <c r="U176">
        <f>Tableau1[[#This Row],[Final]]-Tableau1[[#This Row],[Moyenne]]</f>
        <v>-50</v>
      </c>
    </row>
    <row r="177" spans="1:21" x14ac:dyDescent="0.25">
      <c r="A177" s="2"/>
      <c r="B177" t="s">
        <v>182</v>
      </c>
      <c r="C177" t="s">
        <v>183</v>
      </c>
      <c r="D177" t="str">
        <f>Tableau1[[#This Row],[Prenom]]&amp;" "&amp;Tableau1[[#This Row],[Nom]]</f>
        <v>Nicklas Backstrom</v>
      </c>
      <c r="E177" t="e">
        <f>VLOOKUP(Tableau1[[#This Row],[Colonne2]],'BCP stats'!$C$6:$D$305,2,FALSE)</f>
        <v>#N/A</v>
      </c>
      <c r="G177" s="12">
        <v>76</v>
      </c>
      <c r="H177">
        <v>77</v>
      </c>
      <c r="I177">
        <v>75</v>
      </c>
      <c r="J177">
        <v>73</v>
      </c>
      <c r="K177">
        <v>76</v>
      </c>
      <c r="L177">
        <v>78</v>
      </c>
      <c r="M177" s="9">
        <f>AVERAGE(Tableau1[[#This Row],[Lepool.com]:[CBS]])</f>
        <v>75.833333333333329</v>
      </c>
      <c r="N177" s="9">
        <f>VLOOKUP(Tableau1[[#This Row],[Colonne2]],Final!$B$3:$I$302,4,FALSE)</f>
        <v>82</v>
      </c>
      <c r="O177" s="9">
        <f>VLOOKUP(Tableau1[[#This Row],[Colonne2]],Final!$B$3:$I$302,7,FALSE)</f>
        <v>86</v>
      </c>
      <c r="P177">
        <f>Tableau1[[#This Row],[Final]]-Tableau1[[#This Row],[Lepool.com]]</f>
        <v>10</v>
      </c>
      <c r="Q177">
        <f>Tableau1[[#This Row],[Final]]-Tableau1[[#This Row],[HM]]</f>
        <v>9</v>
      </c>
      <c r="R177">
        <f>Tableau1[[#This Row],[Final]]-Tableau1[[#This Row],[Pool Pro]]</f>
        <v>11</v>
      </c>
      <c r="S177">
        <f>Tableau1[[#This Row],[Final]]-Tableau1[[#This Row],[ESPN]]</f>
        <v>10</v>
      </c>
      <c r="T177">
        <f>Tableau1[[#This Row],[Final]]-Tableau1[[#This Row],[CBS]]</f>
        <v>8</v>
      </c>
      <c r="U177">
        <f>Tableau1[[#This Row],[Final]]-Tableau1[[#This Row],[Moyenne]]</f>
        <v>10.166666666666671</v>
      </c>
    </row>
  </sheetData>
  <mergeCells count="1">
    <mergeCell ref="P1:U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40" workbookViewId="0">
      <selection activeCell="U77" sqref="U77"/>
    </sheetView>
  </sheetViews>
  <sheetFormatPr baseColWidth="10" defaultRowHeight="15" x14ac:dyDescent="0.25"/>
  <sheetData>
    <row r="1" spans="1:7" x14ac:dyDescent="0.25">
      <c r="B1" s="9" t="s">
        <v>1934</v>
      </c>
      <c r="C1" s="9" t="s">
        <v>155</v>
      </c>
      <c r="D1" s="9" t="s">
        <v>156</v>
      </c>
      <c r="E1" s="9" t="s">
        <v>714</v>
      </c>
      <c r="F1" s="9" t="s">
        <v>1682</v>
      </c>
      <c r="G1" s="9" t="s">
        <v>713</v>
      </c>
    </row>
    <row r="2" spans="1:7" x14ac:dyDescent="0.25">
      <c r="A2" s="23">
        <v>0</v>
      </c>
      <c r="B2">
        <f>COUNTIF(Tableau1[Lepool.com2],"=0")</f>
        <v>6</v>
      </c>
      <c r="C2">
        <f>COUNTIF(Tableau1[HM2],"=0")</f>
        <v>5</v>
      </c>
      <c r="D2">
        <f>COUNTIF(Tableau1[Pool Pro2],"=0")</f>
        <v>6</v>
      </c>
      <c r="E2">
        <f>COUNTIF(Tableau1[ESPN2],"=0")</f>
        <v>5</v>
      </c>
      <c r="F2">
        <f>COUNTIF(Tableau1[CBS2],"=0")</f>
        <v>4</v>
      </c>
      <c r="G2">
        <f>COUNTIF(Tableau1[Moyenne2],"=0")</f>
        <v>0</v>
      </c>
    </row>
    <row r="3" spans="1:7" x14ac:dyDescent="0.25">
      <c r="A3" s="23">
        <v>2</v>
      </c>
      <c r="B3">
        <f>SUMPRODUCT((Tableau1[Lepool.com2]&gt;=-$A3)*(Tableau1[Lepool.com2]&lt;=$A3))</f>
        <v>21</v>
      </c>
      <c r="C3">
        <f>SUMPRODUCT((Tableau1[HM2]&gt;=-$A3)*(Tableau1[HM2]&lt;=$A3))</f>
        <v>24</v>
      </c>
      <c r="D3">
        <f>SUMPRODUCT((Tableau1[Pool Pro2]&gt;=-$A3)*(Tableau1[Pool Pro2]&lt;=$A3))</f>
        <v>19</v>
      </c>
      <c r="E3">
        <f>SUMPRODUCT((Tableau1[ESPN2]&gt;=-$A3)*(Tableau1[ESPN2]&lt;=$A3))</f>
        <v>25</v>
      </c>
      <c r="F3">
        <f>SUMPRODUCT((Tableau1[CBS2]&gt;=-$A3)*(Tableau1[CBS2]&lt;=$A3))</f>
        <v>18</v>
      </c>
      <c r="G3">
        <f>SUMPRODUCT((Tableau1[Moyenne2]&gt;=-$A3)*(Tableau1[Moyenne2]&lt;=$A3))</f>
        <v>26</v>
      </c>
    </row>
    <row r="4" spans="1:7" x14ac:dyDescent="0.25">
      <c r="A4" s="23">
        <v>5</v>
      </c>
      <c r="B4">
        <f>SUMPRODUCT((Tableau1[Lepool.com2]&gt;=-$A4)*(Tableau1[Lepool.com2]&lt;=$A4))</f>
        <v>43</v>
      </c>
      <c r="C4">
        <f>SUMPRODUCT((Tableau1[HM2]&gt;=-$A4)*(Tableau1[HM2]&lt;=$A4))</f>
        <v>46</v>
      </c>
      <c r="D4">
        <f>SUMPRODUCT((Tableau1[Pool Pro2]&gt;=-$A4)*(Tableau1[Pool Pro2]&lt;=$A4))</f>
        <v>46</v>
      </c>
      <c r="E4">
        <f>SUMPRODUCT((Tableau1[ESPN2]&gt;=-$A4)*(Tableau1[ESPN2]&lt;=$A4))</f>
        <v>62</v>
      </c>
      <c r="F4">
        <f>SUMPRODUCT((Tableau1[CBS2]&gt;=-$A4)*(Tableau1[CBS2]&lt;=$A4))</f>
        <v>40</v>
      </c>
      <c r="G4">
        <f>SUMPRODUCT((Tableau1[Moyenne2]&gt;=-$A4)*(Tableau1[Moyenne2]&lt;=$A4))</f>
        <v>50</v>
      </c>
    </row>
    <row r="5" spans="1:7" x14ac:dyDescent="0.25">
      <c r="A5" s="23">
        <v>10</v>
      </c>
      <c r="B5">
        <f>SUMPRODUCT((Tableau1[Lepool.com2]&gt;=-$A5)*(Tableau1[Lepool.com2]&lt;=$A5))</f>
        <v>83</v>
      </c>
      <c r="C5">
        <f>SUMPRODUCT((Tableau1[HM2]&gt;=-$A5)*(Tableau1[HM2]&lt;=$A5))</f>
        <v>88</v>
      </c>
      <c r="D5">
        <f>SUMPRODUCT((Tableau1[Pool Pro2]&gt;=-$A5)*(Tableau1[Pool Pro2]&lt;=$A5))</f>
        <v>84</v>
      </c>
      <c r="E5">
        <f>SUMPRODUCT((Tableau1[ESPN2]&gt;=-$A5)*(Tableau1[ESPN2]&lt;=$A5))</f>
        <v>95</v>
      </c>
      <c r="F5">
        <f>SUMPRODUCT((Tableau1[CBS2]&gt;=-$A5)*(Tableau1[CBS2]&lt;=$A5))</f>
        <v>79</v>
      </c>
      <c r="G5">
        <f>SUMPRODUCT((Tableau1[Moyenne2]&gt;=-$A5)*(Tableau1[Moyenne2]&lt;=$A5))</f>
        <v>91</v>
      </c>
    </row>
    <row r="6" spans="1:7" x14ac:dyDescent="0.25">
      <c r="A6" s="23">
        <v>15</v>
      </c>
      <c r="B6">
        <f>SUMPRODUCT((Tableau1[Lepool.com2]&gt;=-$A6)*(Tableau1[Lepool.com2]&lt;=$A6))</f>
        <v>116</v>
      </c>
      <c r="C6">
        <f>SUMPRODUCT((Tableau1[HM2]&gt;=-$A6)*(Tableau1[HM2]&lt;=$A6))</f>
        <v>127</v>
      </c>
      <c r="D6">
        <f>SUMPRODUCT((Tableau1[Pool Pro2]&gt;=-$A6)*(Tableau1[Pool Pro2]&lt;=$A6))</f>
        <v>125</v>
      </c>
      <c r="E6">
        <f>SUMPRODUCT((Tableau1[ESPN2]&gt;=-$A6)*(Tableau1[ESPN2]&lt;=$A6))</f>
        <v>121</v>
      </c>
      <c r="F6">
        <f>SUMPRODUCT((Tableau1[CBS2]&gt;=-$A6)*(Tableau1[CBS2]&lt;=$A6))</f>
        <v>115</v>
      </c>
      <c r="G6">
        <f>SUMPRODUCT((Tableau1[Moyenne2]&gt;=-$A6)*(Tableau1[Moyenne2]&lt;=$A6))</f>
        <v>122</v>
      </c>
    </row>
    <row r="7" spans="1:7" x14ac:dyDescent="0.25">
      <c r="A7" s="23">
        <v>20</v>
      </c>
      <c r="B7">
        <f>SUMPRODUCT((Tableau1[Lepool.com2]&gt;=-$A7)*(Tableau1[Lepool.com2]&lt;=$A7))</f>
        <v>134</v>
      </c>
      <c r="C7">
        <f>SUMPRODUCT((Tableau1[HM2]&gt;=-$A7)*(Tableau1[HM2]&lt;=$A7))</f>
        <v>152</v>
      </c>
      <c r="D7">
        <f>SUMPRODUCT((Tableau1[Pool Pro2]&gt;=-$A7)*(Tableau1[Pool Pro2]&lt;=$A7))</f>
        <v>144</v>
      </c>
      <c r="E7">
        <f>SUMPRODUCT((Tableau1[ESPN2]&gt;=-$A7)*(Tableau1[ESPN2]&lt;=$A7))</f>
        <v>134</v>
      </c>
      <c r="F7">
        <f>SUMPRODUCT((Tableau1[CBS2]&gt;=-$A7)*(Tableau1[CBS2]&lt;=$A7))</f>
        <v>142</v>
      </c>
      <c r="G7">
        <f>SUMPRODUCT((Tableau1[Moyenne2]&gt;=-$A7)*(Tableau1[Moyenne2]&lt;=$A7))</f>
        <v>147</v>
      </c>
    </row>
    <row r="8" spans="1:7" x14ac:dyDescent="0.25">
      <c r="A8" s="23">
        <v>25</v>
      </c>
      <c r="B8">
        <f>SUMPRODUCT((Tableau1[Lepool.com2]&gt;=-$A8)*(Tableau1[Lepool.com2]&lt;=$A8))</f>
        <v>149</v>
      </c>
      <c r="C8">
        <f>SUMPRODUCT((Tableau1[HM2]&gt;=-$A8)*(Tableau1[HM2]&lt;=$A8))</f>
        <v>167</v>
      </c>
      <c r="D8">
        <f>SUMPRODUCT((Tableau1[Pool Pro2]&gt;=-$A8)*(Tableau1[Pool Pro2]&lt;=$A8))</f>
        <v>160</v>
      </c>
      <c r="E8">
        <f>SUMPRODUCT((Tableau1[ESPN2]&gt;=-$A8)*(Tableau1[ESPN2]&lt;=$A8))</f>
        <v>148</v>
      </c>
      <c r="F8">
        <f>SUMPRODUCT((Tableau1[CBS2]&gt;=-$A8)*(Tableau1[CBS2]&lt;=$A8))</f>
        <v>155</v>
      </c>
      <c r="G8">
        <f>SUMPRODUCT((Tableau1[Moyenne2]&gt;=-$A8)*(Tableau1[Moyenne2]&lt;=$A8))</f>
        <v>163</v>
      </c>
    </row>
    <row r="9" spans="1:7" x14ac:dyDescent="0.25">
      <c r="A9" s="23">
        <v>30</v>
      </c>
      <c r="B9">
        <f>SUMPRODUCT((Tableau1[Lepool.com2]&gt;=-$A9)*(Tableau1[Lepool.com2]&lt;=$A9))</f>
        <v>157</v>
      </c>
      <c r="C9">
        <f>SUMPRODUCT((Tableau1[HM2]&gt;=-$A9)*(Tableau1[HM2]&lt;=$A9))</f>
        <v>170</v>
      </c>
      <c r="D9">
        <f>SUMPRODUCT((Tableau1[Pool Pro2]&gt;=-$A9)*(Tableau1[Pool Pro2]&lt;=$A9))</f>
        <v>165</v>
      </c>
      <c r="E9">
        <f>SUMPRODUCT((Tableau1[ESPN2]&gt;=-$A9)*(Tableau1[ESPN2]&lt;=$A9))</f>
        <v>155</v>
      </c>
      <c r="F9">
        <f>SUMPRODUCT((Tableau1[CBS2]&gt;=-$A9)*(Tableau1[CBS2]&lt;=$A9))</f>
        <v>165</v>
      </c>
      <c r="G9">
        <f>SUMPRODUCT((Tableau1[Moyenne2]&gt;=-$A9)*(Tableau1[Moyenne2]&lt;=$A9))</f>
        <v>169</v>
      </c>
    </row>
    <row r="10" spans="1:7" x14ac:dyDescent="0.25">
      <c r="A10" s="23">
        <v>35</v>
      </c>
      <c r="B10">
        <f>SUMPRODUCT((Tableau1[Lepool.com2]&gt;=-$A10)*(Tableau1[Lepool.com2]&lt;=$A10))</f>
        <v>160</v>
      </c>
      <c r="C10">
        <f>SUMPRODUCT((Tableau1[HM2]&gt;=-$A10)*(Tableau1[HM2]&lt;=$A10))</f>
        <v>172</v>
      </c>
      <c r="D10">
        <f>SUMPRODUCT((Tableau1[Pool Pro2]&gt;=-$A10)*(Tableau1[Pool Pro2]&lt;=$A10))</f>
        <v>167</v>
      </c>
      <c r="E10">
        <f>SUMPRODUCT((Tableau1[ESPN2]&gt;=-$A10)*(Tableau1[ESPN2]&lt;=$A10))</f>
        <v>159</v>
      </c>
      <c r="F10">
        <f>SUMPRODUCT((Tableau1[CBS2]&gt;=-$A10)*(Tableau1[CBS2]&lt;=$A10))</f>
        <v>170</v>
      </c>
      <c r="G10">
        <f>SUMPRODUCT((Tableau1[Moyenne2]&gt;=-$A10)*(Tableau1[Moyenne2]&lt;=$A10))</f>
        <v>171</v>
      </c>
    </row>
    <row r="11" spans="1:7" x14ac:dyDescent="0.25">
      <c r="A11" s="23">
        <v>40</v>
      </c>
      <c r="B11">
        <f>SUMPRODUCT((Tableau1[Lepool.com2]&gt;=-$A11)*(Tableau1[Lepool.com2]&lt;=$A11))</f>
        <v>164</v>
      </c>
      <c r="C11">
        <f>SUMPRODUCT((Tableau1[HM2]&gt;=-$A11)*(Tableau1[HM2]&lt;=$A11))</f>
        <v>174</v>
      </c>
      <c r="D11">
        <f>SUMPRODUCT((Tableau1[Pool Pro2]&gt;=-$A11)*(Tableau1[Pool Pro2]&lt;=$A11))</f>
        <v>169</v>
      </c>
      <c r="E11">
        <f>SUMPRODUCT((Tableau1[ESPN2]&gt;=-$A11)*(Tableau1[ESPN2]&lt;=$A11))</f>
        <v>162</v>
      </c>
      <c r="F11">
        <f>SUMPRODUCT((Tableau1[CBS2]&gt;=-$A11)*(Tableau1[CBS2]&lt;=$A11))</f>
        <v>172</v>
      </c>
      <c r="G11">
        <f>SUMPRODUCT((Tableau1[Moyenne2]&gt;=-$A11)*(Tableau1[Moyenne2]&lt;=$A11))</f>
        <v>173</v>
      </c>
    </row>
    <row r="12" spans="1:7" x14ac:dyDescent="0.25">
      <c r="A12" s="23">
        <v>45</v>
      </c>
      <c r="B12">
        <f>SUMPRODUCT((Tableau1[Lepool.com2]&gt;=-$A12)*(Tableau1[Lepool.com2]&lt;=$A12))</f>
        <v>168</v>
      </c>
      <c r="C12">
        <f>SUMPRODUCT((Tableau1[HM2]&gt;=-$A12)*(Tableau1[HM2]&lt;=$A12))</f>
        <v>174</v>
      </c>
      <c r="D12">
        <f>SUMPRODUCT((Tableau1[Pool Pro2]&gt;=-$A12)*(Tableau1[Pool Pro2]&lt;=$A12))</f>
        <v>171</v>
      </c>
      <c r="E12">
        <f>SUMPRODUCT((Tableau1[ESPN2]&gt;=-$A12)*(Tableau1[ESPN2]&lt;=$A12))</f>
        <v>167</v>
      </c>
      <c r="F12">
        <f>SUMPRODUCT((Tableau1[CBS2]&gt;=-$A12)*(Tableau1[CBS2]&lt;=$A12))</f>
        <v>172</v>
      </c>
      <c r="G12">
        <f>SUMPRODUCT((Tableau1[Moyenne2]&gt;=-$A12)*(Tableau1[Moyenne2]&lt;=$A12))</f>
        <v>173</v>
      </c>
    </row>
    <row r="13" spans="1:7" x14ac:dyDescent="0.25">
      <c r="A13" s="23">
        <v>50</v>
      </c>
      <c r="B13">
        <f>SUMPRODUCT((Tableau1[Lepool.com2]&gt;=-$A13)*(Tableau1[Lepool.com2]&lt;=$A13))</f>
        <v>169</v>
      </c>
      <c r="C13">
        <f>SUMPRODUCT((Tableau1[HM2]&gt;=-$A13)*(Tableau1[HM2]&lt;=$A13))</f>
        <v>174</v>
      </c>
      <c r="D13">
        <f>SUMPRODUCT((Tableau1[Pool Pro2]&gt;=-$A13)*(Tableau1[Pool Pro2]&lt;=$A13))</f>
        <v>171</v>
      </c>
      <c r="E13">
        <f>SUMPRODUCT((Tableau1[ESPN2]&gt;=-$A13)*(Tableau1[ESPN2]&lt;=$A13))</f>
        <v>169</v>
      </c>
      <c r="F13">
        <f>SUMPRODUCT((Tableau1[CBS2]&gt;=-$A13)*(Tableau1[CBS2]&lt;=$A13))</f>
        <v>173</v>
      </c>
      <c r="G13">
        <f>SUMPRODUCT((Tableau1[Moyenne2]&gt;=-$A13)*(Tableau1[Moyenne2]&lt;=$A13))</f>
        <v>174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4"/>
  <sheetViews>
    <sheetView tabSelected="1" workbookViewId="0">
      <selection activeCell="B367" sqref="B367"/>
    </sheetView>
  </sheetViews>
  <sheetFormatPr baseColWidth="10" defaultRowHeight="15" x14ac:dyDescent="0.25"/>
  <cols>
    <col min="2" max="2" width="21.42578125" bestFit="1" customWidth="1"/>
  </cols>
  <sheetData>
    <row r="1" spans="1:9" x14ac:dyDescent="0.25">
      <c r="A1" t="s">
        <v>1691</v>
      </c>
    </row>
    <row r="2" spans="1:9" x14ac:dyDescent="0.25">
      <c r="B2" t="s">
        <v>1692</v>
      </c>
      <c r="C2" t="s">
        <v>1693</v>
      </c>
      <c r="D2" t="s">
        <v>1694</v>
      </c>
      <c r="E2" t="s">
        <v>1695</v>
      </c>
      <c r="F2" t="s">
        <v>1696</v>
      </c>
      <c r="G2" t="s">
        <v>1697</v>
      </c>
      <c r="H2" t="s">
        <v>1698</v>
      </c>
      <c r="I2" t="s">
        <v>1699</v>
      </c>
    </row>
    <row r="3" spans="1:9" x14ac:dyDescent="0.25">
      <c r="A3">
        <v>1</v>
      </c>
      <c r="B3" t="s">
        <v>1</v>
      </c>
      <c r="C3" t="s">
        <v>1700</v>
      </c>
      <c r="D3" t="s">
        <v>1701</v>
      </c>
      <c r="E3">
        <v>82</v>
      </c>
      <c r="F3">
        <v>30</v>
      </c>
      <c r="G3">
        <v>70</v>
      </c>
      <c r="H3">
        <v>100</v>
      </c>
      <c r="I3" t="s">
        <v>1702</v>
      </c>
    </row>
    <row r="4" spans="1:9" x14ac:dyDescent="0.25">
      <c r="A4">
        <v>2</v>
      </c>
      <c r="B4" t="s">
        <v>3</v>
      </c>
      <c r="C4" t="s">
        <v>1703</v>
      </c>
      <c r="D4" t="s">
        <v>1701</v>
      </c>
      <c r="E4">
        <v>75</v>
      </c>
      <c r="F4">
        <v>44</v>
      </c>
      <c r="G4">
        <v>45</v>
      </c>
      <c r="H4">
        <v>89</v>
      </c>
      <c r="I4" t="s">
        <v>1704</v>
      </c>
    </row>
    <row r="5" spans="1:9" x14ac:dyDescent="0.25">
      <c r="A5">
        <v>3</v>
      </c>
      <c r="B5" t="s">
        <v>2</v>
      </c>
      <c r="C5" t="s">
        <v>1705</v>
      </c>
      <c r="D5" t="s">
        <v>1706</v>
      </c>
      <c r="E5">
        <v>82</v>
      </c>
      <c r="F5">
        <v>34</v>
      </c>
      <c r="G5">
        <v>55</v>
      </c>
      <c r="H5">
        <v>89</v>
      </c>
      <c r="I5" t="s">
        <v>1707</v>
      </c>
    </row>
    <row r="6" spans="1:9" x14ac:dyDescent="0.25">
      <c r="A6">
        <v>4</v>
      </c>
      <c r="B6" t="s">
        <v>11</v>
      </c>
      <c r="C6" t="s">
        <v>1708</v>
      </c>
      <c r="D6" t="s">
        <v>1701</v>
      </c>
      <c r="E6">
        <v>82</v>
      </c>
      <c r="F6">
        <v>23</v>
      </c>
      <c r="G6">
        <v>63</v>
      </c>
      <c r="H6">
        <v>86</v>
      </c>
      <c r="I6" t="s">
        <v>1709</v>
      </c>
    </row>
    <row r="7" spans="1:9" x14ac:dyDescent="0.25">
      <c r="A7">
        <v>5</v>
      </c>
      <c r="B7" t="s">
        <v>79</v>
      </c>
      <c r="C7" t="s">
        <v>1710</v>
      </c>
      <c r="D7" t="s">
        <v>1711</v>
      </c>
      <c r="E7">
        <v>80</v>
      </c>
      <c r="F7">
        <v>39</v>
      </c>
      <c r="G7">
        <v>46</v>
      </c>
      <c r="H7">
        <v>85</v>
      </c>
      <c r="I7" t="s">
        <v>1712</v>
      </c>
    </row>
    <row r="8" spans="1:9" x14ac:dyDescent="0.25">
      <c r="A8">
        <v>6</v>
      </c>
      <c r="B8" t="s">
        <v>24</v>
      </c>
      <c r="C8" t="s">
        <v>1713</v>
      </c>
      <c r="D8" t="s">
        <v>1706</v>
      </c>
      <c r="E8">
        <v>74</v>
      </c>
      <c r="F8">
        <v>40</v>
      </c>
      <c r="G8">
        <v>45</v>
      </c>
      <c r="H8">
        <v>85</v>
      </c>
      <c r="I8" t="s">
        <v>1714</v>
      </c>
    </row>
    <row r="9" spans="1:9" x14ac:dyDescent="0.25">
      <c r="A9">
        <v>7</v>
      </c>
      <c r="B9" t="s">
        <v>18</v>
      </c>
      <c r="C9" t="s">
        <v>1715</v>
      </c>
      <c r="D9" t="s">
        <v>1701</v>
      </c>
      <c r="E9">
        <v>79</v>
      </c>
      <c r="F9">
        <v>32</v>
      </c>
      <c r="G9">
        <v>50</v>
      </c>
      <c r="H9">
        <v>82</v>
      </c>
      <c r="I9" t="s">
        <v>1716</v>
      </c>
    </row>
    <row r="10" spans="1:9" x14ac:dyDescent="0.25">
      <c r="A10">
        <v>8</v>
      </c>
      <c r="B10" t="s">
        <v>101</v>
      </c>
      <c r="C10" t="s">
        <v>1700</v>
      </c>
      <c r="D10" t="s">
        <v>1701</v>
      </c>
      <c r="E10">
        <v>82</v>
      </c>
      <c r="F10">
        <v>29</v>
      </c>
      <c r="G10">
        <v>48</v>
      </c>
      <c r="H10">
        <v>77</v>
      </c>
      <c r="I10" t="s">
        <v>1717</v>
      </c>
    </row>
    <row r="11" spans="1:9" x14ac:dyDescent="0.25">
      <c r="A11">
        <v>9</v>
      </c>
      <c r="B11" t="s">
        <v>34</v>
      </c>
      <c r="C11" t="s">
        <v>1718</v>
      </c>
      <c r="D11" t="s">
        <v>1719</v>
      </c>
      <c r="E11">
        <v>82</v>
      </c>
      <c r="F11">
        <v>29</v>
      </c>
      <c r="G11">
        <v>47</v>
      </c>
      <c r="H11">
        <v>76</v>
      </c>
      <c r="I11" t="s">
        <v>1720</v>
      </c>
    </row>
    <row r="12" spans="1:9" x14ac:dyDescent="0.25">
      <c r="A12">
        <v>10</v>
      </c>
      <c r="B12" t="s">
        <v>9</v>
      </c>
      <c r="C12" t="s">
        <v>1721</v>
      </c>
      <c r="D12" t="s">
        <v>1706</v>
      </c>
      <c r="E12">
        <v>82</v>
      </c>
      <c r="F12">
        <v>39</v>
      </c>
      <c r="G12">
        <v>36</v>
      </c>
      <c r="H12">
        <v>75</v>
      </c>
      <c r="I12" t="s">
        <v>1722</v>
      </c>
    </row>
    <row r="13" spans="1:9" x14ac:dyDescent="0.25">
      <c r="A13">
        <v>11</v>
      </c>
      <c r="B13" t="s">
        <v>16</v>
      </c>
      <c r="C13" t="s">
        <v>1715</v>
      </c>
      <c r="D13" t="s">
        <v>1706</v>
      </c>
      <c r="E13">
        <v>82</v>
      </c>
      <c r="F13">
        <v>26</v>
      </c>
      <c r="G13">
        <v>48</v>
      </c>
      <c r="H13">
        <v>74</v>
      </c>
      <c r="I13" t="s">
        <v>1723</v>
      </c>
    </row>
    <row r="14" spans="1:9" x14ac:dyDescent="0.25">
      <c r="A14">
        <v>12</v>
      </c>
      <c r="B14" t="s">
        <v>19</v>
      </c>
      <c r="C14" t="s">
        <v>1705</v>
      </c>
      <c r="D14" t="s">
        <v>1711</v>
      </c>
      <c r="E14">
        <v>82</v>
      </c>
      <c r="F14">
        <v>31</v>
      </c>
      <c r="G14">
        <v>43</v>
      </c>
      <c r="H14">
        <v>74</v>
      </c>
      <c r="I14" t="s">
        <v>1723</v>
      </c>
    </row>
    <row r="15" spans="1:9" x14ac:dyDescent="0.25">
      <c r="A15">
        <v>13</v>
      </c>
      <c r="B15" t="s">
        <v>14</v>
      </c>
      <c r="C15" t="s">
        <v>1724</v>
      </c>
      <c r="D15" t="s">
        <v>1701</v>
      </c>
      <c r="E15">
        <v>74</v>
      </c>
      <c r="F15">
        <v>15</v>
      </c>
      <c r="G15">
        <v>58</v>
      </c>
      <c r="H15">
        <v>73</v>
      </c>
      <c r="I15" t="s">
        <v>1725</v>
      </c>
    </row>
    <row r="16" spans="1:9" x14ac:dyDescent="0.25">
      <c r="A16">
        <v>14</v>
      </c>
      <c r="B16" t="s">
        <v>91</v>
      </c>
      <c r="C16" t="s">
        <v>1713</v>
      </c>
      <c r="D16" t="s">
        <v>1719</v>
      </c>
      <c r="E16">
        <v>79</v>
      </c>
      <c r="F16">
        <v>16</v>
      </c>
      <c r="G16">
        <v>56</v>
      </c>
      <c r="H16">
        <v>72</v>
      </c>
      <c r="I16" t="s">
        <v>1722</v>
      </c>
    </row>
    <row r="17" spans="1:9" x14ac:dyDescent="0.25">
      <c r="A17">
        <v>15</v>
      </c>
      <c r="B17" t="s">
        <v>4</v>
      </c>
      <c r="C17" t="s">
        <v>1726</v>
      </c>
      <c r="D17" t="s">
        <v>1701</v>
      </c>
      <c r="E17">
        <v>82</v>
      </c>
      <c r="F17">
        <v>26</v>
      </c>
      <c r="G17">
        <v>46</v>
      </c>
      <c r="H17">
        <v>72</v>
      </c>
      <c r="I17" t="s">
        <v>1727</v>
      </c>
    </row>
    <row r="18" spans="1:9" x14ac:dyDescent="0.25">
      <c r="A18">
        <v>16</v>
      </c>
      <c r="B18" t="s">
        <v>23</v>
      </c>
      <c r="C18" t="s">
        <v>1703</v>
      </c>
      <c r="D18" t="s">
        <v>1701</v>
      </c>
      <c r="E18">
        <v>62</v>
      </c>
      <c r="F18">
        <v>33</v>
      </c>
      <c r="G18">
        <v>39</v>
      </c>
      <c r="H18">
        <v>72</v>
      </c>
      <c r="I18" t="s">
        <v>1728</v>
      </c>
    </row>
    <row r="19" spans="1:9" x14ac:dyDescent="0.25">
      <c r="A19">
        <v>17</v>
      </c>
      <c r="B19" t="s">
        <v>8</v>
      </c>
      <c r="C19" t="s">
        <v>1729</v>
      </c>
      <c r="D19" t="s">
        <v>1719</v>
      </c>
      <c r="E19">
        <v>77</v>
      </c>
      <c r="F19">
        <v>17</v>
      </c>
      <c r="G19">
        <v>54</v>
      </c>
      <c r="H19">
        <v>71</v>
      </c>
      <c r="I19" t="s">
        <v>1730</v>
      </c>
    </row>
    <row r="20" spans="1:9" x14ac:dyDescent="0.25">
      <c r="A20">
        <v>18</v>
      </c>
      <c r="B20" t="s">
        <v>46</v>
      </c>
      <c r="C20" t="s">
        <v>1703</v>
      </c>
      <c r="D20" t="s">
        <v>1706</v>
      </c>
      <c r="E20">
        <v>82</v>
      </c>
      <c r="F20">
        <v>23</v>
      </c>
      <c r="G20">
        <v>47</v>
      </c>
      <c r="H20">
        <v>70</v>
      </c>
      <c r="I20" t="s">
        <v>1731</v>
      </c>
    </row>
    <row r="21" spans="1:9" x14ac:dyDescent="0.25">
      <c r="A21">
        <v>19</v>
      </c>
      <c r="B21" t="s">
        <v>463</v>
      </c>
      <c r="C21" t="s">
        <v>1710</v>
      </c>
      <c r="D21" t="s">
        <v>1706</v>
      </c>
      <c r="E21">
        <v>75</v>
      </c>
      <c r="F21">
        <v>34</v>
      </c>
      <c r="G21">
        <v>36</v>
      </c>
      <c r="H21">
        <v>70</v>
      </c>
      <c r="I21" t="s">
        <v>1720</v>
      </c>
    </row>
    <row r="22" spans="1:9" x14ac:dyDescent="0.25">
      <c r="A22">
        <v>20</v>
      </c>
      <c r="B22" t="s">
        <v>30</v>
      </c>
      <c r="C22" t="s">
        <v>1732</v>
      </c>
      <c r="D22" t="s">
        <v>1701</v>
      </c>
      <c r="E22">
        <v>82</v>
      </c>
      <c r="F22">
        <v>40</v>
      </c>
      <c r="G22">
        <v>29</v>
      </c>
      <c r="H22">
        <v>69</v>
      </c>
      <c r="I22" t="s">
        <v>1733</v>
      </c>
    </row>
    <row r="23" spans="1:9" x14ac:dyDescent="0.25">
      <c r="A23">
        <v>21</v>
      </c>
      <c r="B23" t="s">
        <v>1925</v>
      </c>
      <c r="C23" t="s">
        <v>1708</v>
      </c>
      <c r="D23" t="s">
        <v>1711</v>
      </c>
      <c r="E23">
        <v>82</v>
      </c>
      <c r="F23">
        <v>33</v>
      </c>
      <c r="G23">
        <v>36</v>
      </c>
      <c r="H23">
        <v>69</v>
      </c>
      <c r="I23" t="s">
        <v>1733</v>
      </c>
    </row>
    <row r="24" spans="1:9" x14ac:dyDescent="0.25">
      <c r="A24">
        <v>22</v>
      </c>
      <c r="B24" t="s">
        <v>1734</v>
      </c>
      <c r="C24" t="s">
        <v>1735</v>
      </c>
      <c r="D24" t="s">
        <v>1701</v>
      </c>
      <c r="E24">
        <v>81</v>
      </c>
      <c r="F24">
        <v>26</v>
      </c>
      <c r="G24">
        <v>43</v>
      </c>
      <c r="H24">
        <v>69</v>
      </c>
      <c r="I24" t="s">
        <v>1731</v>
      </c>
    </row>
    <row r="25" spans="1:9" x14ac:dyDescent="0.25">
      <c r="A25">
        <v>23</v>
      </c>
      <c r="B25" t="s">
        <v>0</v>
      </c>
      <c r="C25" t="s">
        <v>1726</v>
      </c>
      <c r="D25" t="s">
        <v>1711</v>
      </c>
      <c r="E25">
        <v>77</v>
      </c>
      <c r="F25">
        <v>26</v>
      </c>
      <c r="G25">
        <v>43</v>
      </c>
      <c r="H25">
        <v>69</v>
      </c>
      <c r="I25" t="s">
        <v>1723</v>
      </c>
    </row>
    <row r="26" spans="1:9" x14ac:dyDescent="0.25">
      <c r="A26">
        <v>24</v>
      </c>
      <c r="B26" t="s">
        <v>111</v>
      </c>
      <c r="C26" t="s">
        <v>1736</v>
      </c>
      <c r="D26" t="s">
        <v>1711</v>
      </c>
      <c r="E26">
        <v>82</v>
      </c>
      <c r="F26">
        <v>17</v>
      </c>
      <c r="G26">
        <v>51</v>
      </c>
      <c r="H26">
        <v>68</v>
      </c>
      <c r="I26" t="s">
        <v>1737</v>
      </c>
    </row>
    <row r="27" spans="1:9" x14ac:dyDescent="0.25">
      <c r="A27">
        <v>25</v>
      </c>
      <c r="B27" t="s">
        <v>5</v>
      </c>
      <c r="C27" t="s">
        <v>1718</v>
      </c>
      <c r="D27" t="s">
        <v>1701</v>
      </c>
      <c r="E27">
        <v>81</v>
      </c>
      <c r="F27">
        <v>29</v>
      </c>
      <c r="G27">
        <v>39</v>
      </c>
      <c r="H27">
        <v>68</v>
      </c>
      <c r="I27" t="s">
        <v>1733</v>
      </c>
    </row>
    <row r="28" spans="1:9" x14ac:dyDescent="0.25">
      <c r="A28">
        <v>26</v>
      </c>
      <c r="B28" t="s">
        <v>29</v>
      </c>
      <c r="C28" t="s">
        <v>1738</v>
      </c>
      <c r="D28" t="s">
        <v>1711</v>
      </c>
      <c r="E28">
        <v>81</v>
      </c>
      <c r="F28">
        <v>35</v>
      </c>
      <c r="G28">
        <v>32</v>
      </c>
      <c r="H28">
        <v>67</v>
      </c>
      <c r="I28" t="s">
        <v>1737</v>
      </c>
    </row>
    <row r="29" spans="1:9" x14ac:dyDescent="0.25">
      <c r="A29">
        <v>27</v>
      </c>
      <c r="B29" t="s">
        <v>6</v>
      </c>
      <c r="C29" t="s">
        <v>1739</v>
      </c>
      <c r="D29" t="s">
        <v>1701</v>
      </c>
      <c r="E29">
        <v>77</v>
      </c>
      <c r="F29">
        <v>28</v>
      </c>
      <c r="G29">
        <v>38</v>
      </c>
      <c r="H29">
        <v>66</v>
      </c>
      <c r="I29" t="s">
        <v>1740</v>
      </c>
    </row>
    <row r="30" spans="1:9" x14ac:dyDescent="0.25">
      <c r="A30">
        <v>28</v>
      </c>
      <c r="B30" t="s">
        <v>66</v>
      </c>
      <c r="C30" t="s">
        <v>1741</v>
      </c>
      <c r="D30" t="s">
        <v>1701</v>
      </c>
      <c r="E30">
        <v>82</v>
      </c>
      <c r="F30">
        <v>32</v>
      </c>
      <c r="G30">
        <v>34</v>
      </c>
      <c r="H30">
        <v>66</v>
      </c>
      <c r="I30" t="s">
        <v>1742</v>
      </c>
    </row>
    <row r="31" spans="1:9" x14ac:dyDescent="0.25">
      <c r="A31">
        <v>29</v>
      </c>
      <c r="B31" t="s">
        <v>118</v>
      </c>
      <c r="C31" t="s">
        <v>1735</v>
      </c>
      <c r="D31" t="s">
        <v>1701</v>
      </c>
      <c r="E31">
        <v>82</v>
      </c>
      <c r="F31">
        <v>28</v>
      </c>
      <c r="G31">
        <v>37</v>
      </c>
      <c r="H31">
        <v>65</v>
      </c>
      <c r="I31" t="s">
        <v>1743</v>
      </c>
    </row>
    <row r="32" spans="1:9" x14ac:dyDescent="0.25">
      <c r="A32">
        <v>30</v>
      </c>
      <c r="B32" t="s">
        <v>55</v>
      </c>
      <c r="C32" t="s">
        <v>1715</v>
      </c>
      <c r="D32" t="s">
        <v>1706</v>
      </c>
      <c r="E32">
        <v>73</v>
      </c>
      <c r="F32">
        <v>36</v>
      </c>
      <c r="G32">
        <v>28</v>
      </c>
      <c r="H32">
        <v>64</v>
      </c>
      <c r="I32" t="s">
        <v>1727</v>
      </c>
    </row>
    <row r="33" spans="1:9" x14ac:dyDescent="0.25">
      <c r="A33">
        <v>31</v>
      </c>
      <c r="B33" t="s">
        <v>125</v>
      </c>
      <c r="C33" t="s">
        <v>1715</v>
      </c>
      <c r="D33" t="s">
        <v>1711</v>
      </c>
      <c r="E33">
        <v>82</v>
      </c>
      <c r="F33">
        <v>25</v>
      </c>
      <c r="G33">
        <v>39</v>
      </c>
      <c r="H33">
        <v>64</v>
      </c>
      <c r="I33" t="s">
        <v>1744</v>
      </c>
    </row>
    <row r="34" spans="1:9" x14ac:dyDescent="0.25">
      <c r="A34">
        <v>32</v>
      </c>
      <c r="B34" t="s">
        <v>77</v>
      </c>
      <c r="C34" t="s">
        <v>1745</v>
      </c>
      <c r="D34" t="s">
        <v>1711</v>
      </c>
      <c r="E34">
        <v>79</v>
      </c>
      <c r="F34">
        <v>37</v>
      </c>
      <c r="G34">
        <v>26</v>
      </c>
      <c r="H34">
        <v>63</v>
      </c>
      <c r="I34" t="s">
        <v>1742</v>
      </c>
    </row>
    <row r="35" spans="1:9" x14ac:dyDescent="0.25">
      <c r="A35">
        <v>33</v>
      </c>
      <c r="B35" t="s">
        <v>86</v>
      </c>
      <c r="C35" t="s">
        <v>1746</v>
      </c>
      <c r="D35" t="s">
        <v>1706</v>
      </c>
      <c r="E35">
        <v>82</v>
      </c>
      <c r="F35">
        <v>35</v>
      </c>
      <c r="G35">
        <v>27</v>
      </c>
      <c r="H35">
        <v>62</v>
      </c>
      <c r="I35" t="s">
        <v>1747</v>
      </c>
    </row>
    <row r="36" spans="1:9" x14ac:dyDescent="0.25">
      <c r="A36">
        <v>34</v>
      </c>
      <c r="B36" t="s">
        <v>51</v>
      </c>
      <c r="C36" t="s">
        <v>1732</v>
      </c>
      <c r="D36" t="s">
        <v>1711</v>
      </c>
      <c r="E36">
        <v>82</v>
      </c>
      <c r="F36">
        <v>29</v>
      </c>
      <c r="G36">
        <v>33</v>
      </c>
      <c r="H36">
        <v>62</v>
      </c>
      <c r="I36" t="s">
        <v>1747</v>
      </c>
    </row>
    <row r="37" spans="1:9" x14ac:dyDescent="0.25">
      <c r="A37">
        <v>35</v>
      </c>
      <c r="B37" t="s">
        <v>28</v>
      </c>
      <c r="C37" t="s">
        <v>1748</v>
      </c>
      <c r="D37" t="s">
        <v>1706</v>
      </c>
      <c r="E37">
        <v>82</v>
      </c>
      <c r="F37">
        <v>20</v>
      </c>
      <c r="G37">
        <v>41</v>
      </c>
      <c r="H37">
        <v>61</v>
      </c>
      <c r="I37" t="s">
        <v>1749</v>
      </c>
    </row>
    <row r="38" spans="1:9" x14ac:dyDescent="0.25">
      <c r="A38">
        <v>36</v>
      </c>
      <c r="B38" t="s">
        <v>132</v>
      </c>
      <c r="C38" t="s">
        <v>1732</v>
      </c>
      <c r="D38" t="s">
        <v>1701</v>
      </c>
      <c r="E38">
        <v>82</v>
      </c>
      <c r="F38">
        <v>32</v>
      </c>
      <c r="G38">
        <v>29</v>
      </c>
      <c r="H38">
        <v>61</v>
      </c>
      <c r="I38" t="s">
        <v>1749</v>
      </c>
    </row>
    <row r="39" spans="1:9" x14ac:dyDescent="0.25">
      <c r="A39">
        <v>37</v>
      </c>
      <c r="B39" t="s">
        <v>1750</v>
      </c>
      <c r="C39" t="s">
        <v>1751</v>
      </c>
      <c r="D39" t="s">
        <v>1711</v>
      </c>
      <c r="E39">
        <v>80</v>
      </c>
      <c r="F39">
        <v>31</v>
      </c>
      <c r="G39">
        <v>30</v>
      </c>
      <c r="H39">
        <v>61</v>
      </c>
      <c r="I39" t="s">
        <v>1747</v>
      </c>
    </row>
    <row r="40" spans="1:9" x14ac:dyDescent="0.25">
      <c r="A40">
        <v>38</v>
      </c>
      <c r="B40" t="s">
        <v>20</v>
      </c>
      <c r="C40" t="s">
        <v>1751</v>
      </c>
      <c r="D40" t="s">
        <v>1701</v>
      </c>
      <c r="E40">
        <v>82</v>
      </c>
      <c r="F40">
        <v>14</v>
      </c>
      <c r="G40">
        <v>47</v>
      </c>
      <c r="H40">
        <v>61</v>
      </c>
      <c r="I40" t="s">
        <v>1749</v>
      </c>
    </row>
    <row r="41" spans="1:9" x14ac:dyDescent="0.25">
      <c r="A41">
        <v>39</v>
      </c>
      <c r="B41" t="s">
        <v>7</v>
      </c>
      <c r="C41" t="s">
        <v>1752</v>
      </c>
      <c r="D41" t="s">
        <v>1711</v>
      </c>
      <c r="E41">
        <v>72</v>
      </c>
      <c r="F41">
        <v>18</v>
      </c>
      <c r="G41">
        <v>43</v>
      </c>
      <c r="H41">
        <v>61</v>
      </c>
      <c r="I41" t="s">
        <v>1731</v>
      </c>
    </row>
    <row r="42" spans="1:9" x14ac:dyDescent="0.25">
      <c r="A42">
        <v>40</v>
      </c>
      <c r="B42" t="s">
        <v>70</v>
      </c>
      <c r="C42" t="s">
        <v>1729</v>
      </c>
      <c r="D42" t="s">
        <v>1711</v>
      </c>
      <c r="E42">
        <v>74</v>
      </c>
      <c r="F42">
        <v>26</v>
      </c>
      <c r="G42">
        <v>35</v>
      </c>
      <c r="H42">
        <v>61</v>
      </c>
      <c r="I42" t="s">
        <v>1753</v>
      </c>
    </row>
    <row r="43" spans="1:9" x14ac:dyDescent="0.25">
      <c r="A43">
        <v>41</v>
      </c>
      <c r="B43" t="s">
        <v>1754</v>
      </c>
      <c r="C43" t="s">
        <v>1732</v>
      </c>
      <c r="D43" t="s">
        <v>1701</v>
      </c>
      <c r="E43">
        <v>77</v>
      </c>
      <c r="F43">
        <v>19</v>
      </c>
      <c r="G43">
        <v>42</v>
      </c>
      <c r="H43">
        <v>61</v>
      </c>
      <c r="I43" t="s">
        <v>1743</v>
      </c>
    </row>
    <row r="44" spans="1:9" x14ac:dyDescent="0.25">
      <c r="A44">
        <v>42</v>
      </c>
      <c r="B44" t="s">
        <v>694</v>
      </c>
      <c r="C44" t="s">
        <v>1732</v>
      </c>
      <c r="D44" t="s">
        <v>1701</v>
      </c>
      <c r="E44">
        <v>81</v>
      </c>
      <c r="F44">
        <v>22</v>
      </c>
      <c r="G44">
        <v>39</v>
      </c>
      <c r="H44">
        <v>61</v>
      </c>
      <c r="I44" t="s">
        <v>1755</v>
      </c>
    </row>
    <row r="45" spans="1:9" x14ac:dyDescent="0.25">
      <c r="A45">
        <v>43</v>
      </c>
      <c r="B45" t="s">
        <v>26</v>
      </c>
      <c r="C45" t="s">
        <v>1708</v>
      </c>
      <c r="D45" t="s">
        <v>1701</v>
      </c>
      <c r="E45">
        <v>82</v>
      </c>
      <c r="F45">
        <v>19</v>
      </c>
      <c r="G45">
        <v>40</v>
      </c>
      <c r="H45">
        <v>59</v>
      </c>
      <c r="I45" t="s">
        <v>1756</v>
      </c>
    </row>
    <row r="46" spans="1:9" x14ac:dyDescent="0.25">
      <c r="A46">
        <v>44</v>
      </c>
      <c r="B46" t="s">
        <v>62</v>
      </c>
      <c r="C46" t="s">
        <v>1757</v>
      </c>
      <c r="D46" t="s">
        <v>1706</v>
      </c>
      <c r="E46">
        <v>80</v>
      </c>
      <c r="F46">
        <v>15</v>
      </c>
      <c r="G46">
        <v>44</v>
      </c>
      <c r="H46">
        <v>59</v>
      </c>
      <c r="I46" t="s">
        <v>1749</v>
      </c>
    </row>
    <row r="47" spans="1:9" x14ac:dyDescent="0.25">
      <c r="A47">
        <v>45</v>
      </c>
      <c r="B47" t="s">
        <v>1758</v>
      </c>
      <c r="C47" t="s">
        <v>1746</v>
      </c>
      <c r="D47" t="s">
        <v>1701</v>
      </c>
      <c r="E47">
        <v>80</v>
      </c>
      <c r="F47">
        <v>13</v>
      </c>
      <c r="G47">
        <v>46</v>
      </c>
      <c r="H47">
        <v>59</v>
      </c>
      <c r="I47" t="s">
        <v>1749</v>
      </c>
    </row>
    <row r="48" spans="1:9" x14ac:dyDescent="0.25">
      <c r="A48">
        <v>46</v>
      </c>
      <c r="B48" t="s">
        <v>42</v>
      </c>
      <c r="C48" t="s">
        <v>1705</v>
      </c>
      <c r="D48" t="s">
        <v>1701</v>
      </c>
      <c r="E48">
        <v>72</v>
      </c>
      <c r="F48">
        <v>21</v>
      </c>
      <c r="G48">
        <v>37</v>
      </c>
      <c r="H48">
        <v>58</v>
      </c>
      <c r="I48" t="s">
        <v>1759</v>
      </c>
    </row>
    <row r="49" spans="1:9" x14ac:dyDescent="0.25">
      <c r="A49">
        <v>47</v>
      </c>
      <c r="B49" t="s">
        <v>17</v>
      </c>
      <c r="C49" t="s">
        <v>1751</v>
      </c>
      <c r="D49" t="s">
        <v>1711</v>
      </c>
      <c r="E49">
        <v>82</v>
      </c>
      <c r="F49">
        <v>31</v>
      </c>
      <c r="G49">
        <v>27</v>
      </c>
      <c r="H49">
        <v>58</v>
      </c>
      <c r="I49" t="s">
        <v>1760</v>
      </c>
    </row>
    <row r="50" spans="1:9" x14ac:dyDescent="0.25">
      <c r="A50">
        <v>48</v>
      </c>
      <c r="B50" t="s">
        <v>108</v>
      </c>
      <c r="C50" t="s">
        <v>1724</v>
      </c>
      <c r="D50" t="s">
        <v>1701</v>
      </c>
      <c r="E50">
        <v>82</v>
      </c>
      <c r="F50">
        <v>22</v>
      </c>
      <c r="G50">
        <v>36</v>
      </c>
      <c r="H50">
        <v>58</v>
      </c>
      <c r="I50" t="s">
        <v>1760</v>
      </c>
    </row>
    <row r="51" spans="1:9" x14ac:dyDescent="0.25">
      <c r="A51">
        <v>49</v>
      </c>
      <c r="B51" t="s">
        <v>25</v>
      </c>
      <c r="C51" t="s">
        <v>1752</v>
      </c>
      <c r="D51" t="s">
        <v>1701</v>
      </c>
      <c r="E51">
        <v>82</v>
      </c>
      <c r="F51">
        <v>27</v>
      </c>
      <c r="G51">
        <v>31</v>
      </c>
      <c r="H51">
        <v>58</v>
      </c>
      <c r="I51" t="s">
        <v>1760</v>
      </c>
    </row>
    <row r="52" spans="1:9" x14ac:dyDescent="0.25">
      <c r="A52">
        <v>50</v>
      </c>
      <c r="B52" t="s">
        <v>87</v>
      </c>
      <c r="C52" t="s">
        <v>1708</v>
      </c>
      <c r="D52" t="s">
        <v>1711</v>
      </c>
      <c r="E52">
        <v>82</v>
      </c>
      <c r="F52">
        <v>24</v>
      </c>
      <c r="G52">
        <v>34</v>
      </c>
      <c r="H52">
        <v>58</v>
      </c>
      <c r="I52" t="s">
        <v>1760</v>
      </c>
    </row>
    <row r="53" spans="1:9" x14ac:dyDescent="0.25">
      <c r="A53">
        <v>51</v>
      </c>
      <c r="B53" t="s">
        <v>12</v>
      </c>
      <c r="C53" t="s">
        <v>1748</v>
      </c>
      <c r="D53" t="s">
        <v>1701</v>
      </c>
      <c r="E53">
        <v>82</v>
      </c>
      <c r="F53">
        <v>14</v>
      </c>
      <c r="G53">
        <v>44</v>
      </c>
      <c r="H53">
        <v>58</v>
      </c>
      <c r="I53" t="s">
        <v>1760</v>
      </c>
    </row>
    <row r="54" spans="1:9" x14ac:dyDescent="0.25">
      <c r="A54">
        <v>52</v>
      </c>
      <c r="B54" t="s">
        <v>112</v>
      </c>
      <c r="C54" t="s">
        <v>1735</v>
      </c>
      <c r="D54" t="s">
        <v>1701</v>
      </c>
      <c r="E54">
        <v>80</v>
      </c>
      <c r="F54">
        <v>18</v>
      </c>
      <c r="G54">
        <v>40</v>
      </c>
      <c r="H54">
        <v>58</v>
      </c>
      <c r="I54" t="s">
        <v>1761</v>
      </c>
    </row>
    <row r="55" spans="1:9" x14ac:dyDescent="0.25">
      <c r="A55">
        <v>53</v>
      </c>
      <c r="B55" t="s">
        <v>146</v>
      </c>
      <c r="C55" t="s">
        <v>1735</v>
      </c>
      <c r="D55" t="s">
        <v>1706</v>
      </c>
      <c r="E55">
        <v>82</v>
      </c>
      <c r="F55">
        <v>25</v>
      </c>
      <c r="G55">
        <v>32</v>
      </c>
      <c r="H55">
        <v>57</v>
      </c>
      <c r="I55" t="s">
        <v>1762</v>
      </c>
    </row>
    <row r="56" spans="1:9" x14ac:dyDescent="0.25">
      <c r="A56">
        <v>54</v>
      </c>
      <c r="B56" t="s">
        <v>27</v>
      </c>
      <c r="C56" t="s">
        <v>1763</v>
      </c>
      <c r="D56" t="s">
        <v>1701</v>
      </c>
      <c r="E56">
        <v>61</v>
      </c>
      <c r="F56">
        <v>24</v>
      </c>
      <c r="G56">
        <v>33</v>
      </c>
      <c r="H56">
        <v>57</v>
      </c>
      <c r="I56" t="s">
        <v>1720</v>
      </c>
    </row>
    <row r="57" spans="1:9" x14ac:dyDescent="0.25">
      <c r="A57">
        <v>55</v>
      </c>
      <c r="B57" t="s">
        <v>1764</v>
      </c>
      <c r="C57" t="s">
        <v>1735</v>
      </c>
      <c r="D57" t="s">
        <v>1701</v>
      </c>
      <c r="E57">
        <v>82</v>
      </c>
      <c r="F57">
        <v>18</v>
      </c>
      <c r="G57">
        <v>38</v>
      </c>
      <c r="H57">
        <v>56</v>
      </c>
      <c r="I57" t="s">
        <v>1765</v>
      </c>
    </row>
    <row r="58" spans="1:9" x14ac:dyDescent="0.25">
      <c r="A58">
        <v>56</v>
      </c>
      <c r="B58" t="s">
        <v>141</v>
      </c>
      <c r="C58" t="s">
        <v>1708</v>
      </c>
      <c r="D58" t="s">
        <v>1719</v>
      </c>
      <c r="E58">
        <v>80</v>
      </c>
      <c r="F58">
        <v>13</v>
      </c>
      <c r="G58">
        <v>43</v>
      </c>
      <c r="H58">
        <v>56</v>
      </c>
      <c r="I58" t="s">
        <v>1762</v>
      </c>
    </row>
    <row r="59" spans="1:9" x14ac:dyDescent="0.25">
      <c r="A59">
        <v>57</v>
      </c>
      <c r="B59" t="s">
        <v>129</v>
      </c>
      <c r="C59" t="s">
        <v>1757</v>
      </c>
      <c r="D59" t="s">
        <v>1711</v>
      </c>
      <c r="E59">
        <v>82</v>
      </c>
      <c r="F59">
        <v>22</v>
      </c>
      <c r="G59">
        <v>34</v>
      </c>
      <c r="H59">
        <v>56</v>
      </c>
      <c r="I59" t="s">
        <v>1765</v>
      </c>
    </row>
    <row r="60" spans="1:9" x14ac:dyDescent="0.25">
      <c r="A60">
        <v>58</v>
      </c>
      <c r="B60" t="s">
        <v>1766</v>
      </c>
      <c r="C60" t="s">
        <v>1739</v>
      </c>
      <c r="D60" t="s">
        <v>1711</v>
      </c>
      <c r="E60">
        <v>82</v>
      </c>
      <c r="F60">
        <v>13</v>
      </c>
      <c r="G60">
        <v>43</v>
      </c>
      <c r="H60">
        <v>56</v>
      </c>
      <c r="I60" t="s">
        <v>1765</v>
      </c>
    </row>
    <row r="61" spans="1:9" x14ac:dyDescent="0.25">
      <c r="A61">
        <v>59</v>
      </c>
      <c r="B61" t="s">
        <v>85</v>
      </c>
      <c r="C61" t="s">
        <v>1708</v>
      </c>
      <c r="D61" t="s">
        <v>1706</v>
      </c>
      <c r="E61">
        <v>68</v>
      </c>
      <c r="F61">
        <v>33</v>
      </c>
      <c r="G61">
        <v>23</v>
      </c>
      <c r="H61">
        <v>56</v>
      </c>
      <c r="I61" t="s">
        <v>1753</v>
      </c>
    </row>
    <row r="62" spans="1:9" x14ac:dyDescent="0.25">
      <c r="A62">
        <v>60</v>
      </c>
      <c r="B62" t="s">
        <v>1767</v>
      </c>
      <c r="C62" t="s">
        <v>1768</v>
      </c>
      <c r="D62" t="s">
        <v>1706</v>
      </c>
      <c r="E62">
        <v>81</v>
      </c>
      <c r="F62">
        <v>20</v>
      </c>
      <c r="G62">
        <v>35</v>
      </c>
      <c r="H62">
        <v>55</v>
      </c>
      <c r="I62" t="s">
        <v>1765</v>
      </c>
    </row>
    <row r="63" spans="1:9" x14ac:dyDescent="0.25">
      <c r="A63">
        <v>61</v>
      </c>
      <c r="B63" t="s">
        <v>75</v>
      </c>
      <c r="C63" t="s">
        <v>1748</v>
      </c>
      <c r="D63" t="s">
        <v>1701</v>
      </c>
      <c r="E63">
        <v>79</v>
      </c>
      <c r="F63">
        <v>25</v>
      </c>
      <c r="G63">
        <v>30</v>
      </c>
      <c r="H63">
        <v>55</v>
      </c>
      <c r="I63" t="s">
        <v>1762</v>
      </c>
    </row>
    <row r="64" spans="1:9" x14ac:dyDescent="0.25">
      <c r="A64">
        <v>62</v>
      </c>
      <c r="B64" t="s">
        <v>57</v>
      </c>
      <c r="C64" t="s">
        <v>1757</v>
      </c>
      <c r="D64" t="s">
        <v>1701</v>
      </c>
      <c r="E64">
        <v>81</v>
      </c>
      <c r="F64">
        <v>17</v>
      </c>
      <c r="G64">
        <v>38</v>
      </c>
      <c r="H64">
        <v>55</v>
      </c>
      <c r="I64" t="s">
        <v>1765</v>
      </c>
    </row>
    <row r="65" spans="1:9" x14ac:dyDescent="0.25">
      <c r="A65">
        <v>63</v>
      </c>
      <c r="B65" t="s">
        <v>44</v>
      </c>
      <c r="C65" t="s">
        <v>1763</v>
      </c>
      <c r="D65" t="s">
        <v>1701</v>
      </c>
      <c r="E65">
        <v>72</v>
      </c>
      <c r="F65">
        <v>20</v>
      </c>
      <c r="G65">
        <v>35</v>
      </c>
      <c r="H65">
        <v>55</v>
      </c>
      <c r="I65" t="s">
        <v>1747</v>
      </c>
    </row>
    <row r="66" spans="1:9" x14ac:dyDescent="0.25">
      <c r="A66">
        <v>64</v>
      </c>
      <c r="B66" t="s">
        <v>1769</v>
      </c>
      <c r="C66" t="s">
        <v>1732</v>
      </c>
      <c r="D66" t="s">
        <v>1701</v>
      </c>
      <c r="E66">
        <v>78</v>
      </c>
      <c r="F66">
        <v>18</v>
      </c>
      <c r="G66">
        <v>37</v>
      </c>
      <c r="H66">
        <v>55</v>
      </c>
      <c r="I66" t="s">
        <v>1760</v>
      </c>
    </row>
    <row r="67" spans="1:9" x14ac:dyDescent="0.25">
      <c r="A67">
        <v>65</v>
      </c>
      <c r="B67" t="s">
        <v>59</v>
      </c>
      <c r="C67" t="s">
        <v>1721</v>
      </c>
      <c r="D67" t="s">
        <v>1711</v>
      </c>
      <c r="E67">
        <v>78</v>
      </c>
      <c r="F67">
        <v>19</v>
      </c>
      <c r="G67">
        <v>36</v>
      </c>
      <c r="H67">
        <v>55</v>
      </c>
      <c r="I67" t="s">
        <v>1760</v>
      </c>
    </row>
    <row r="68" spans="1:9" x14ac:dyDescent="0.25">
      <c r="A68">
        <v>66</v>
      </c>
      <c r="B68" t="s">
        <v>54</v>
      </c>
      <c r="C68" t="s">
        <v>1729</v>
      </c>
      <c r="D68" t="s">
        <v>1701</v>
      </c>
      <c r="E68">
        <v>78</v>
      </c>
      <c r="F68">
        <v>27</v>
      </c>
      <c r="G68">
        <v>28</v>
      </c>
      <c r="H68">
        <v>55</v>
      </c>
      <c r="I68" t="s">
        <v>1760</v>
      </c>
    </row>
    <row r="69" spans="1:9" x14ac:dyDescent="0.25">
      <c r="A69">
        <v>67</v>
      </c>
      <c r="B69" t="s">
        <v>41</v>
      </c>
      <c r="C69" t="s">
        <v>1710</v>
      </c>
      <c r="D69" t="s">
        <v>1701</v>
      </c>
      <c r="E69">
        <v>82</v>
      </c>
      <c r="F69">
        <v>23</v>
      </c>
      <c r="G69">
        <v>31</v>
      </c>
      <c r="H69">
        <v>54</v>
      </c>
      <c r="I69" t="s">
        <v>1770</v>
      </c>
    </row>
    <row r="70" spans="1:9" x14ac:dyDescent="0.25">
      <c r="A70">
        <v>68</v>
      </c>
      <c r="B70" t="s">
        <v>72</v>
      </c>
      <c r="C70" t="s">
        <v>1771</v>
      </c>
      <c r="D70" t="s">
        <v>1701</v>
      </c>
      <c r="E70">
        <v>82</v>
      </c>
      <c r="F70">
        <v>23</v>
      </c>
      <c r="G70">
        <v>31</v>
      </c>
      <c r="H70">
        <v>54</v>
      </c>
      <c r="I70" t="s">
        <v>1770</v>
      </c>
    </row>
    <row r="71" spans="1:9" x14ac:dyDescent="0.25">
      <c r="A71">
        <v>69</v>
      </c>
      <c r="B71" t="s">
        <v>48</v>
      </c>
      <c r="C71" t="s">
        <v>1729</v>
      </c>
      <c r="D71" t="s">
        <v>1706</v>
      </c>
      <c r="E71">
        <v>71</v>
      </c>
      <c r="F71">
        <v>22</v>
      </c>
      <c r="G71">
        <v>32</v>
      </c>
      <c r="H71">
        <v>54</v>
      </c>
      <c r="I71" t="s">
        <v>1747</v>
      </c>
    </row>
    <row r="72" spans="1:9" x14ac:dyDescent="0.25">
      <c r="A72">
        <v>70</v>
      </c>
      <c r="B72" t="s">
        <v>36</v>
      </c>
      <c r="C72" t="s">
        <v>1738</v>
      </c>
      <c r="D72" t="s">
        <v>1706</v>
      </c>
      <c r="E72">
        <v>76</v>
      </c>
      <c r="F72">
        <v>18</v>
      </c>
      <c r="G72">
        <v>36</v>
      </c>
      <c r="H72">
        <v>54</v>
      </c>
      <c r="I72" t="s">
        <v>1760</v>
      </c>
    </row>
    <row r="73" spans="1:9" x14ac:dyDescent="0.25">
      <c r="A73">
        <v>71</v>
      </c>
      <c r="B73" t="s">
        <v>45</v>
      </c>
      <c r="C73" t="s">
        <v>1748</v>
      </c>
      <c r="D73" t="s">
        <v>1706</v>
      </c>
      <c r="E73">
        <v>82</v>
      </c>
      <c r="F73">
        <v>31</v>
      </c>
      <c r="G73">
        <v>23</v>
      </c>
      <c r="H73">
        <v>54</v>
      </c>
      <c r="I73" t="s">
        <v>1770</v>
      </c>
    </row>
    <row r="74" spans="1:9" x14ac:dyDescent="0.25">
      <c r="A74">
        <v>72</v>
      </c>
      <c r="B74" t="s">
        <v>136</v>
      </c>
      <c r="C74" t="s">
        <v>1705</v>
      </c>
      <c r="D74" t="s">
        <v>1719</v>
      </c>
      <c r="E74">
        <v>80</v>
      </c>
      <c r="F74">
        <v>6</v>
      </c>
      <c r="G74">
        <v>47</v>
      </c>
      <c r="H74">
        <v>53</v>
      </c>
      <c r="I74" t="s">
        <v>1770</v>
      </c>
    </row>
    <row r="75" spans="1:9" x14ac:dyDescent="0.25">
      <c r="A75">
        <v>73</v>
      </c>
      <c r="B75" t="s">
        <v>33</v>
      </c>
      <c r="C75" t="s">
        <v>1772</v>
      </c>
      <c r="D75" t="s">
        <v>1711</v>
      </c>
      <c r="E75">
        <v>72</v>
      </c>
      <c r="F75">
        <v>20</v>
      </c>
      <c r="G75">
        <v>33</v>
      </c>
      <c r="H75">
        <v>53</v>
      </c>
      <c r="I75" t="s">
        <v>1749</v>
      </c>
    </row>
    <row r="76" spans="1:9" x14ac:dyDescent="0.25">
      <c r="A76">
        <v>74</v>
      </c>
      <c r="B76" t="s">
        <v>78</v>
      </c>
      <c r="C76" t="s">
        <v>1746</v>
      </c>
      <c r="D76" t="s">
        <v>1711</v>
      </c>
      <c r="E76">
        <v>82</v>
      </c>
      <c r="F76">
        <v>24</v>
      </c>
      <c r="G76">
        <v>29</v>
      </c>
      <c r="H76">
        <v>53</v>
      </c>
      <c r="I76" t="s">
        <v>1773</v>
      </c>
    </row>
    <row r="77" spans="1:9" x14ac:dyDescent="0.25">
      <c r="A77">
        <v>75</v>
      </c>
      <c r="B77" t="s">
        <v>144</v>
      </c>
      <c r="C77" t="s">
        <v>1752</v>
      </c>
      <c r="D77" t="s">
        <v>1701</v>
      </c>
      <c r="E77">
        <v>81</v>
      </c>
      <c r="F77">
        <v>22</v>
      </c>
      <c r="G77">
        <v>31</v>
      </c>
      <c r="H77">
        <v>53</v>
      </c>
      <c r="I77" t="s">
        <v>1773</v>
      </c>
    </row>
    <row r="78" spans="1:9" x14ac:dyDescent="0.25">
      <c r="A78">
        <v>76</v>
      </c>
      <c r="B78" t="s">
        <v>39</v>
      </c>
      <c r="C78" t="s">
        <v>1774</v>
      </c>
      <c r="D78" t="s">
        <v>1701</v>
      </c>
      <c r="E78">
        <v>82</v>
      </c>
      <c r="F78">
        <v>16</v>
      </c>
      <c r="G78">
        <v>37</v>
      </c>
      <c r="H78">
        <v>53</v>
      </c>
      <c r="I78" t="s">
        <v>1773</v>
      </c>
    </row>
    <row r="79" spans="1:9" x14ac:dyDescent="0.25">
      <c r="A79">
        <v>77</v>
      </c>
      <c r="B79" t="s">
        <v>135</v>
      </c>
      <c r="C79" t="s">
        <v>1713</v>
      </c>
      <c r="D79" t="s">
        <v>1711</v>
      </c>
      <c r="E79">
        <v>73</v>
      </c>
      <c r="F79">
        <v>21</v>
      </c>
      <c r="G79">
        <v>32</v>
      </c>
      <c r="H79">
        <v>53</v>
      </c>
      <c r="I79" t="s">
        <v>1761</v>
      </c>
    </row>
    <row r="80" spans="1:9" x14ac:dyDescent="0.25">
      <c r="A80">
        <v>78</v>
      </c>
      <c r="B80" t="s">
        <v>1775</v>
      </c>
      <c r="C80" t="s">
        <v>1703</v>
      </c>
      <c r="D80" t="s">
        <v>1711</v>
      </c>
      <c r="E80">
        <v>61</v>
      </c>
      <c r="F80">
        <v>23</v>
      </c>
      <c r="G80">
        <v>30</v>
      </c>
      <c r="H80">
        <v>53</v>
      </c>
      <c r="I80" t="s">
        <v>1776</v>
      </c>
    </row>
    <row r="81" spans="1:9" x14ac:dyDescent="0.25">
      <c r="A81">
        <v>79</v>
      </c>
      <c r="B81" t="s">
        <v>138</v>
      </c>
      <c r="C81" t="s">
        <v>1757</v>
      </c>
      <c r="D81" t="s">
        <v>1711</v>
      </c>
      <c r="E81">
        <v>75</v>
      </c>
      <c r="F81">
        <v>28</v>
      </c>
      <c r="G81">
        <v>25</v>
      </c>
      <c r="H81">
        <v>53</v>
      </c>
      <c r="I81" t="s">
        <v>1760</v>
      </c>
    </row>
    <row r="82" spans="1:9" x14ac:dyDescent="0.25">
      <c r="A82">
        <v>80</v>
      </c>
      <c r="B82" t="s">
        <v>22</v>
      </c>
      <c r="C82" t="s">
        <v>1724</v>
      </c>
      <c r="D82" t="s">
        <v>1706</v>
      </c>
      <c r="E82">
        <v>82</v>
      </c>
      <c r="F82">
        <v>19</v>
      </c>
      <c r="G82">
        <v>34</v>
      </c>
      <c r="H82">
        <v>53</v>
      </c>
      <c r="I82" t="s">
        <v>1773</v>
      </c>
    </row>
    <row r="83" spans="1:9" x14ac:dyDescent="0.25">
      <c r="A83">
        <v>81</v>
      </c>
      <c r="B83" t="s">
        <v>61</v>
      </c>
      <c r="C83" t="s">
        <v>1772</v>
      </c>
      <c r="D83" t="s">
        <v>1706</v>
      </c>
      <c r="E83">
        <v>80</v>
      </c>
      <c r="F83">
        <v>26</v>
      </c>
      <c r="G83">
        <v>27</v>
      </c>
      <c r="H83">
        <v>53</v>
      </c>
      <c r="I83" t="s">
        <v>1770</v>
      </c>
    </row>
    <row r="84" spans="1:9" x14ac:dyDescent="0.25">
      <c r="A84">
        <v>82</v>
      </c>
      <c r="B84" t="s">
        <v>38</v>
      </c>
      <c r="C84" t="s">
        <v>1710</v>
      </c>
      <c r="D84" t="s">
        <v>1701</v>
      </c>
      <c r="E84">
        <v>79</v>
      </c>
      <c r="F84">
        <v>21</v>
      </c>
      <c r="G84">
        <v>32</v>
      </c>
      <c r="H84">
        <v>53</v>
      </c>
      <c r="I84" t="s">
        <v>1777</v>
      </c>
    </row>
    <row r="85" spans="1:9" x14ac:dyDescent="0.25">
      <c r="A85">
        <v>83</v>
      </c>
      <c r="B85" t="s">
        <v>76</v>
      </c>
      <c r="C85" t="s">
        <v>1715</v>
      </c>
      <c r="D85" t="s">
        <v>1719</v>
      </c>
      <c r="E85">
        <v>80</v>
      </c>
      <c r="F85">
        <v>13</v>
      </c>
      <c r="G85">
        <v>39</v>
      </c>
      <c r="H85">
        <v>52</v>
      </c>
      <c r="I85" t="s">
        <v>1773</v>
      </c>
    </row>
    <row r="86" spans="1:9" x14ac:dyDescent="0.25">
      <c r="A86">
        <v>84</v>
      </c>
      <c r="B86" t="s">
        <v>35</v>
      </c>
      <c r="C86" t="s">
        <v>1718</v>
      </c>
      <c r="D86" t="s">
        <v>1701</v>
      </c>
      <c r="E86">
        <v>73</v>
      </c>
      <c r="F86">
        <v>25</v>
      </c>
      <c r="G86">
        <v>27</v>
      </c>
      <c r="H86">
        <v>52</v>
      </c>
      <c r="I86" t="s">
        <v>1760</v>
      </c>
    </row>
    <row r="87" spans="1:9" x14ac:dyDescent="0.25">
      <c r="A87">
        <v>85</v>
      </c>
      <c r="B87" t="s">
        <v>15</v>
      </c>
      <c r="C87" t="s">
        <v>1771</v>
      </c>
      <c r="D87" t="s">
        <v>1701</v>
      </c>
      <c r="E87">
        <v>61</v>
      </c>
      <c r="F87">
        <v>21</v>
      </c>
      <c r="G87">
        <v>31</v>
      </c>
      <c r="H87">
        <v>52</v>
      </c>
      <c r="I87" t="s">
        <v>1731</v>
      </c>
    </row>
    <row r="88" spans="1:9" x14ac:dyDescent="0.25">
      <c r="A88">
        <v>86</v>
      </c>
      <c r="B88" t="s">
        <v>10</v>
      </c>
      <c r="C88" t="s">
        <v>1741</v>
      </c>
      <c r="D88" t="s">
        <v>1701</v>
      </c>
      <c r="E88">
        <v>76</v>
      </c>
      <c r="F88">
        <v>12</v>
      </c>
      <c r="G88">
        <v>40</v>
      </c>
      <c r="H88">
        <v>52</v>
      </c>
      <c r="I88" t="s">
        <v>1765</v>
      </c>
    </row>
    <row r="89" spans="1:9" x14ac:dyDescent="0.25">
      <c r="A89">
        <v>87</v>
      </c>
      <c r="B89" t="s">
        <v>1778</v>
      </c>
      <c r="C89" t="s">
        <v>1779</v>
      </c>
      <c r="D89" t="s">
        <v>1701</v>
      </c>
      <c r="E89">
        <v>81</v>
      </c>
      <c r="F89">
        <v>20</v>
      </c>
      <c r="G89">
        <v>32</v>
      </c>
      <c r="H89">
        <v>52</v>
      </c>
      <c r="I89" t="s">
        <v>1780</v>
      </c>
    </row>
    <row r="90" spans="1:9" x14ac:dyDescent="0.25">
      <c r="A90">
        <v>88</v>
      </c>
      <c r="B90" t="s">
        <v>699</v>
      </c>
      <c r="C90" t="s">
        <v>1739</v>
      </c>
      <c r="D90" t="s">
        <v>1711</v>
      </c>
      <c r="E90">
        <v>81</v>
      </c>
      <c r="F90">
        <v>34</v>
      </c>
      <c r="G90">
        <v>18</v>
      </c>
      <c r="H90">
        <v>52</v>
      </c>
      <c r="I90" t="s">
        <v>1780</v>
      </c>
    </row>
    <row r="91" spans="1:9" x14ac:dyDescent="0.25">
      <c r="A91">
        <v>89</v>
      </c>
      <c r="B91" t="s">
        <v>106</v>
      </c>
      <c r="C91" t="s">
        <v>1713</v>
      </c>
      <c r="D91" t="s">
        <v>1711</v>
      </c>
      <c r="E91">
        <v>75</v>
      </c>
      <c r="F91">
        <v>17</v>
      </c>
      <c r="G91">
        <v>35</v>
      </c>
      <c r="H91">
        <v>52</v>
      </c>
      <c r="I91" t="s">
        <v>1781</v>
      </c>
    </row>
    <row r="92" spans="1:9" x14ac:dyDescent="0.25">
      <c r="A92">
        <v>90</v>
      </c>
      <c r="B92" t="s">
        <v>1782</v>
      </c>
      <c r="C92" t="s">
        <v>1771</v>
      </c>
      <c r="D92" t="s">
        <v>1701</v>
      </c>
      <c r="E92">
        <v>75</v>
      </c>
      <c r="F92">
        <v>30</v>
      </c>
      <c r="G92">
        <v>21</v>
      </c>
      <c r="H92">
        <v>51</v>
      </c>
      <c r="I92" t="s">
        <v>1765</v>
      </c>
    </row>
    <row r="93" spans="1:9" x14ac:dyDescent="0.25">
      <c r="A93">
        <v>91</v>
      </c>
      <c r="B93" t="s">
        <v>708</v>
      </c>
      <c r="C93" t="s">
        <v>1710</v>
      </c>
      <c r="D93" t="s">
        <v>1719</v>
      </c>
      <c r="E93">
        <v>81</v>
      </c>
      <c r="F93">
        <v>8</v>
      </c>
      <c r="G93">
        <v>43</v>
      </c>
      <c r="H93">
        <v>51</v>
      </c>
      <c r="I93" t="s">
        <v>1783</v>
      </c>
    </row>
    <row r="94" spans="1:9" x14ac:dyDescent="0.25">
      <c r="A94">
        <v>92</v>
      </c>
      <c r="B94" t="s">
        <v>63</v>
      </c>
      <c r="C94" t="s">
        <v>1721</v>
      </c>
      <c r="D94" t="s">
        <v>1711</v>
      </c>
      <c r="E94">
        <v>76</v>
      </c>
      <c r="F94">
        <v>16</v>
      </c>
      <c r="G94">
        <v>35</v>
      </c>
      <c r="H94">
        <v>51</v>
      </c>
      <c r="I94" t="s">
        <v>1777</v>
      </c>
    </row>
    <row r="95" spans="1:9" x14ac:dyDescent="0.25">
      <c r="A95">
        <v>93</v>
      </c>
      <c r="B95" t="s">
        <v>49</v>
      </c>
      <c r="C95" t="s">
        <v>1779</v>
      </c>
      <c r="D95" t="s">
        <v>1701</v>
      </c>
      <c r="E95">
        <v>82</v>
      </c>
      <c r="F95">
        <v>15</v>
      </c>
      <c r="G95">
        <v>36</v>
      </c>
      <c r="H95">
        <v>51</v>
      </c>
      <c r="I95" t="s">
        <v>1784</v>
      </c>
    </row>
    <row r="96" spans="1:9" x14ac:dyDescent="0.25">
      <c r="A96">
        <v>94</v>
      </c>
      <c r="B96" t="s">
        <v>1785</v>
      </c>
      <c r="C96" t="s">
        <v>1724</v>
      </c>
      <c r="D96" t="s">
        <v>1706</v>
      </c>
      <c r="E96">
        <v>79</v>
      </c>
      <c r="F96">
        <v>32</v>
      </c>
      <c r="G96">
        <v>19</v>
      </c>
      <c r="H96">
        <v>51</v>
      </c>
      <c r="I96" t="s">
        <v>1773</v>
      </c>
    </row>
    <row r="97" spans="1:9" x14ac:dyDescent="0.25">
      <c r="A97">
        <v>95</v>
      </c>
      <c r="B97" t="s">
        <v>32</v>
      </c>
      <c r="C97" t="s">
        <v>1700</v>
      </c>
      <c r="D97" t="s">
        <v>1706</v>
      </c>
      <c r="E97">
        <v>82</v>
      </c>
      <c r="F97">
        <v>20</v>
      </c>
      <c r="G97">
        <v>31</v>
      </c>
      <c r="H97">
        <v>51</v>
      </c>
      <c r="I97" t="s">
        <v>1784</v>
      </c>
    </row>
    <row r="98" spans="1:9" x14ac:dyDescent="0.25">
      <c r="A98">
        <v>96</v>
      </c>
      <c r="B98" t="s">
        <v>1786</v>
      </c>
      <c r="C98" t="s">
        <v>1703</v>
      </c>
      <c r="D98" t="s">
        <v>1719</v>
      </c>
      <c r="E98">
        <v>78</v>
      </c>
      <c r="F98">
        <v>12</v>
      </c>
      <c r="G98">
        <v>39</v>
      </c>
      <c r="H98">
        <v>51</v>
      </c>
      <c r="I98" t="s">
        <v>1773</v>
      </c>
    </row>
    <row r="99" spans="1:9" x14ac:dyDescent="0.25">
      <c r="A99">
        <v>97</v>
      </c>
      <c r="B99" t="s">
        <v>131</v>
      </c>
      <c r="C99" t="s">
        <v>1724</v>
      </c>
      <c r="D99" t="s">
        <v>1701</v>
      </c>
      <c r="E99">
        <v>71</v>
      </c>
      <c r="F99">
        <v>33</v>
      </c>
      <c r="G99">
        <v>18</v>
      </c>
      <c r="H99">
        <v>51</v>
      </c>
      <c r="I99" t="s">
        <v>1756</v>
      </c>
    </row>
    <row r="100" spans="1:9" x14ac:dyDescent="0.25">
      <c r="A100">
        <v>98</v>
      </c>
      <c r="B100" t="s">
        <v>150</v>
      </c>
      <c r="C100" t="s">
        <v>1746</v>
      </c>
      <c r="D100" t="s">
        <v>1711</v>
      </c>
      <c r="E100">
        <v>79</v>
      </c>
      <c r="F100">
        <v>26</v>
      </c>
      <c r="G100">
        <v>25</v>
      </c>
      <c r="H100">
        <v>51</v>
      </c>
      <c r="I100" t="s">
        <v>1773</v>
      </c>
    </row>
    <row r="101" spans="1:9" x14ac:dyDescent="0.25">
      <c r="A101">
        <v>99</v>
      </c>
      <c r="B101" t="s">
        <v>21</v>
      </c>
      <c r="C101" t="s">
        <v>1718</v>
      </c>
      <c r="D101" t="s">
        <v>1701</v>
      </c>
      <c r="E101">
        <v>79</v>
      </c>
      <c r="F101">
        <v>7</v>
      </c>
      <c r="G101">
        <v>43</v>
      </c>
      <c r="H101">
        <v>50</v>
      </c>
      <c r="I101" t="s">
        <v>1783</v>
      </c>
    </row>
    <row r="102" spans="1:9" x14ac:dyDescent="0.25">
      <c r="A102">
        <v>100</v>
      </c>
      <c r="B102" t="s">
        <v>1787</v>
      </c>
      <c r="C102" t="s">
        <v>1746</v>
      </c>
      <c r="D102" t="s">
        <v>1701</v>
      </c>
      <c r="E102">
        <v>81</v>
      </c>
      <c r="F102">
        <v>18</v>
      </c>
      <c r="G102">
        <v>32</v>
      </c>
      <c r="H102">
        <v>50</v>
      </c>
      <c r="I102" t="s">
        <v>1784</v>
      </c>
    </row>
    <row r="103" spans="1:9" x14ac:dyDescent="0.25">
      <c r="A103">
        <v>101</v>
      </c>
      <c r="B103" t="s">
        <v>686</v>
      </c>
      <c r="C103" t="s">
        <v>1752</v>
      </c>
      <c r="D103" t="s">
        <v>1719</v>
      </c>
      <c r="E103">
        <v>81</v>
      </c>
      <c r="F103">
        <v>13</v>
      </c>
      <c r="G103">
        <v>37</v>
      </c>
      <c r="H103">
        <v>50</v>
      </c>
      <c r="I103" t="s">
        <v>1784</v>
      </c>
    </row>
    <row r="104" spans="1:9" x14ac:dyDescent="0.25">
      <c r="A104">
        <v>102</v>
      </c>
      <c r="B104" t="s">
        <v>43</v>
      </c>
      <c r="C104" t="s">
        <v>1726</v>
      </c>
      <c r="D104" t="s">
        <v>1701</v>
      </c>
      <c r="E104">
        <v>68</v>
      </c>
      <c r="F104">
        <v>15</v>
      </c>
      <c r="G104">
        <v>35</v>
      </c>
      <c r="H104">
        <v>50</v>
      </c>
      <c r="I104" t="s">
        <v>1749</v>
      </c>
    </row>
    <row r="105" spans="1:9" x14ac:dyDescent="0.25">
      <c r="A105">
        <v>103</v>
      </c>
      <c r="B105" t="s">
        <v>67</v>
      </c>
      <c r="C105" t="s">
        <v>1700</v>
      </c>
      <c r="D105" t="s">
        <v>1711</v>
      </c>
      <c r="E105">
        <v>82</v>
      </c>
      <c r="F105">
        <v>23</v>
      </c>
      <c r="G105">
        <v>27</v>
      </c>
      <c r="H105">
        <v>50</v>
      </c>
      <c r="I105" t="s">
        <v>1788</v>
      </c>
    </row>
    <row r="106" spans="1:9" x14ac:dyDescent="0.25">
      <c r="A106">
        <v>104</v>
      </c>
      <c r="B106" t="s">
        <v>1789</v>
      </c>
      <c r="C106" t="s">
        <v>1745</v>
      </c>
      <c r="D106" t="s">
        <v>1706</v>
      </c>
      <c r="E106">
        <v>82</v>
      </c>
      <c r="F106">
        <v>24</v>
      </c>
      <c r="G106">
        <v>25</v>
      </c>
      <c r="H106">
        <v>49</v>
      </c>
      <c r="I106" t="s">
        <v>1790</v>
      </c>
    </row>
    <row r="107" spans="1:9" x14ac:dyDescent="0.25">
      <c r="A107">
        <v>105</v>
      </c>
      <c r="B107" t="s">
        <v>95</v>
      </c>
      <c r="C107" t="s">
        <v>1751</v>
      </c>
      <c r="D107" t="s">
        <v>1719</v>
      </c>
      <c r="E107">
        <v>72</v>
      </c>
      <c r="F107">
        <v>12</v>
      </c>
      <c r="G107">
        <v>37</v>
      </c>
      <c r="H107">
        <v>49</v>
      </c>
      <c r="I107" t="s">
        <v>1765</v>
      </c>
    </row>
    <row r="108" spans="1:9" x14ac:dyDescent="0.25">
      <c r="A108">
        <v>106</v>
      </c>
      <c r="B108" t="s">
        <v>147</v>
      </c>
      <c r="C108" t="s">
        <v>1724</v>
      </c>
      <c r="D108" t="s">
        <v>1706</v>
      </c>
      <c r="E108">
        <v>79</v>
      </c>
      <c r="F108">
        <v>23</v>
      </c>
      <c r="G108">
        <v>26</v>
      </c>
      <c r="H108">
        <v>49</v>
      </c>
      <c r="I108" t="s">
        <v>1784</v>
      </c>
    </row>
    <row r="109" spans="1:9" x14ac:dyDescent="0.25">
      <c r="A109">
        <v>107</v>
      </c>
      <c r="B109" t="s">
        <v>69</v>
      </c>
      <c r="C109" t="s">
        <v>1726</v>
      </c>
      <c r="D109" t="s">
        <v>1719</v>
      </c>
      <c r="E109">
        <v>80</v>
      </c>
      <c r="F109">
        <v>13</v>
      </c>
      <c r="G109">
        <v>36</v>
      </c>
      <c r="H109">
        <v>49</v>
      </c>
      <c r="I109" t="s">
        <v>1788</v>
      </c>
    </row>
    <row r="110" spans="1:9" x14ac:dyDescent="0.25">
      <c r="A110">
        <v>108</v>
      </c>
      <c r="B110" t="s">
        <v>1791</v>
      </c>
      <c r="C110" t="s">
        <v>1757</v>
      </c>
      <c r="D110" t="s">
        <v>1701</v>
      </c>
      <c r="E110">
        <v>76</v>
      </c>
      <c r="F110">
        <v>17</v>
      </c>
      <c r="G110">
        <v>32</v>
      </c>
      <c r="H110">
        <v>49</v>
      </c>
      <c r="I110" t="s">
        <v>1780</v>
      </c>
    </row>
    <row r="111" spans="1:9" x14ac:dyDescent="0.25">
      <c r="A111">
        <v>109</v>
      </c>
      <c r="B111" t="s">
        <v>142</v>
      </c>
      <c r="C111" t="s">
        <v>1721</v>
      </c>
      <c r="D111" t="s">
        <v>1719</v>
      </c>
      <c r="E111">
        <v>80</v>
      </c>
      <c r="F111">
        <v>14</v>
      </c>
      <c r="G111">
        <v>34</v>
      </c>
      <c r="H111">
        <v>48</v>
      </c>
      <c r="I111" t="s">
        <v>1790</v>
      </c>
    </row>
    <row r="112" spans="1:9" x14ac:dyDescent="0.25">
      <c r="A112">
        <v>110</v>
      </c>
      <c r="B112" t="s">
        <v>83</v>
      </c>
      <c r="C112" t="s">
        <v>1736</v>
      </c>
      <c r="D112" t="s">
        <v>1706</v>
      </c>
      <c r="E112">
        <v>76</v>
      </c>
      <c r="F112">
        <v>12</v>
      </c>
      <c r="G112">
        <v>36</v>
      </c>
      <c r="H112">
        <v>48</v>
      </c>
      <c r="I112" t="s">
        <v>1783</v>
      </c>
    </row>
    <row r="113" spans="1:9" x14ac:dyDescent="0.25">
      <c r="A113">
        <v>111</v>
      </c>
      <c r="B113" t="s">
        <v>116</v>
      </c>
      <c r="C113" t="s">
        <v>1771</v>
      </c>
      <c r="D113" t="s">
        <v>1711</v>
      </c>
      <c r="E113">
        <v>68</v>
      </c>
      <c r="F113">
        <v>17</v>
      </c>
      <c r="G113">
        <v>31</v>
      </c>
      <c r="H113">
        <v>48</v>
      </c>
      <c r="I113" t="s">
        <v>1760</v>
      </c>
    </row>
    <row r="114" spans="1:9" x14ac:dyDescent="0.25">
      <c r="A114">
        <v>112</v>
      </c>
      <c r="B114" t="s">
        <v>1792</v>
      </c>
      <c r="C114" t="s">
        <v>1752</v>
      </c>
      <c r="D114" t="s">
        <v>1711</v>
      </c>
      <c r="E114">
        <v>76</v>
      </c>
      <c r="F114">
        <v>13</v>
      </c>
      <c r="G114">
        <v>35</v>
      </c>
      <c r="H114">
        <v>48</v>
      </c>
      <c r="I114" t="s">
        <v>1783</v>
      </c>
    </row>
    <row r="115" spans="1:9" x14ac:dyDescent="0.25">
      <c r="A115">
        <v>113</v>
      </c>
      <c r="B115" t="s">
        <v>124</v>
      </c>
      <c r="C115" t="s">
        <v>1708</v>
      </c>
      <c r="D115" t="s">
        <v>1706</v>
      </c>
      <c r="E115">
        <v>80</v>
      </c>
      <c r="F115">
        <v>24</v>
      </c>
      <c r="G115">
        <v>24</v>
      </c>
      <c r="H115">
        <v>48</v>
      </c>
      <c r="I115" t="s">
        <v>1790</v>
      </c>
    </row>
    <row r="116" spans="1:9" x14ac:dyDescent="0.25">
      <c r="A116">
        <v>114</v>
      </c>
      <c r="B116" t="s">
        <v>149</v>
      </c>
      <c r="C116" t="s">
        <v>1735</v>
      </c>
      <c r="D116" t="s">
        <v>1706</v>
      </c>
      <c r="E116">
        <v>78</v>
      </c>
      <c r="F116">
        <v>13</v>
      </c>
      <c r="G116">
        <v>34</v>
      </c>
      <c r="H116">
        <v>47</v>
      </c>
      <c r="I116" t="s">
        <v>1790</v>
      </c>
    </row>
    <row r="117" spans="1:9" x14ac:dyDescent="0.25">
      <c r="A117">
        <v>115</v>
      </c>
      <c r="B117" t="s">
        <v>65</v>
      </c>
      <c r="C117" t="s">
        <v>1715</v>
      </c>
      <c r="D117" t="s">
        <v>1701</v>
      </c>
      <c r="E117">
        <v>59</v>
      </c>
      <c r="F117">
        <v>21</v>
      </c>
      <c r="G117">
        <v>26</v>
      </c>
      <c r="H117">
        <v>47</v>
      </c>
      <c r="I117" t="s">
        <v>1742</v>
      </c>
    </row>
    <row r="118" spans="1:9" x14ac:dyDescent="0.25">
      <c r="A118">
        <v>116</v>
      </c>
      <c r="B118" t="s">
        <v>130</v>
      </c>
      <c r="C118" t="s">
        <v>1763</v>
      </c>
      <c r="D118" t="s">
        <v>1701</v>
      </c>
      <c r="E118">
        <v>79</v>
      </c>
      <c r="F118">
        <v>17</v>
      </c>
      <c r="G118">
        <v>30</v>
      </c>
      <c r="H118">
        <v>47</v>
      </c>
      <c r="I118" t="s">
        <v>1793</v>
      </c>
    </row>
    <row r="119" spans="1:9" x14ac:dyDescent="0.25">
      <c r="A119">
        <v>117</v>
      </c>
      <c r="B119" t="s">
        <v>1794</v>
      </c>
      <c r="C119" t="s">
        <v>1746</v>
      </c>
      <c r="D119" t="s">
        <v>1719</v>
      </c>
      <c r="E119">
        <v>78</v>
      </c>
      <c r="F119">
        <v>11</v>
      </c>
      <c r="G119">
        <v>36</v>
      </c>
      <c r="H119">
        <v>47</v>
      </c>
      <c r="I119" t="s">
        <v>1790</v>
      </c>
    </row>
    <row r="120" spans="1:9" x14ac:dyDescent="0.25">
      <c r="A120">
        <v>118</v>
      </c>
      <c r="B120" t="s">
        <v>1795</v>
      </c>
      <c r="C120" t="s">
        <v>1735</v>
      </c>
      <c r="D120" t="s">
        <v>1711</v>
      </c>
      <c r="E120">
        <v>79</v>
      </c>
      <c r="F120">
        <v>22</v>
      </c>
      <c r="G120">
        <v>25</v>
      </c>
      <c r="H120">
        <v>47</v>
      </c>
      <c r="I120" t="s">
        <v>1793</v>
      </c>
    </row>
    <row r="121" spans="1:9" x14ac:dyDescent="0.25">
      <c r="A121">
        <v>119</v>
      </c>
      <c r="B121" t="s">
        <v>123</v>
      </c>
      <c r="C121" t="s">
        <v>1718</v>
      </c>
      <c r="D121" t="s">
        <v>1711</v>
      </c>
      <c r="E121">
        <v>82</v>
      </c>
      <c r="F121">
        <v>27</v>
      </c>
      <c r="G121">
        <v>19</v>
      </c>
      <c r="H121">
        <v>46</v>
      </c>
      <c r="I121" t="s">
        <v>1796</v>
      </c>
    </row>
    <row r="122" spans="1:9" x14ac:dyDescent="0.25">
      <c r="A122">
        <v>120</v>
      </c>
      <c r="B122" t="s">
        <v>1797</v>
      </c>
      <c r="C122" t="s">
        <v>1721</v>
      </c>
      <c r="D122" t="s">
        <v>1711</v>
      </c>
      <c r="E122">
        <v>82</v>
      </c>
      <c r="F122">
        <v>18</v>
      </c>
      <c r="G122">
        <v>28</v>
      </c>
      <c r="H122">
        <v>46</v>
      </c>
      <c r="I122" t="s">
        <v>1796</v>
      </c>
    </row>
    <row r="123" spans="1:9" x14ac:dyDescent="0.25">
      <c r="A123">
        <v>121</v>
      </c>
      <c r="B123" t="s">
        <v>705</v>
      </c>
      <c r="C123" t="s">
        <v>1739</v>
      </c>
      <c r="D123" t="s">
        <v>1719</v>
      </c>
      <c r="E123">
        <v>81</v>
      </c>
      <c r="F123">
        <v>11</v>
      </c>
      <c r="G123">
        <v>35</v>
      </c>
      <c r="H123">
        <v>46</v>
      </c>
      <c r="I123" t="s">
        <v>1798</v>
      </c>
    </row>
    <row r="124" spans="1:9" x14ac:dyDescent="0.25">
      <c r="A124">
        <v>122</v>
      </c>
      <c r="B124" t="s">
        <v>139</v>
      </c>
      <c r="C124" t="s">
        <v>1736</v>
      </c>
      <c r="D124" t="s">
        <v>1711</v>
      </c>
      <c r="E124">
        <v>82</v>
      </c>
      <c r="F124">
        <v>25</v>
      </c>
      <c r="G124">
        <v>21</v>
      </c>
      <c r="H124">
        <v>46</v>
      </c>
      <c r="I124" t="s">
        <v>1796</v>
      </c>
    </row>
    <row r="125" spans="1:9" x14ac:dyDescent="0.25">
      <c r="A125">
        <v>123</v>
      </c>
      <c r="B125" t="s">
        <v>88</v>
      </c>
      <c r="C125" t="s">
        <v>1771</v>
      </c>
      <c r="D125" t="s">
        <v>1706</v>
      </c>
      <c r="E125">
        <v>82</v>
      </c>
      <c r="F125">
        <v>16</v>
      </c>
      <c r="G125">
        <v>30</v>
      </c>
      <c r="H125">
        <v>46</v>
      </c>
      <c r="I125" t="s">
        <v>1796</v>
      </c>
    </row>
    <row r="126" spans="1:9" x14ac:dyDescent="0.25">
      <c r="A126">
        <v>124</v>
      </c>
      <c r="B126" t="s">
        <v>120</v>
      </c>
      <c r="C126" t="s">
        <v>1745</v>
      </c>
      <c r="D126" t="s">
        <v>1701</v>
      </c>
      <c r="E126">
        <v>75</v>
      </c>
      <c r="F126">
        <v>16</v>
      </c>
      <c r="G126">
        <v>29</v>
      </c>
      <c r="H126">
        <v>45</v>
      </c>
      <c r="I126" t="s">
        <v>1790</v>
      </c>
    </row>
    <row r="127" spans="1:9" x14ac:dyDescent="0.25">
      <c r="A127">
        <v>125</v>
      </c>
      <c r="B127" t="s">
        <v>676</v>
      </c>
      <c r="C127" t="s">
        <v>1705</v>
      </c>
      <c r="D127" t="s">
        <v>1706</v>
      </c>
      <c r="E127">
        <v>73</v>
      </c>
      <c r="F127">
        <v>26</v>
      </c>
      <c r="G127">
        <v>19</v>
      </c>
      <c r="H127">
        <v>45</v>
      </c>
      <c r="I127" t="s">
        <v>1784</v>
      </c>
    </row>
    <row r="128" spans="1:9" x14ac:dyDescent="0.25">
      <c r="A128">
        <v>126</v>
      </c>
      <c r="B128" t="s">
        <v>1799</v>
      </c>
      <c r="C128" t="s">
        <v>1739</v>
      </c>
      <c r="D128" t="s">
        <v>1701</v>
      </c>
      <c r="E128">
        <v>81</v>
      </c>
      <c r="F128">
        <v>20</v>
      </c>
      <c r="G128">
        <v>25</v>
      </c>
      <c r="H128">
        <v>45</v>
      </c>
      <c r="I128" t="s">
        <v>1796</v>
      </c>
    </row>
    <row r="129" spans="1:9" x14ac:dyDescent="0.25">
      <c r="A129">
        <v>127</v>
      </c>
      <c r="B129" t="s">
        <v>1800</v>
      </c>
      <c r="C129" t="s">
        <v>1715</v>
      </c>
      <c r="D129" t="s">
        <v>1701</v>
      </c>
      <c r="E129">
        <v>65</v>
      </c>
      <c r="F129">
        <v>13</v>
      </c>
      <c r="G129">
        <v>32</v>
      </c>
      <c r="H129">
        <v>45</v>
      </c>
      <c r="I129" t="s">
        <v>1781</v>
      </c>
    </row>
    <row r="130" spans="1:9" x14ac:dyDescent="0.25">
      <c r="A130">
        <v>128</v>
      </c>
      <c r="B130" t="s">
        <v>107</v>
      </c>
      <c r="C130" t="s">
        <v>1745</v>
      </c>
      <c r="D130" t="s">
        <v>1701</v>
      </c>
      <c r="E130">
        <v>82</v>
      </c>
      <c r="F130">
        <v>16</v>
      </c>
      <c r="G130">
        <v>29</v>
      </c>
      <c r="H130">
        <v>45</v>
      </c>
      <c r="I130" t="s">
        <v>1801</v>
      </c>
    </row>
    <row r="131" spans="1:9" x14ac:dyDescent="0.25">
      <c r="A131">
        <v>129</v>
      </c>
      <c r="B131" t="s">
        <v>92</v>
      </c>
      <c r="C131" t="s">
        <v>1713</v>
      </c>
      <c r="D131" t="s">
        <v>1701</v>
      </c>
      <c r="E131">
        <v>66</v>
      </c>
      <c r="F131">
        <v>19</v>
      </c>
      <c r="G131">
        <v>26</v>
      </c>
      <c r="H131">
        <v>45</v>
      </c>
      <c r="I131" t="s">
        <v>1765</v>
      </c>
    </row>
    <row r="132" spans="1:9" x14ac:dyDescent="0.25">
      <c r="A132">
        <v>130</v>
      </c>
      <c r="B132" t="s">
        <v>52</v>
      </c>
      <c r="C132" t="s">
        <v>1763</v>
      </c>
      <c r="D132" t="s">
        <v>1706</v>
      </c>
      <c r="E132">
        <v>65</v>
      </c>
      <c r="F132">
        <v>19</v>
      </c>
      <c r="G132">
        <v>26</v>
      </c>
      <c r="H132">
        <v>45</v>
      </c>
      <c r="I132" t="s">
        <v>1781</v>
      </c>
    </row>
    <row r="133" spans="1:9" x14ac:dyDescent="0.25">
      <c r="A133">
        <v>131</v>
      </c>
      <c r="B133" t="s">
        <v>1802</v>
      </c>
      <c r="C133" t="s">
        <v>1745</v>
      </c>
      <c r="D133" t="s">
        <v>1701</v>
      </c>
      <c r="E133">
        <v>72</v>
      </c>
      <c r="F133">
        <v>11</v>
      </c>
      <c r="G133">
        <v>34</v>
      </c>
      <c r="H133">
        <v>45</v>
      </c>
      <c r="I133" t="s">
        <v>1783</v>
      </c>
    </row>
    <row r="134" spans="1:9" x14ac:dyDescent="0.25">
      <c r="A134">
        <v>132</v>
      </c>
      <c r="B134" t="s">
        <v>152</v>
      </c>
      <c r="C134" t="s">
        <v>1763</v>
      </c>
      <c r="D134" t="s">
        <v>1719</v>
      </c>
      <c r="E134">
        <v>79</v>
      </c>
      <c r="F134">
        <v>6</v>
      </c>
      <c r="G134">
        <v>39</v>
      </c>
      <c r="H134">
        <v>45</v>
      </c>
      <c r="I134" t="s">
        <v>1798</v>
      </c>
    </row>
    <row r="135" spans="1:9" x14ac:dyDescent="0.25">
      <c r="A135">
        <v>133</v>
      </c>
      <c r="B135" t="s">
        <v>1803</v>
      </c>
      <c r="C135" t="s">
        <v>1705</v>
      </c>
      <c r="D135" t="s">
        <v>1701</v>
      </c>
      <c r="E135">
        <v>64</v>
      </c>
      <c r="F135">
        <v>22</v>
      </c>
      <c r="G135">
        <v>23</v>
      </c>
      <c r="H135">
        <v>45</v>
      </c>
      <c r="I135" t="s">
        <v>1762</v>
      </c>
    </row>
    <row r="136" spans="1:9" x14ac:dyDescent="0.25">
      <c r="A136">
        <v>134</v>
      </c>
      <c r="B136" t="s">
        <v>1804</v>
      </c>
      <c r="C136" t="s">
        <v>1772</v>
      </c>
      <c r="D136" t="s">
        <v>1701</v>
      </c>
      <c r="E136">
        <v>80</v>
      </c>
      <c r="F136">
        <v>14</v>
      </c>
      <c r="G136">
        <v>31</v>
      </c>
      <c r="H136">
        <v>45</v>
      </c>
      <c r="I136" t="s">
        <v>1796</v>
      </c>
    </row>
    <row r="137" spans="1:9" x14ac:dyDescent="0.25">
      <c r="A137">
        <v>135</v>
      </c>
      <c r="B137" t="s">
        <v>1805</v>
      </c>
      <c r="C137" t="s">
        <v>1705</v>
      </c>
      <c r="D137" t="s">
        <v>1711</v>
      </c>
      <c r="E137">
        <v>82</v>
      </c>
      <c r="F137">
        <v>22</v>
      </c>
      <c r="G137">
        <v>22</v>
      </c>
      <c r="H137">
        <v>44</v>
      </c>
      <c r="I137" t="s">
        <v>1806</v>
      </c>
    </row>
    <row r="138" spans="1:9" x14ac:dyDescent="0.25">
      <c r="A138">
        <v>136</v>
      </c>
      <c r="B138" t="s">
        <v>103</v>
      </c>
      <c r="C138" t="s">
        <v>1741</v>
      </c>
      <c r="D138" t="s">
        <v>1719</v>
      </c>
      <c r="E138">
        <v>82</v>
      </c>
      <c r="F138">
        <v>12</v>
      </c>
      <c r="G138">
        <v>32</v>
      </c>
      <c r="H138">
        <v>44</v>
      </c>
      <c r="I138" t="s">
        <v>1806</v>
      </c>
    </row>
    <row r="139" spans="1:9" x14ac:dyDescent="0.25">
      <c r="A139">
        <v>137</v>
      </c>
      <c r="B139" t="s">
        <v>1807</v>
      </c>
      <c r="C139" t="s">
        <v>1752</v>
      </c>
      <c r="D139" t="s">
        <v>1706</v>
      </c>
      <c r="E139">
        <v>82</v>
      </c>
      <c r="F139">
        <v>17</v>
      </c>
      <c r="G139">
        <v>27</v>
      </c>
      <c r="H139">
        <v>44</v>
      </c>
      <c r="I139" t="s">
        <v>1806</v>
      </c>
    </row>
    <row r="140" spans="1:9" x14ac:dyDescent="0.25">
      <c r="A140">
        <v>138</v>
      </c>
      <c r="B140" t="s">
        <v>56</v>
      </c>
      <c r="C140" t="s">
        <v>1779</v>
      </c>
      <c r="D140" t="s">
        <v>1711</v>
      </c>
      <c r="E140">
        <v>82</v>
      </c>
      <c r="F140">
        <v>15</v>
      </c>
      <c r="G140">
        <v>29</v>
      </c>
      <c r="H140">
        <v>44</v>
      </c>
      <c r="I140" t="s">
        <v>1806</v>
      </c>
    </row>
    <row r="141" spans="1:9" x14ac:dyDescent="0.25">
      <c r="A141">
        <v>139</v>
      </c>
      <c r="B141" t="s">
        <v>1808</v>
      </c>
      <c r="C141" t="s">
        <v>1741</v>
      </c>
      <c r="D141" t="s">
        <v>1711</v>
      </c>
      <c r="E141">
        <v>80</v>
      </c>
      <c r="F141">
        <v>24</v>
      </c>
      <c r="G141">
        <v>20</v>
      </c>
      <c r="H141">
        <v>44</v>
      </c>
      <c r="I141" t="s">
        <v>1801</v>
      </c>
    </row>
    <row r="142" spans="1:9" x14ac:dyDescent="0.25">
      <c r="A142">
        <v>140</v>
      </c>
      <c r="B142" t="s">
        <v>100</v>
      </c>
      <c r="C142" t="s">
        <v>1703</v>
      </c>
      <c r="D142" t="s">
        <v>1706</v>
      </c>
      <c r="E142">
        <v>70</v>
      </c>
      <c r="F142">
        <v>21</v>
      </c>
      <c r="G142">
        <v>23</v>
      </c>
      <c r="H142">
        <v>44</v>
      </c>
      <c r="I142" t="s">
        <v>1783</v>
      </c>
    </row>
    <row r="143" spans="1:9" x14ac:dyDescent="0.25">
      <c r="A143">
        <v>141</v>
      </c>
      <c r="B143" t="s">
        <v>37</v>
      </c>
      <c r="C143" t="s">
        <v>1738</v>
      </c>
      <c r="D143" t="s">
        <v>1701</v>
      </c>
      <c r="E143">
        <v>61</v>
      </c>
      <c r="F143">
        <v>17</v>
      </c>
      <c r="G143">
        <v>27</v>
      </c>
      <c r="H143">
        <v>44</v>
      </c>
      <c r="I143" t="s">
        <v>1756</v>
      </c>
    </row>
    <row r="144" spans="1:9" x14ac:dyDescent="0.25">
      <c r="A144">
        <v>142</v>
      </c>
      <c r="B144" t="s">
        <v>462</v>
      </c>
      <c r="C144" t="s">
        <v>1763</v>
      </c>
      <c r="D144" t="s">
        <v>1711</v>
      </c>
      <c r="E144">
        <v>70</v>
      </c>
      <c r="F144">
        <v>28</v>
      </c>
      <c r="G144">
        <v>15</v>
      </c>
      <c r="H144">
        <v>43</v>
      </c>
      <c r="I144" t="s">
        <v>1788</v>
      </c>
    </row>
    <row r="145" spans="1:9" x14ac:dyDescent="0.25">
      <c r="A145">
        <v>143</v>
      </c>
      <c r="B145" t="s">
        <v>1809</v>
      </c>
      <c r="C145" t="s">
        <v>1732</v>
      </c>
      <c r="D145" t="s">
        <v>1719</v>
      </c>
      <c r="E145">
        <v>82</v>
      </c>
      <c r="F145">
        <v>9</v>
      </c>
      <c r="G145">
        <v>34</v>
      </c>
      <c r="H145">
        <v>43</v>
      </c>
      <c r="I145" t="s">
        <v>1810</v>
      </c>
    </row>
    <row r="146" spans="1:9" x14ac:dyDescent="0.25">
      <c r="A146">
        <v>144</v>
      </c>
      <c r="B146" t="s">
        <v>1811</v>
      </c>
      <c r="C146" t="s">
        <v>1738</v>
      </c>
      <c r="D146" t="s">
        <v>1711</v>
      </c>
      <c r="E146">
        <v>81</v>
      </c>
      <c r="F146">
        <v>22</v>
      </c>
      <c r="G146">
        <v>21</v>
      </c>
      <c r="H146">
        <v>43</v>
      </c>
      <c r="I146" t="s">
        <v>1812</v>
      </c>
    </row>
    <row r="147" spans="1:9" x14ac:dyDescent="0.25">
      <c r="A147">
        <v>145</v>
      </c>
      <c r="B147" t="s">
        <v>693</v>
      </c>
      <c r="C147" t="s">
        <v>1700</v>
      </c>
      <c r="D147" t="s">
        <v>1701</v>
      </c>
      <c r="E147">
        <v>82</v>
      </c>
      <c r="F147">
        <v>18</v>
      </c>
      <c r="G147">
        <v>25</v>
      </c>
      <c r="H147">
        <v>43</v>
      </c>
      <c r="I147" t="s">
        <v>1810</v>
      </c>
    </row>
    <row r="148" spans="1:9" x14ac:dyDescent="0.25">
      <c r="A148">
        <v>146</v>
      </c>
      <c r="B148" t="s">
        <v>1813</v>
      </c>
      <c r="C148" t="s">
        <v>1700</v>
      </c>
      <c r="D148" t="s">
        <v>1711</v>
      </c>
      <c r="E148">
        <v>81</v>
      </c>
      <c r="F148">
        <v>27</v>
      </c>
      <c r="G148">
        <v>15</v>
      </c>
      <c r="H148">
        <v>42</v>
      </c>
      <c r="I148" t="s">
        <v>1810</v>
      </c>
    </row>
    <row r="149" spans="1:9" x14ac:dyDescent="0.25">
      <c r="A149">
        <v>147</v>
      </c>
      <c r="B149" t="s">
        <v>685</v>
      </c>
      <c r="C149" t="s">
        <v>1757</v>
      </c>
      <c r="D149" t="s">
        <v>1719</v>
      </c>
      <c r="E149">
        <v>77</v>
      </c>
      <c r="F149">
        <v>6</v>
      </c>
      <c r="G149">
        <v>36</v>
      </c>
      <c r="H149">
        <v>42</v>
      </c>
      <c r="I149" t="s">
        <v>1801</v>
      </c>
    </row>
    <row r="150" spans="1:9" x14ac:dyDescent="0.25">
      <c r="A150">
        <v>148</v>
      </c>
      <c r="B150" t="s">
        <v>1814</v>
      </c>
      <c r="C150" t="s">
        <v>1748</v>
      </c>
      <c r="D150" t="s">
        <v>1701</v>
      </c>
      <c r="E150">
        <v>79</v>
      </c>
      <c r="F150">
        <v>12</v>
      </c>
      <c r="G150">
        <v>30</v>
      </c>
      <c r="H150">
        <v>42</v>
      </c>
      <c r="I150" t="s">
        <v>1812</v>
      </c>
    </row>
    <row r="151" spans="1:9" x14ac:dyDescent="0.25">
      <c r="A151">
        <v>149</v>
      </c>
      <c r="B151" t="s">
        <v>1815</v>
      </c>
      <c r="C151" t="s">
        <v>1745</v>
      </c>
      <c r="D151" t="s">
        <v>1711</v>
      </c>
      <c r="E151">
        <v>81</v>
      </c>
      <c r="F151">
        <v>15</v>
      </c>
      <c r="G151">
        <v>27</v>
      </c>
      <c r="H151">
        <v>42</v>
      </c>
      <c r="I151" t="s">
        <v>1810</v>
      </c>
    </row>
    <row r="152" spans="1:9" x14ac:dyDescent="0.25">
      <c r="A152">
        <v>150</v>
      </c>
      <c r="B152" t="s">
        <v>689</v>
      </c>
      <c r="C152" t="s">
        <v>1746</v>
      </c>
      <c r="D152" t="s">
        <v>1719</v>
      </c>
      <c r="E152">
        <v>75</v>
      </c>
      <c r="F152">
        <v>12</v>
      </c>
      <c r="G152">
        <v>30</v>
      </c>
      <c r="H152">
        <v>42</v>
      </c>
      <c r="I152" t="s">
        <v>1796</v>
      </c>
    </row>
    <row r="153" spans="1:9" x14ac:dyDescent="0.25">
      <c r="A153">
        <v>151</v>
      </c>
      <c r="B153" t="s">
        <v>1816</v>
      </c>
      <c r="C153" t="s">
        <v>1751</v>
      </c>
      <c r="D153" t="s">
        <v>1701</v>
      </c>
      <c r="E153">
        <v>72</v>
      </c>
      <c r="F153">
        <v>18</v>
      </c>
      <c r="G153">
        <v>24</v>
      </c>
      <c r="H153">
        <v>42</v>
      </c>
      <c r="I153" t="s">
        <v>1817</v>
      </c>
    </row>
    <row r="154" spans="1:9" x14ac:dyDescent="0.25">
      <c r="A154">
        <v>152</v>
      </c>
      <c r="B154" t="s">
        <v>105</v>
      </c>
      <c r="C154" t="s">
        <v>1735</v>
      </c>
      <c r="D154" t="s">
        <v>1711</v>
      </c>
      <c r="E154">
        <v>69</v>
      </c>
      <c r="F154">
        <v>19</v>
      </c>
      <c r="G154">
        <v>23</v>
      </c>
      <c r="H154">
        <v>42</v>
      </c>
      <c r="I154" t="s">
        <v>1788</v>
      </c>
    </row>
    <row r="155" spans="1:9" x14ac:dyDescent="0.25">
      <c r="A155">
        <v>153</v>
      </c>
      <c r="B155" t="s">
        <v>90</v>
      </c>
      <c r="C155" t="s">
        <v>1738</v>
      </c>
      <c r="D155" t="s">
        <v>1719</v>
      </c>
      <c r="E155">
        <v>78</v>
      </c>
      <c r="F155">
        <v>17</v>
      </c>
      <c r="G155">
        <v>25</v>
      </c>
      <c r="H155">
        <v>42</v>
      </c>
      <c r="I155" t="s">
        <v>1806</v>
      </c>
    </row>
    <row r="156" spans="1:9" x14ac:dyDescent="0.25">
      <c r="A156">
        <v>154</v>
      </c>
      <c r="B156" t="s">
        <v>47</v>
      </c>
      <c r="C156" t="s">
        <v>1774</v>
      </c>
      <c r="D156" t="s">
        <v>1701</v>
      </c>
      <c r="E156">
        <v>77</v>
      </c>
      <c r="F156">
        <v>18</v>
      </c>
      <c r="G156">
        <v>23</v>
      </c>
      <c r="H156">
        <v>41</v>
      </c>
      <c r="I156" t="s">
        <v>1812</v>
      </c>
    </row>
    <row r="157" spans="1:9" x14ac:dyDescent="0.25">
      <c r="A157">
        <v>155</v>
      </c>
      <c r="B157" t="s">
        <v>133</v>
      </c>
      <c r="C157" t="s">
        <v>1746</v>
      </c>
      <c r="D157" t="s">
        <v>1701</v>
      </c>
      <c r="E157">
        <v>80</v>
      </c>
      <c r="F157">
        <v>12</v>
      </c>
      <c r="G157">
        <v>29</v>
      </c>
      <c r="H157">
        <v>41</v>
      </c>
      <c r="I157" t="s">
        <v>1818</v>
      </c>
    </row>
    <row r="158" spans="1:9" x14ac:dyDescent="0.25">
      <c r="A158">
        <v>156</v>
      </c>
      <c r="B158" t="s">
        <v>675</v>
      </c>
      <c r="C158" t="s">
        <v>1771</v>
      </c>
      <c r="D158" t="s">
        <v>1719</v>
      </c>
      <c r="E158">
        <v>82</v>
      </c>
      <c r="F158">
        <v>5</v>
      </c>
      <c r="G158">
        <v>36</v>
      </c>
      <c r="H158">
        <v>41</v>
      </c>
      <c r="I158" t="s">
        <v>1819</v>
      </c>
    </row>
    <row r="159" spans="1:9" x14ac:dyDescent="0.25">
      <c r="A159">
        <v>157</v>
      </c>
      <c r="B159" t="s">
        <v>89</v>
      </c>
      <c r="C159" t="s">
        <v>1736</v>
      </c>
      <c r="D159" t="s">
        <v>1701</v>
      </c>
      <c r="E159">
        <v>79</v>
      </c>
      <c r="F159">
        <v>17</v>
      </c>
      <c r="G159">
        <v>24</v>
      </c>
      <c r="H159">
        <v>41</v>
      </c>
      <c r="I159" t="s">
        <v>1810</v>
      </c>
    </row>
    <row r="160" spans="1:9" x14ac:dyDescent="0.25">
      <c r="A160">
        <v>158</v>
      </c>
      <c r="B160" t="s">
        <v>60</v>
      </c>
      <c r="C160" t="s">
        <v>1751</v>
      </c>
      <c r="D160" t="s">
        <v>1706</v>
      </c>
      <c r="E160">
        <v>70</v>
      </c>
      <c r="F160">
        <v>23</v>
      </c>
      <c r="G160">
        <v>18</v>
      </c>
      <c r="H160">
        <v>41</v>
      </c>
      <c r="I160" t="s">
        <v>1793</v>
      </c>
    </row>
    <row r="161" spans="1:9" x14ac:dyDescent="0.25">
      <c r="A161">
        <v>159</v>
      </c>
      <c r="B161" t="s">
        <v>40</v>
      </c>
      <c r="C161" t="s">
        <v>1751</v>
      </c>
      <c r="D161" t="s">
        <v>1719</v>
      </c>
      <c r="E161">
        <v>66</v>
      </c>
      <c r="F161">
        <v>10</v>
      </c>
      <c r="G161">
        <v>30</v>
      </c>
      <c r="H161">
        <v>40</v>
      </c>
      <c r="I161" t="s">
        <v>1788</v>
      </c>
    </row>
    <row r="162" spans="1:9" x14ac:dyDescent="0.25">
      <c r="A162">
        <v>160</v>
      </c>
      <c r="B162" t="s">
        <v>1820</v>
      </c>
      <c r="C162" t="s">
        <v>1745</v>
      </c>
      <c r="D162" t="s">
        <v>1706</v>
      </c>
      <c r="E162">
        <v>82</v>
      </c>
      <c r="F162">
        <v>16</v>
      </c>
      <c r="G162">
        <v>24</v>
      </c>
      <c r="H162">
        <v>40</v>
      </c>
      <c r="I162" t="s">
        <v>1821</v>
      </c>
    </row>
    <row r="163" spans="1:9" x14ac:dyDescent="0.25">
      <c r="A163">
        <v>161</v>
      </c>
      <c r="B163" t="s">
        <v>104</v>
      </c>
      <c r="C163" t="s">
        <v>1721</v>
      </c>
      <c r="D163" t="s">
        <v>1701</v>
      </c>
      <c r="E163">
        <v>66</v>
      </c>
      <c r="F163">
        <v>18</v>
      </c>
      <c r="G163">
        <v>22</v>
      </c>
      <c r="H163">
        <v>40</v>
      </c>
      <c r="I163" t="s">
        <v>1788</v>
      </c>
    </row>
    <row r="164" spans="1:9" x14ac:dyDescent="0.25">
      <c r="A164">
        <v>162</v>
      </c>
      <c r="B164" t="s">
        <v>98</v>
      </c>
      <c r="C164" t="s">
        <v>1772</v>
      </c>
      <c r="D164" t="s">
        <v>1701</v>
      </c>
      <c r="E164">
        <v>82</v>
      </c>
      <c r="F164">
        <v>20</v>
      </c>
      <c r="G164">
        <v>20</v>
      </c>
      <c r="H164">
        <v>40</v>
      </c>
      <c r="I164" t="s">
        <v>1821</v>
      </c>
    </row>
    <row r="165" spans="1:9" x14ac:dyDescent="0.25">
      <c r="A165">
        <v>163</v>
      </c>
      <c r="B165" t="s">
        <v>128</v>
      </c>
      <c r="C165" t="s">
        <v>1735</v>
      </c>
      <c r="D165" t="s">
        <v>1719</v>
      </c>
      <c r="E165">
        <v>82</v>
      </c>
      <c r="F165">
        <v>9</v>
      </c>
      <c r="G165">
        <v>31</v>
      </c>
      <c r="H165">
        <v>40</v>
      </c>
      <c r="I165" t="s">
        <v>1821</v>
      </c>
    </row>
    <row r="166" spans="1:9" x14ac:dyDescent="0.25">
      <c r="A166">
        <v>164</v>
      </c>
      <c r="B166" t="s">
        <v>1822</v>
      </c>
      <c r="C166" t="s">
        <v>1757</v>
      </c>
      <c r="D166" t="s">
        <v>1706</v>
      </c>
      <c r="E166">
        <v>76</v>
      </c>
      <c r="F166">
        <v>27</v>
      </c>
      <c r="G166">
        <v>13</v>
      </c>
      <c r="H166">
        <v>40</v>
      </c>
      <c r="I166" t="s">
        <v>1812</v>
      </c>
    </row>
    <row r="167" spans="1:9" x14ac:dyDescent="0.25">
      <c r="A167">
        <v>165</v>
      </c>
      <c r="B167" t="s">
        <v>1823</v>
      </c>
      <c r="C167" t="s">
        <v>1738</v>
      </c>
      <c r="D167" t="s">
        <v>1711</v>
      </c>
      <c r="E167">
        <v>82</v>
      </c>
      <c r="F167">
        <v>13</v>
      </c>
      <c r="G167">
        <v>27</v>
      </c>
      <c r="H167">
        <v>40</v>
      </c>
      <c r="I167" t="s">
        <v>1821</v>
      </c>
    </row>
    <row r="168" spans="1:9" x14ac:dyDescent="0.25">
      <c r="A168">
        <v>166</v>
      </c>
      <c r="B168" t="s">
        <v>1824</v>
      </c>
      <c r="C168" t="s">
        <v>1713</v>
      </c>
      <c r="D168" t="s">
        <v>1701</v>
      </c>
      <c r="E168">
        <v>68</v>
      </c>
      <c r="F168">
        <v>18</v>
      </c>
      <c r="G168">
        <v>22</v>
      </c>
      <c r="H168">
        <v>40</v>
      </c>
      <c r="I168" t="s">
        <v>1793</v>
      </c>
    </row>
    <row r="169" spans="1:9" x14ac:dyDescent="0.25">
      <c r="A169">
        <v>167</v>
      </c>
      <c r="B169" t="s">
        <v>1825</v>
      </c>
      <c r="C169" t="s">
        <v>1774</v>
      </c>
      <c r="D169" t="s">
        <v>1706</v>
      </c>
      <c r="E169">
        <v>75</v>
      </c>
      <c r="F169">
        <v>20</v>
      </c>
      <c r="G169">
        <v>19</v>
      </c>
      <c r="H169">
        <v>39</v>
      </c>
      <c r="I169" t="s">
        <v>1810</v>
      </c>
    </row>
    <row r="170" spans="1:9" x14ac:dyDescent="0.25">
      <c r="A170">
        <v>168</v>
      </c>
      <c r="B170" t="s">
        <v>668</v>
      </c>
      <c r="C170" t="s">
        <v>1748</v>
      </c>
      <c r="D170" t="s">
        <v>1719</v>
      </c>
      <c r="E170">
        <v>76</v>
      </c>
      <c r="F170">
        <v>7</v>
      </c>
      <c r="G170">
        <v>32</v>
      </c>
      <c r="H170">
        <v>39</v>
      </c>
      <c r="I170" t="s">
        <v>1818</v>
      </c>
    </row>
    <row r="171" spans="1:9" x14ac:dyDescent="0.25">
      <c r="A171">
        <v>169</v>
      </c>
      <c r="B171" t="s">
        <v>666</v>
      </c>
      <c r="C171" t="s">
        <v>1768</v>
      </c>
      <c r="D171" t="s">
        <v>1719</v>
      </c>
      <c r="E171">
        <v>79</v>
      </c>
      <c r="F171">
        <v>12</v>
      </c>
      <c r="G171">
        <v>27</v>
      </c>
      <c r="H171">
        <v>39</v>
      </c>
      <c r="I171" t="s">
        <v>1821</v>
      </c>
    </row>
    <row r="172" spans="1:9" x14ac:dyDescent="0.25">
      <c r="A172">
        <v>170</v>
      </c>
      <c r="B172" t="s">
        <v>74</v>
      </c>
      <c r="C172" t="s">
        <v>1729</v>
      </c>
      <c r="D172" t="s">
        <v>1701</v>
      </c>
      <c r="E172">
        <v>81</v>
      </c>
      <c r="F172">
        <v>14</v>
      </c>
      <c r="G172">
        <v>25</v>
      </c>
      <c r="H172">
        <v>39</v>
      </c>
      <c r="I172" t="s">
        <v>1826</v>
      </c>
    </row>
    <row r="173" spans="1:9" x14ac:dyDescent="0.25">
      <c r="A173">
        <v>171</v>
      </c>
      <c r="B173" t="s">
        <v>82</v>
      </c>
      <c r="C173" t="s">
        <v>1752</v>
      </c>
      <c r="D173" t="s">
        <v>1719</v>
      </c>
      <c r="E173">
        <v>81</v>
      </c>
      <c r="F173">
        <v>12</v>
      </c>
      <c r="G173">
        <v>27</v>
      </c>
      <c r="H173">
        <v>39</v>
      </c>
      <c r="I173" t="s">
        <v>1826</v>
      </c>
    </row>
    <row r="174" spans="1:9" x14ac:dyDescent="0.25">
      <c r="A174">
        <v>172</v>
      </c>
      <c r="B174" t="s">
        <v>1827</v>
      </c>
      <c r="C174" t="s">
        <v>1741</v>
      </c>
      <c r="D174" t="s">
        <v>1719</v>
      </c>
      <c r="E174">
        <v>82</v>
      </c>
      <c r="F174">
        <v>9</v>
      </c>
      <c r="G174">
        <v>30</v>
      </c>
      <c r="H174">
        <v>39</v>
      </c>
      <c r="I174" t="s">
        <v>1826</v>
      </c>
    </row>
    <row r="175" spans="1:9" x14ac:dyDescent="0.25">
      <c r="A175">
        <v>173</v>
      </c>
      <c r="B175" t="s">
        <v>110</v>
      </c>
      <c r="C175" t="s">
        <v>1735</v>
      </c>
      <c r="D175" t="s">
        <v>1701</v>
      </c>
      <c r="E175">
        <v>71</v>
      </c>
      <c r="F175">
        <v>20</v>
      </c>
      <c r="G175">
        <v>19</v>
      </c>
      <c r="H175">
        <v>39</v>
      </c>
      <c r="I175" t="s">
        <v>1801</v>
      </c>
    </row>
    <row r="176" spans="1:9" x14ac:dyDescent="0.25">
      <c r="A176">
        <v>174</v>
      </c>
      <c r="B176" t="s">
        <v>127</v>
      </c>
      <c r="C176" t="s">
        <v>1710</v>
      </c>
      <c r="D176" t="s">
        <v>1701</v>
      </c>
      <c r="E176">
        <v>78</v>
      </c>
      <c r="F176">
        <v>11</v>
      </c>
      <c r="G176">
        <v>28</v>
      </c>
      <c r="H176">
        <v>39</v>
      </c>
      <c r="I176" t="s">
        <v>1819</v>
      </c>
    </row>
    <row r="177" spans="1:9" x14ac:dyDescent="0.25">
      <c r="A177">
        <v>175</v>
      </c>
      <c r="B177" t="s">
        <v>1828</v>
      </c>
      <c r="C177" t="s">
        <v>1724</v>
      </c>
      <c r="D177" t="s">
        <v>1719</v>
      </c>
      <c r="E177">
        <v>80</v>
      </c>
      <c r="F177">
        <v>11</v>
      </c>
      <c r="G177">
        <v>28</v>
      </c>
      <c r="H177">
        <v>39</v>
      </c>
      <c r="I177" t="s">
        <v>1821</v>
      </c>
    </row>
    <row r="178" spans="1:9" x14ac:dyDescent="0.25">
      <c r="A178">
        <v>176</v>
      </c>
      <c r="B178" t="s">
        <v>695</v>
      </c>
      <c r="C178" t="s">
        <v>1708</v>
      </c>
      <c r="D178" t="s">
        <v>1719</v>
      </c>
      <c r="E178">
        <v>78</v>
      </c>
      <c r="F178">
        <v>5</v>
      </c>
      <c r="G178">
        <v>34</v>
      </c>
      <c r="H178">
        <v>39</v>
      </c>
      <c r="I178" t="s">
        <v>1819</v>
      </c>
    </row>
    <row r="179" spans="1:9" x14ac:dyDescent="0.25">
      <c r="A179">
        <v>177</v>
      </c>
      <c r="B179" t="s">
        <v>1829</v>
      </c>
      <c r="C179" t="s">
        <v>1757</v>
      </c>
      <c r="D179" t="s">
        <v>1719</v>
      </c>
      <c r="E179">
        <v>80</v>
      </c>
      <c r="F179">
        <v>5</v>
      </c>
      <c r="G179">
        <v>34</v>
      </c>
      <c r="H179">
        <v>39</v>
      </c>
      <c r="I179" t="s">
        <v>1821</v>
      </c>
    </row>
    <row r="180" spans="1:9" x14ac:dyDescent="0.25">
      <c r="A180">
        <v>178</v>
      </c>
      <c r="B180" t="s">
        <v>680</v>
      </c>
      <c r="C180" t="s">
        <v>1705</v>
      </c>
      <c r="D180" t="s">
        <v>1719</v>
      </c>
      <c r="E180">
        <v>79</v>
      </c>
      <c r="F180">
        <v>3</v>
      </c>
      <c r="G180">
        <v>36</v>
      </c>
      <c r="H180">
        <v>39</v>
      </c>
      <c r="I180" t="s">
        <v>1821</v>
      </c>
    </row>
    <row r="181" spans="1:9" x14ac:dyDescent="0.25">
      <c r="A181">
        <v>179</v>
      </c>
      <c r="B181" t="s">
        <v>669</v>
      </c>
      <c r="C181" t="s">
        <v>1710</v>
      </c>
      <c r="D181" t="s">
        <v>1706</v>
      </c>
      <c r="E181">
        <v>74</v>
      </c>
      <c r="F181">
        <v>17</v>
      </c>
      <c r="G181">
        <v>21</v>
      </c>
      <c r="H181">
        <v>38</v>
      </c>
      <c r="I181" t="s">
        <v>1818</v>
      </c>
    </row>
    <row r="182" spans="1:9" x14ac:dyDescent="0.25">
      <c r="A182">
        <v>180</v>
      </c>
      <c r="B182" t="s">
        <v>1830</v>
      </c>
      <c r="C182" t="s">
        <v>1735</v>
      </c>
      <c r="D182" t="s">
        <v>1719</v>
      </c>
      <c r="E182">
        <v>76</v>
      </c>
      <c r="F182">
        <v>10</v>
      </c>
      <c r="G182">
        <v>28</v>
      </c>
      <c r="H182">
        <v>38</v>
      </c>
      <c r="I182" t="s">
        <v>1819</v>
      </c>
    </row>
    <row r="183" spans="1:9" x14ac:dyDescent="0.25">
      <c r="A183">
        <v>181</v>
      </c>
      <c r="B183" t="s">
        <v>701</v>
      </c>
      <c r="C183" t="s">
        <v>1751</v>
      </c>
      <c r="D183" t="s">
        <v>1719</v>
      </c>
      <c r="E183">
        <v>71</v>
      </c>
      <c r="F183">
        <v>16</v>
      </c>
      <c r="G183">
        <v>22</v>
      </c>
      <c r="H183">
        <v>38</v>
      </c>
      <c r="I183" t="s">
        <v>1806</v>
      </c>
    </row>
    <row r="184" spans="1:9" x14ac:dyDescent="0.25">
      <c r="A184">
        <v>182</v>
      </c>
      <c r="B184" t="s">
        <v>99</v>
      </c>
      <c r="C184" t="s">
        <v>1757</v>
      </c>
      <c r="D184" t="s">
        <v>1706</v>
      </c>
      <c r="E184">
        <v>67</v>
      </c>
      <c r="F184">
        <v>23</v>
      </c>
      <c r="G184">
        <v>15</v>
      </c>
      <c r="H184">
        <v>38</v>
      </c>
      <c r="I184" t="s">
        <v>1798</v>
      </c>
    </row>
    <row r="185" spans="1:9" x14ac:dyDescent="0.25">
      <c r="A185">
        <v>183</v>
      </c>
      <c r="B185" t="s">
        <v>1831</v>
      </c>
      <c r="C185" t="s">
        <v>1700</v>
      </c>
      <c r="D185" t="s">
        <v>1719</v>
      </c>
      <c r="E185">
        <v>82</v>
      </c>
      <c r="F185">
        <v>12</v>
      </c>
      <c r="G185">
        <v>26</v>
      </c>
      <c r="H185">
        <v>38</v>
      </c>
      <c r="I185" t="s">
        <v>1832</v>
      </c>
    </row>
    <row r="186" spans="1:9" x14ac:dyDescent="0.25">
      <c r="A186">
        <v>184</v>
      </c>
      <c r="B186" t="s">
        <v>102</v>
      </c>
      <c r="C186" t="s">
        <v>1774</v>
      </c>
      <c r="D186" t="s">
        <v>1719</v>
      </c>
      <c r="E186">
        <v>74</v>
      </c>
      <c r="F186">
        <v>7</v>
      </c>
      <c r="G186">
        <v>31</v>
      </c>
      <c r="H186">
        <v>38</v>
      </c>
      <c r="I186" t="s">
        <v>1818</v>
      </c>
    </row>
    <row r="187" spans="1:9" x14ac:dyDescent="0.25">
      <c r="A187">
        <v>185</v>
      </c>
      <c r="B187" t="s">
        <v>53</v>
      </c>
      <c r="C187" t="s">
        <v>1768</v>
      </c>
      <c r="D187" t="s">
        <v>1711</v>
      </c>
      <c r="E187">
        <v>59</v>
      </c>
      <c r="F187">
        <v>9</v>
      </c>
      <c r="G187">
        <v>29</v>
      </c>
      <c r="H187">
        <v>38</v>
      </c>
      <c r="I187" t="s">
        <v>1780</v>
      </c>
    </row>
    <row r="188" spans="1:9" x14ac:dyDescent="0.25">
      <c r="A188">
        <v>186</v>
      </c>
      <c r="B188" t="s">
        <v>68</v>
      </c>
      <c r="C188" t="s">
        <v>1757</v>
      </c>
      <c r="D188" t="s">
        <v>1701</v>
      </c>
      <c r="E188">
        <v>56</v>
      </c>
      <c r="F188">
        <v>14</v>
      </c>
      <c r="G188">
        <v>23</v>
      </c>
      <c r="H188">
        <v>37</v>
      </c>
      <c r="I188" t="s">
        <v>1770</v>
      </c>
    </row>
    <row r="189" spans="1:9" x14ac:dyDescent="0.25">
      <c r="A189">
        <v>187</v>
      </c>
      <c r="B189" t="s">
        <v>117</v>
      </c>
      <c r="C189" t="s">
        <v>1745</v>
      </c>
      <c r="D189" t="s">
        <v>1719</v>
      </c>
      <c r="E189">
        <v>75</v>
      </c>
      <c r="F189">
        <v>17</v>
      </c>
      <c r="G189">
        <v>20</v>
      </c>
      <c r="H189">
        <v>37</v>
      </c>
      <c r="I189" t="s">
        <v>1821</v>
      </c>
    </row>
    <row r="190" spans="1:9" x14ac:dyDescent="0.25">
      <c r="A190">
        <v>188</v>
      </c>
      <c r="B190" t="s">
        <v>143</v>
      </c>
      <c r="C190" t="s">
        <v>1771</v>
      </c>
      <c r="D190" t="s">
        <v>1706</v>
      </c>
      <c r="E190">
        <v>80</v>
      </c>
      <c r="F190">
        <v>15</v>
      </c>
      <c r="G190">
        <v>22</v>
      </c>
      <c r="H190">
        <v>37</v>
      </c>
      <c r="I190" t="s">
        <v>1832</v>
      </c>
    </row>
    <row r="191" spans="1:9" x14ac:dyDescent="0.25">
      <c r="A191">
        <v>189</v>
      </c>
      <c r="B191" t="s">
        <v>1833</v>
      </c>
      <c r="C191" t="s">
        <v>1752</v>
      </c>
      <c r="D191" t="s">
        <v>1706</v>
      </c>
      <c r="E191">
        <v>69</v>
      </c>
      <c r="F191">
        <v>15</v>
      </c>
      <c r="G191">
        <v>22</v>
      </c>
      <c r="H191">
        <v>37</v>
      </c>
      <c r="I191" t="s">
        <v>1806</v>
      </c>
    </row>
    <row r="192" spans="1:9" x14ac:dyDescent="0.25">
      <c r="A192">
        <v>190</v>
      </c>
      <c r="B192" t="s">
        <v>113</v>
      </c>
      <c r="C192" t="s">
        <v>1708</v>
      </c>
      <c r="D192" t="s">
        <v>1719</v>
      </c>
      <c r="E192">
        <v>72</v>
      </c>
      <c r="F192">
        <v>9</v>
      </c>
      <c r="G192">
        <v>28</v>
      </c>
      <c r="H192">
        <v>37</v>
      </c>
      <c r="I192" t="s">
        <v>1818</v>
      </c>
    </row>
    <row r="193" spans="1:9" x14ac:dyDescent="0.25">
      <c r="A193">
        <v>191</v>
      </c>
      <c r="B193" t="s">
        <v>121</v>
      </c>
      <c r="C193" t="s">
        <v>1746</v>
      </c>
      <c r="D193" t="s">
        <v>1711</v>
      </c>
      <c r="E193">
        <v>78</v>
      </c>
      <c r="F193">
        <v>13</v>
      </c>
      <c r="G193">
        <v>24</v>
      </c>
      <c r="H193">
        <v>37</v>
      </c>
      <c r="I193" t="s">
        <v>1834</v>
      </c>
    </row>
    <row r="194" spans="1:9" x14ac:dyDescent="0.25">
      <c r="A194">
        <v>192</v>
      </c>
      <c r="B194" t="s">
        <v>1835</v>
      </c>
      <c r="C194" t="s">
        <v>1703</v>
      </c>
      <c r="D194" t="s">
        <v>1701</v>
      </c>
      <c r="E194">
        <v>80</v>
      </c>
      <c r="F194">
        <v>18</v>
      </c>
      <c r="G194">
        <v>19</v>
      </c>
      <c r="H194">
        <v>37</v>
      </c>
      <c r="I194" t="s">
        <v>1832</v>
      </c>
    </row>
    <row r="195" spans="1:9" x14ac:dyDescent="0.25">
      <c r="A195">
        <v>193</v>
      </c>
      <c r="B195" t="s">
        <v>706</v>
      </c>
      <c r="C195" t="s">
        <v>1713</v>
      </c>
      <c r="D195" t="s">
        <v>1711</v>
      </c>
      <c r="E195">
        <v>81</v>
      </c>
      <c r="F195">
        <v>19</v>
      </c>
      <c r="G195">
        <v>17</v>
      </c>
      <c r="H195">
        <v>36</v>
      </c>
      <c r="I195" t="s">
        <v>1836</v>
      </c>
    </row>
    <row r="196" spans="1:9" x14ac:dyDescent="0.25">
      <c r="A196">
        <v>194</v>
      </c>
      <c r="B196" t="s">
        <v>1837</v>
      </c>
      <c r="C196" t="s">
        <v>1732</v>
      </c>
      <c r="D196" t="s">
        <v>1706</v>
      </c>
      <c r="E196">
        <v>82</v>
      </c>
      <c r="F196">
        <v>20</v>
      </c>
      <c r="G196">
        <v>16</v>
      </c>
      <c r="H196">
        <v>36</v>
      </c>
      <c r="I196" t="s">
        <v>1836</v>
      </c>
    </row>
    <row r="197" spans="1:9" x14ac:dyDescent="0.25">
      <c r="A197">
        <v>195</v>
      </c>
      <c r="B197" t="s">
        <v>696</v>
      </c>
      <c r="C197" t="s">
        <v>1768</v>
      </c>
      <c r="D197" t="s">
        <v>1719</v>
      </c>
      <c r="E197">
        <v>82</v>
      </c>
      <c r="F197">
        <v>6</v>
      </c>
      <c r="G197">
        <v>30</v>
      </c>
      <c r="H197">
        <v>36</v>
      </c>
      <c r="I197" t="s">
        <v>1836</v>
      </c>
    </row>
    <row r="198" spans="1:9" x14ac:dyDescent="0.25">
      <c r="A198">
        <v>196</v>
      </c>
      <c r="B198" t="s">
        <v>1838</v>
      </c>
      <c r="C198" t="s">
        <v>1741</v>
      </c>
      <c r="D198" t="s">
        <v>1706</v>
      </c>
      <c r="E198">
        <v>80</v>
      </c>
      <c r="F198">
        <v>14</v>
      </c>
      <c r="G198">
        <v>22</v>
      </c>
      <c r="H198">
        <v>36</v>
      </c>
      <c r="I198" t="s">
        <v>1839</v>
      </c>
    </row>
    <row r="199" spans="1:9" x14ac:dyDescent="0.25">
      <c r="A199">
        <v>197</v>
      </c>
      <c r="B199" t="s">
        <v>1840</v>
      </c>
      <c r="C199" t="s">
        <v>1732</v>
      </c>
      <c r="D199" t="s">
        <v>1719</v>
      </c>
      <c r="E199">
        <v>82</v>
      </c>
      <c r="F199">
        <v>4</v>
      </c>
      <c r="G199">
        <v>32</v>
      </c>
      <c r="H199">
        <v>36</v>
      </c>
      <c r="I199" t="s">
        <v>1836</v>
      </c>
    </row>
    <row r="200" spans="1:9" x14ac:dyDescent="0.25">
      <c r="A200">
        <v>198</v>
      </c>
      <c r="B200" t="s">
        <v>670</v>
      </c>
      <c r="C200" t="s">
        <v>1738</v>
      </c>
      <c r="D200" t="s">
        <v>1719</v>
      </c>
      <c r="E200">
        <v>62</v>
      </c>
      <c r="F200">
        <v>6</v>
      </c>
      <c r="G200">
        <v>30</v>
      </c>
      <c r="H200">
        <v>36</v>
      </c>
      <c r="I200" t="s">
        <v>1817</v>
      </c>
    </row>
    <row r="201" spans="1:9" x14ac:dyDescent="0.25">
      <c r="A201">
        <v>199</v>
      </c>
      <c r="B201" t="s">
        <v>690</v>
      </c>
      <c r="C201" t="s">
        <v>1736</v>
      </c>
      <c r="D201" t="s">
        <v>1719</v>
      </c>
      <c r="E201">
        <v>72</v>
      </c>
      <c r="F201">
        <v>14</v>
      </c>
      <c r="G201">
        <v>22</v>
      </c>
      <c r="H201">
        <v>36</v>
      </c>
      <c r="I201" t="s">
        <v>1819</v>
      </c>
    </row>
    <row r="202" spans="1:9" x14ac:dyDescent="0.25">
      <c r="A202">
        <v>200</v>
      </c>
      <c r="B202" t="s">
        <v>688</v>
      </c>
      <c r="C202" t="s">
        <v>1752</v>
      </c>
      <c r="D202" t="s">
        <v>1719</v>
      </c>
      <c r="E202">
        <v>82</v>
      </c>
      <c r="F202">
        <v>6</v>
      </c>
      <c r="G202">
        <v>30</v>
      </c>
      <c r="H202">
        <v>36</v>
      </c>
      <c r="I202" t="s">
        <v>1836</v>
      </c>
    </row>
    <row r="203" spans="1:9" x14ac:dyDescent="0.25">
      <c r="A203">
        <v>201</v>
      </c>
      <c r="B203" t="s">
        <v>1841</v>
      </c>
      <c r="C203" t="s">
        <v>1736</v>
      </c>
      <c r="D203" t="s">
        <v>1706</v>
      </c>
      <c r="E203">
        <v>60</v>
      </c>
      <c r="F203">
        <v>17</v>
      </c>
      <c r="G203">
        <v>19</v>
      </c>
      <c r="H203">
        <v>36</v>
      </c>
      <c r="I203" t="s">
        <v>1790</v>
      </c>
    </row>
    <row r="204" spans="1:9" x14ac:dyDescent="0.25">
      <c r="A204">
        <v>202</v>
      </c>
      <c r="B204" t="s">
        <v>1842</v>
      </c>
      <c r="C204" t="s">
        <v>1708</v>
      </c>
      <c r="D204" t="s">
        <v>1711</v>
      </c>
      <c r="E204">
        <v>64</v>
      </c>
      <c r="F204">
        <v>12</v>
      </c>
      <c r="G204">
        <v>23</v>
      </c>
      <c r="H204">
        <v>35</v>
      </c>
      <c r="I204" t="s">
        <v>1801</v>
      </c>
    </row>
    <row r="205" spans="1:9" x14ac:dyDescent="0.25">
      <c r="A205">
        <v>203</v>
      </c>
      <c r="B205" t="s">
        <v>1843</v>
      </c>
      <c r="C205" t="s">
        <v>1700</v>
      </c>
      <c r="D205" t="s">
        <v>1719</v>
      </c>
      <c r="E205">
        <v>80</v>
      </c>
      <c r="F205">
        <v>8</v>
      </c>
      <c r="G205">
        <v>27</v>
      </c>
      <c r="H205">
        <v>35</v>
      </c>
      <c r="I205" t="s">
        <v>1836</v>
      </c>
    </row>
    <row r="206" spans="1:9" x14ac:dyDescent="0.25">
      <c r="A206">
        <v>204</v>
      </c>
      <c r="B206" t="s">
        <v>678</v>
      </c>
      <c r="C206" t="s">
        <v>1721</v>
      </c>
      <c r="D206" t="s">
        <v>1719</v>
      </c>
      <c r="E206">
        <v>81</v>
      </c>
      <c r="F206">
        <v>4</v>
      </c>
      <c r="G206">
        <v>31</v>
      </c>
      <c r="H206">
        <v>35</v>
      </c>
      <c r="I206" t="s">
        <v>1844</v>
      </c>
    </row>
    <row r="207" spans="1:9" x14ac:dyDescent="0.25">
      <c r="A207">
        <v>205</v>
      </c>
      <c r="B207" t="s">
        <v>1845</v>
      </c>
      <c r="C207" t="s">
        <v>1779</v>
      </c>
      <c r="D207" t="s">
        <v>1711</v>
      </c>
      <c r="E207">
        <v>68</v>
      </c>
      <c r="F207">
        <v>18</v>
      </c>
      <c r="G207">
        <v>17</v>
      </c>
      <c r="H207">
        <v>35</v>
      </c>
      <c r="I207" t="s">
        <v>1818</v>
      </c>
    </row>
    <row r="208" spans="1:9" x14ac:dyDescent="0.25">
      <c r="A208">
        <v>206</v>
      </c>
      <c r="B208" t="s">
        <v>1846</v>
      </c>
      <c r="C208" t="s">
        <v>1751</v>
      </c>
      <c r="D208" t="s">
        <v>1711</v>
      </c>
      <c r="E208">
        <v>70</v>
      </c>
      <c r="F208">
        <v>12</v>
      </c>
      <c r="G208">
        <v>23</v>
      </c>
      <c r="H208">
        <v>35</v>
      </c>
      <c r="I208" t="s">
        <v>1819</v>
      </c>
    </row>
    <row r="209" spans="1:9" x14ac:dyDescent="0.25">
      <c r="A209">
        <v>207</v>
      </c>
      <c r="B209" t="s">
        <v>1847</v>
      </c>
      <c r="C209" t="s">
        <v>1724</v>
      </c>
      <c r="D209" t="s">
        <v>1711</v>
      </c>
      <c r="E209">
        <v>82</v>
      </c>
      <c r="F209">
        <v>16</v>
      </c>
      <c r="G209">
        <v>19</v>
      </c>
      <c r="H209">
        <v>35</v>
      </c>
      <c r="I209" t="s">
        <v>1844</v>
      </c>
    </row>
    <row r="210" spans="1:9" x14ac:dyDescent="0.25">
      <c r="A210">
        <v>208</v>
      </c>
      <c r="B210" t="s">
        <v>1848</v>
      </c>
      <c r="C210" t="s">
        <v>1763</v>
      </c>
      <c r="D210" t="s">
        <v>1706</v>
      </c>
      <c r="E210">
        <v>82</v>
      </c>
      <c r="F210">
        <v>15</v>
      </c>
      <c r="G210">
        <v>20</v>
      </c>
      <c r="H210">
        <v>35</v>
      </c>
      <c r="I210" t="s">
        <v>1844</v>
      </c>
    </row>
    <row r="211" spans="1:9" x14ac:dyDescent="0.25">
      <c r="A211">
        <v>209</v>
      </c>
      <c r="B211" t="s">
        <v>1849</v>
      </c>
      <c r="C211" t="s">
        <v>1700</v>
      </c>
      <c r="D211" t="s">
        <v>1701</v>
      </c>
      <c r="E211">
        <v>78</v>
      </c>
      <c r="F211">
        <v>16</v>
      </c>
      <c r="G211">
        <v>19</v>
      </c>
      <c r="H211">
        <v>35</v>
      </c>
      <c r="I211" t="s">
        <v>1839</v>
      </c>
    </row>
    <row r="212" spans="1:9" x14ac:dyDescent="0.25">
      <c r="A212">
        <v>210</v>
      </c>
      <c r="B212" t="s">
        <v>1850</v>
      </c>
      <c r="C212" t="s">
        <v>1735</v>
      </c>
      <c r="D212" t="s">
        <v>1719</v>
      </c>
      <c r="E212">
        <v>76</v>
      </c>
      <c r="F212">
        <v>11</v>
      </c>
      <c r="G212">
        <v>23</v>
      </c>
      <c r="H212">
        <v>34</v>
      </c>
      <c r="I212" t="s">
        <v>1839</v>
      </c>
    </row>
    <row r="213" spans="1:9" x14ac:dyDescent="0.25">
      <c r="A213">
        <v>211</v>
      </c>
      <c r="B213" t="s">
        <v>97</v>
      </c>
      <c r="C213" t="s">
        <v>1746</v>
      </c>
      <c r="D213" t="s">
        <v>1701</v>
      </c>
      <c r="E213">
        <v>82</v>
      </c>
      <c r="F213">
        <v>18</v>
      </c>
      <c r="G213">
        <v>16</v>
      </c>
      <c r="H213">
        <v>34</v>
      </c>
      <c r="I213" t="s">
        <v>1851</v>
      </c>
    </row>
    <row r="214" spans="1:9" x14ac:dyDescent="0.25">
      <c r="A214">
        <v>212</v>
      </c>
      <c r="B214" t="s">
        <v>1852</v>
      </c>
      <c r="C214" t="s">
        <v>1779</v>
      </c>
      <c r="D214" t="s">
        <v>1701</v>
      </c>
      <c r="E214">
        <v>81</v>
      </c>
      <c r="F214">
        <v>17</v>
      </c>
      <c r="G214">
        <v>17</v>
      </c>
      <c r="H214">
        <v>34</v>
      </c>
      <c r="I214" t="s">
        <v>1853</v>
      </c>
    </row>
    <row r="215" spans="1:9" x14ac:dyDescent="0.25">
      <c r="A215">
        <v>213</v>
      </c>
      <c r="B215" t="s">
        <v>134</v>
      </c>
      <c r="C215" t="s">
        <v>1748</v>
      </c>
      <c r="D215" t="s">
        <v>1701</v>
      </c>
      <c r="E215">
        <v>66</v>
      </c>
      <c r="F215">
        <v>14</v>
      </c>
      <c r="G215">
        <v>20</v>
      </c>
      <c r="H215">
        <v>34</v>
      </c>
      <c r="I215" t="s">
        <v>1810</v>
      </c>
    </row>
    <row r="216" spans="1:9" x14ac:dyDescent="0.25">
      <c r="A216">
        <v>214</v>
      </c>
      <c r="B216" t="s">
        <v>1854</v>
      </c>
      <c r="C216" t="s">
        <v>1757</v>
      </c>
      <c r="D216" t="s">
        <v>1719</v>
      </c>
      <c r="E216">
        <v>80</v>
      </c>
      <c r="F216">
        <v>11</v>
      </c>
      <c r="G216">
        <v>23</v>
      </c>
      <c r="H216">
        <v>34</v>
      </c>
      <c r="I216" t="s">
        <v>1844</v>
      </c>
    </row>
    <row r="217" spans="1:9" x14ac:dyDescent="0.25">
      <c r="A217">
        <v>215</v>
      </c>
      <c r="B217" t="s">
        <v>667</v>
      </c>
      <c r="C217" t="s">
        <v>1703</v>
      </c>
      <c r="D217" t="s">
        <v>1719</v>
      </c>
      <c r="E217">
        <v>41</v>
      </c>
      <c r="F217">
        <v>5</v>
      </c>
      <c r="G217">
        <v>29</v>
      </c>
      <c r="H217">
        <v>34</v>
      </c>
      <c r="I217" t="s">
        <v>1737</v>
      </c>
    </row>
    <row r="218" spans="1:9" x14ac:dyDescent="0.25">
      <c r="A218">
        <v>216</v>
      </c>
      <c r="B218" t="s">
        <v>1855</v>
      </c>
      <c r="C218" t="s">
        <v>1768</v>
      </c>
      <c r="D218" t="s">
        <v>1706</v>
      </c>
      <c r="E218">
        <v>80</v>
      </c>
      <c r="F218">
        <v>16</v>
      </c>
      <c r="G218">
        <v>18</v>
      </c>
      <c r="H218">
        <v>34</v>
      </c>
      <c r="I218" t="s">
        <v>1844</v>
      </c>
    </row>
    <row r="219" spans="1:9" x14ac:dyDescent="0.25">
      <c r="A219">
        <v>217</v>
      </c>
      <c r="B219" t="s">
        <v>50</v>
      </c>
      <c r="C219" t="s">
        <v>1741</v>
      </c>
      <c r="D219" t="s">
        <v>1701</v>
      </c>
      <c r="E219">
        <v>63</v>
      </c>
      <c r="F219">
        <v>16</v>
      </c>
      <c r="G219">
        <v>18</v>
      </c>
      <c r="H219">
        <v>34</v>
      </c>
      <c r="I219" t="s">
        <v>1806</v>
      </c>
    </row>
    <row r="220" spans="1:9" x14ac:dyDescent="0.25">
      <c r="A220">
        <v>218</v>
      </c>
      <c r="B220" t="s">
        <v>1856</v>
      </c>
      <c r="C220" t="s">
        <v>1721</v>
      </c>
      <c r="D220" t="s">
        <v>1701</v>
      </c>
      <c r="E220">
        <v>82</v>
      </c>
      <c r="F220">
        <v>23</v>
      </c>
      <c r="G220">
        <v>11</v>
      </c>
      <c r="H220">
        <v>34</v>
      </c>
      <c r="I220" t="s">
        <v>1851</v>
      </c>
    </row>
    <row r="221" spans="1:9" x14ac:dyDescent="0.25">
      <c r="A221">
        <v>219</v>
      </c>
      <c r="B221" t="s">
        <v>1857</v>
      </c>
      <c r="C221" t="s">
        <v>1745</v>
      </c>
      <c r="D221" t="s">
        <v>1719</v>
      </c>
      <c r="E221">
        <v>82</v>
      </c>
      <c r="F221">
        <v>5</v>
      </c>
      <c r="G221">
        <v>29</v>
      </c>
      <c r="H221">
        <v>34</v>
      </c>
      <c r="I221" t="s">
        <v>1851</v>
      </c>
    </row>
    <row r="222" spans="1:9" x14ac:dyDescent="0.25">
      <c r="A222">
        <v>220</v>
      </c>
      <c r="B222" t="s">
        <v>58</v>
      </c>
      <c r="C222" t="s">
        <v>1774</v>
      </c>
      <c r="D222" t="s">
        <v>1711</v>
      </c>
      <c r="E222">
        <v>72</v>
      </c>
      <c r="F222">
        <v>18</v>
      </c>
      <c r="G222">
        <v>15</v>
      </c>
      <c r="H222">
        <v>33</v>
      </c>
      <c r="I222" t="s">
        <v>1832</v>
      </c>
    </row>
    <row r="223" spans="1:9" x14ac:dyDescent="0.25">
      <c r="A223">
        <v>221</v>
      </c>
      <c r="B223" t="s">
        <v>1858</v>
      </c>
      <c r="C223" t="s">
        <v>1715</v>
      </c>
      <c r="D223" t="s">
        <v>1719</v>
      </c>
      <c r="E223">
        <v>60</v>
      </c>
      <c r="F223">
        <v>8</v>
      </c>
      <c r="G223">
        <v>25</v>
      </c>
      <c r="H223">
        <v>33</v>
      </c>
      <c r="I223" t="s">
        <v>1801</v>
      </c>
    </row>
    <row r="224" spans="1:9" x14ac:dyDescent="0.25">
      <c r="A224">
        <v>222</v>
      </c>
      <c r="B224" t="s">
        <v>1859</v>
      </c>
      <c r="C224" t="s">
        <v>1729</v>
      </c>
      <c r="D224" t="s">
        <v>1701</v>
      </c>
      <c r="E224">
        <v>82</v>
      </c>
      <c r="F224">
        <v>12</v>
      </c>
      <c r="G224">
        <v>21</v>
      </c>
      <c r="H224">
        <v>33</v>
      </c>
      <c r="I224" t="s">
        <v>1860</v>
      </c>
    </row>
    <row r="225" spans="1:9" x14ac:dyDescent="0.25">
      <c r="A225">
        <v>223</v>
      </c>
      <c r="B225" t="s">
        <v>1861</v>
      </c>
      <c r="C225" t="s">
        <v>1726</v>
      </c>
      <c r="D225" t="s">
        <v>1701</v>
      </c>
      <c r="E225">
        <v>80</v>
      </c>
      <c r="F225">
        <v>12</v>
      </c>
      <c r="G225">
        <v>21</v>
      </c>
      <c r="H225">
        <v>33</v>
      </c>
      <c r="I225" t="s">
        <v>1851</v>
      </c>
    </row>
    <row r="226" spans="1:9" x14ac:dyDescent="0.25">
      <c r="A226">
        <v>224</v>
      </c>
      <c r="B226" t="s">
        <v>1862</v>
      </c>
      <c r="C226" t="s">
        <v>1708</v>
      </c>
      <c r="D226" t="s">
        <v>1719</v>
      </c>
      <c r="E226">
        <v>82</v>
      </c>
      <c r="F226">
        <v>6</v>
      </c>
      <c r="G226">
        <v>27</v>
      </c>
      <c r="H226">
        <v>33</v>
      </c>
      <c r="I226" t="s">
        <v>1860</v>
      </c>
    </row>
    <row r="227" spans="1:9" x14ac:dyDescent="0.25">
      <c r="A227">
        <v>225</v>
      </c>
      <c r="B227" t="s">
        <v>1863</v>
      </c>
      <c r="C227" t="s">
        <v>1768</v>
      </c>
      <c r="D227" t="s">
        <v>1701</v>
      </c>
      <c r="E227">
        <v>78</v>
      </c>
      <c r="F227">
        <v>15</v>
      </c>
      <c r="G227">
        <v>18</v>
      </c>
      <c r="H227">
        <v>33</v>
      </c>
      <c r="I227" t="s">
        <v>1853</v>
      </c>
    </row>
    <row r="228" spans="1:9" x14ac:dyDescent="0.25">
      <c r="A228">
        <v>226</v>
      </c>
      <c r="B228" t="s">
        <v>1864</v>
      </c>
      <c r="C228" t="s">
        <v>1726</v>
      </c>
      <c r="D228" t="s">
        <v>1701</v>
      </c>
      <c r="E228">
        <v>82</v>
      </c>
      <c r="F228">
        <v>13</v>
      </c>
      <c r="G228">
        <v>20</v>
      </c>
      <c r="H228">
        <v>33</v>
      </c>
      <c r="I228" t="s">
        <v>1860</v>
      </c>
    </row>
    <row r="229" spans="1:9" x14ac:dyDescent="0.25">
      <c r="A229">
        <v>227</v>
      </c>
      <c r="B229" t="s">
        <v>1865</v>
      </c>
      <c r="C229" t="s">
        <v>1703</v>
      </c>
      <c r="D229" t="s">
        <v>1701</v>
      </c>
      <c r="E229">
        <v>40</v>
      </c>
      <c r="F229">
        <v>16</v>
      </c>
      <c r="G229">
        <v>17</v>
      </c>
      <c r="H229">
        <v>33</v>
      </c>
      <c r="I229" t="s">
        <v>1737</v>
      </c>
    </row>
    <row r="230" spans="1:9" x14ac:dyDescent="0.25">
      <c r="A230">
        <v>228</v>
      </c>
      <c r="B230" t="s">
        <v>1866</v>
      </c>
      <c r="C230" t="s">
        <v>1739</v>
      </c>
      <c r="D230" t="s">
        <v>1711</v>
      </c>
      <c r="E230">
        <v>82</v>
      </c>
      <c r="F230">
        <v>20</v>
      </c>
      <c r="G230">
        <v>13</v>
      </c>
      <c r="H230">
        <v>33</v>
      </c>
      <c r="I230" t="s">
        <v>1860</v>
      </c>
    </row>
    <row r="231" spans="1:9" x14ac:dyDescent="0.25">
      <c r="A231">
        <v>229</v>
      </c>
      <c r="B231" t="s">
        <v>64</v>
      </c>
      <c r="C231" t="s">
        <v>1736</v>
      </c>
      <c r="D231" t="s">
        <v>1701</v>
      </c>
      <c r="E231">
        <v>80</v>
      </c>
      <c r="F231">
        <v>17</v>
      </c>
      <c r="G231">
        <v>15</v>
      </c>
      <c r="H231">
        <v>32</v>
      </c>
      <c r="I231" t="s">
        <v>1860</v>
      </c>
    </row>
    <row r="232" spans="1:9" x14ac:dyDescent="0.25">
      <c r="A232">
        <v>230</v>
      </c>
      <c r="B232" t="s">
        <v>1867</v>
      </c>
      <c r="C232" t="s">
        <v>1729</v>
      </c>
      <c r="D232" t="s">
        <v>1701</v>
      </c>
      <c r="E232">
        <v>74</v>
      </c>
      <c r="F232">
        <v>16</v>
      </c>
      <c r="G232">
        <v>16</v>
      </c>
      <c r="H232">
        <v>32</v>
      </c>
      <c r="I232" t="s">
        <v>1844</v>
      </c>
    </row>
    <row r="233" spans="1:9" x14ac:dyDescent="0.25">
      <c r="A233">
        <v>231</v>
      </c>
      <c r="B233" t="s">
        <v>1868</v>
      </c>
      <c r="C233" t="s">
        <v>1763</v>
      </c>
      <c r="D233" t="s">
        <v>1711</v>
      </c>
      <c r="E233">
        <v>81</v>
      </c>
      <c r="F233">
        <v>14</v>
      </c>
      <c r="G233">
        <v>18</v>
      </c>
      <c r="H233">
        <v>32</v>
      </c>
      <c r="I233" t="s">
        <v>1860</v>
      </c>
    </row>
    <row r="234" spans="1:9" x14ac:dyDescent="0.25">
      <c r="A234">
        <v>232</v>
      </c>
      <c r="B234" t="s">
        <v>704</v>
      </c>
      <c r="C234" t="s">
        <v>1732</v>
      </c>
      <c r="D234" t="s">
        <v>1701</v>
      </c>
      <c r="E234">
        <v>82</v>
      </c>
      <c r="F234">
        <v>14</v>
      </c>
      <c r="G234">
        <v>18</v>
      </c>
      <c r="H234">
        <v>32</v>
      </c>
      <c r="I234" t="s">
        <v>1869</v>
      </c>
    </row>
    <row r="235" spans="1:9" x14ac:dyDescent="0.25">
      <c r="A235">
        <v>233</v>
      </c>
      <c r="B235" t="s">
        <v>1870</v>
      </c>
      <c r="C235" t="s">
        <v>1779</v>
      </c>
      <c r="D235" t="s">
        <v>1701</v>
      </c>
      <c r="E235">
        <v>69</v>
      </c>
      <c r="F235">
        <v>19</v>
      </c>
      <c r="G235">
        <v>13</v>
      </c>
      <c r="H235">
        <v>32</v>
      </c>
      <c r="I235" t="s">
        <v>1832</v>
      </c>
    </row>
    <row r="236" spans="1:9" x14ac:dyDescent="0.25">
      <c r="A236">
        <v>234</v>
      </c>
      <c r="B236" t="s">
        <v>1871</v>
      </c>
      <c r="C236" t="s">
        <v>1729</v>
      </c>
      <c r="D236" t="s">
        <v>1711</v>
      </c>
      <c r="E236">
        <v>81</v>
      </c>
      <c r="F236">
        <v>14</v>
      </c>
      <c r="G236">
        <v>18</v>
      </c>
      <c r="H236">
        <v>32</v>
      </c>
      <c r="I236" t="s">
        <v>1860</v>
      </c>
    </row>
    <row r="237" spans="1:9" x14ac:dyDescent="0.25">
      <c r="A237">
        <v>235</v>
      </c>
      <c r="B237" t="s">
        <v>153</v>
      </c>
      <c r="C237" t="s">
        <v>1772</v>
      </c>
      <c r="D237" t="s">
        <v>1711</v>
      </c>
      <c r="E237">
        <v>61</v>
      </c>
      <c r="F237">
        <v>10</v>
      </c>
      <c r="G237">
        <v>21</v>
      </c>
      <c r="H237">
        <v>31</v>
      </c>
      <c r="I237" t="s">
        <v>1818</v>
      </c>
    </row>
    <row r="238" spans="1:9" x14ac:dyDescent="0.25">
      <c r="A238">
        <v>236</v>
      </c>
      <c r="B238" t="s">
        <v>1872</v>
      </c>
      <c r="C238" t="s">
        <v>1729</v>
      </c>
      <c r="D238" t="s">
        <v>1711</v>
      </c>
      <c r="E238">
        <v>75</v>
      </c>
      <c r="F238">
        <v>15</v>
      </c>
      <c r="G238">
        <v>16</v>
      </c>
      <c r="H238">
        <v>31</v>
      </c>
      <c r="I238" t="s">
        <v>1851</v>
      </c>
    </row>
    <row r="239" spans="1:9" x14ac:dyDescent="0.25">
      <c r="A239">
        <v>237</v>
      </c>
      <c r="B239" t="s">
        <v>1873</v>
      </c>
      <c r="C239" t="s">
        <v>1703</v>
      </c>
      <c r="D239" t="s">
        <v>1701</v>
      </c>
      <c r="E239">
        <v>72</v>
      </c>
      <c r="F239">
        <v>13</v>
      </c>
      <c r="G239">
        <v>18</v>
      </c>
      <c r="H239">
        <v>31</v>
      </c>
      <c r="I239" t="s">
        <v>1844</v>
      </c>
    </row>
    <row r="240" spans="1:9" x14ac:dyDescent="0.25">
      <c r="A240">
        <v>238</v>
      </c>
      <c r="B240" t="s">
        <v>1874</v>
      </c>
      <c r="C240" t="s">
        <v>1705</v>
      </c>
      <c r="D240" t="s">
        <v>1711</v>
      </c>
      <c r="E240">
        <v>76</v>
      </c>
      <c r="F240">
        <v>19</v>
      </c>
      <c r="G240">
        <v>12</v>
      </c>
      <c r="H240">
        <v>31</v>
      </c>
      <c r="I240" t="s">
        <v>1851</v>
      </c>
    </row>
    <row r="241" spans="1:9" x14ac:dyDescent="0.25">
      <c r="A241">
        <v>239</v>
      </c>
      <c r="B241" t="s">
        <v>80</v>
      </c>
      <c r="C241" t="s">
        <v>1739</v>
      </c>
      <c r="D241" t="s">
        <v>1711</v>
      </c>
      <c r="E241">
        <v>78</v>
      </c>
      <c r="F241">
        <v>23</v>
      </c>
      <c r="G241">
        <v>8</v>
      </c>
      <c r="H241">
        <v>31</v>
      </c>
      <c r="I241" t="s">
        <v>1860</v>
      </c>
    </row>
    <row r="242" spans="1:9" x14ac:dyDescent="0.25">
      <c r="A242">
        <v>240</v>
      </c>
      <c r="B242" t="s">
        <v>1875</v>
      </c>
      <c r="C242" t="s">
        <v>1772</v>
      </c>
      <c r="D242" t="s">
        <v>1719</v>
      </c>
      <c r="E242">
        <v>80</v>
      </c>
      <c r="F242">
        <v>3</v>
      </c>
      <c r="G242">
        <v>28</v>
      </c>
      <c r="H242">
        <v>31</v>
      </c>
      <c r="I242" t="s">
        <v>1869</v>
      </c>
    </row>
    <row r="243" spans="1:9" x14ac:dyDescent="0.25">
      <c r="A243">
        <v>241</v>
      </c>
      <c r="B243" t="s">
        <v>1876</v>
      </c>
      <c r="C243" t="s">
        <v>1751</v>
      </c>
      <c r="D243" t="s">
        <v>1701</v>
      </c>
      <c r="E243">
        <v>81</v>
      </c>
      <c r="F243">
        <v>15</v>
      </c>
      <c r="G243">
        <v>16</v>
      </c>
      <c r="H243">
        <v>31</v>
      </c>
      <c r="I243" t="s">
        <v>1877</v>
      </c>
    </row>
    <row r="244" spans="1:9" x14ac:dyDescent="0.25">
      <c r="A244">
        <v>242</v>
      </c>
      <c r="B244" t="s">
        <v>1878</v>
      </c>
      <c r="C244" t="s">
        <v>1739</v>
      </c>
      <c r="D244" t="s">
        <v>1706</v>
      </c>
      <c r="E244">
        <v>69</v>
      </c>
      <c r="F244">
        <v>13</v>
      </c>
      <c r="G244">
        <v>17</v>
      </c>
      <c r="H244">
        <v>30</v>
      </c>
      <c r="I244" t="s">
        <v>1844</v>
      </c>
    </row>
    <row r="245" spans="1:9" x14ac:dyDescent="0.25">
      <c r="A245">
        <v>243</v>
      </c>
      <c r="B245" t="s">
        <v>1879</v>
      </c>
      <c r="C245" t="s">
        <v>1708</v>
      </c>
      <c r="D245" t="s">
        <v>1706</v>
      </c>
      <c r="E245">
        <v>81</v>
      </c>
      <c r="F245">
        <v>13</v>
      </c>
      <c r="G245">
        <v>17</v>
      </c>
      <c r="H245">
        <v>30</v>
      </c>
      <c r="I245" t="s">
        <v>1880</v>
      </c>
    </row>
    <row r="246" spans="1:9" x14ac:dyDescent="0.25">
      <c r="A246">
        <v>244</v>
      </c>
      <c r="B246" t="s">
        <v>709</v>
      </c>
      <c r="C246" t="s">
        <v>1729</v>
      </c>
      <c r="D246" t="s">
        <v>1719</v>
      </c>
      <c r="E246">
        <v>81</v>
      </c>
      <c r="F246">
        <v>9</v>
      </c>
      <c r="G246">
        <v>21</v>
      </c>
      <c r="H246">
        <v>30</v>
      </c>
      <c r="I246" t="s">
        <v>1880</v>
      </c>
    </row>
    <row r="247" spans="1:9" x14ac:dyDescent="0.25">
      <c r="A247">
        <v>245</v>
      </c>
      <c r="B247" t="s">
        <v>1881</v>
      </c>
      <c r="C247" t="s">
        <v>1748</v>
      </c>
      <c r="D247" t="s">
        <v>1719</v>
      </c>
      <c r="E247">
        <v>82</v>
      </c>
      <c r="F247">
        <v>6</v>
      </c>
      <c r="G247">
        <v>24</v>
      </c>
      <c r="H247">
        <v>30</v>
      </c>
      <c r="I247" t="s">
        <v>1880</v>
      </c>
    </row>
    <row r="248" spans="1:9" x14ac:dyDescent="0.25">
      <c r="A248">
        <v>246</v>
      </c>
      <c r="B248" t="s">
        <v>679</v>
      </c>
      <c r="C248" t="s">
        <v>1710</v>
      </c>
      <c r="D248" t="s">
        <v>1719</v>
      </c>
      <c r="E248">
        <v>75</v>
      </c>
      <c r="F248">
        <v>10</v>
      </c>
      <c r="G248">
        <v>19</v>
      </c>
      <c r="H248">
        <v>29</v>
      </c>
      <c r="I248" t="s">
        <v>1869</v>
      </c>
    </row>
    <row r="249" spans="1:9" x14ac:dyDescent="0.25">
      <c r="A249">
        <v>247</v>
      </c>
      <c r="B249" t="s">
        <v>84</v>
      </c>
      <c r="C249" t="s">
        <v>1738</v>
      </c>
      <c r="D249" t="s">
        <v>1706</v>
      </c>
      <c r="E249">
        <v>64</v>
      </c>
      <c r="F249">
        <v>10</v>
      </c>
      <c r="G249">
        <v>19</v>
      </c>
      <c r="H249">
        <v>29</v>
      </c>
      <c r="I249" t="s">
        <v>1839</v>
      </c>
    </row>
    <row r="250" spans="1:9" x14ac:dyDescent="0.25">
      <c r="A250">
        <v>248</v>
      </c>
      <c r="B250" t="s">
        <v>137</v>
      </c>
      <c r="C250" t="s">
        <v>1721</v>
      </c>
      <c r="D250" t="s">
        <v>1701</v>
      </c>
      <c r="E250">
        <v>51</v>
      </c>
      <c r="F250">
        <v>11</v>
      </c>
      <c r="G250">
        <v>18</v>
      </c>
      <c r="H250">
        <v>29</v>
      </c>
      <c r="I250" t="s">
        <v>1798</v>
      </c>
    </row>
    <row r="251" spans="1:9" x14ac:dyDescent="0.25">
      <c r="A251">
        <v>249</v>
      </c>
      <c r="B251" t="s">
        <v>1882</v>
      </c>
      <c r="C251" t="s">
        <v>1718</v>
      </c>
      <c r="D251" t="s">
        <v>1706</v>
      </c>
      <c r="E251">
        <v>78</v>
      </c>
      <c r="F251">
        <v>10</v>
      </c>
      <c r="G251">
        <v>19</v>
      </c>
      <c r="H251">
        <v>29</v>
      </c>
      <c r="I251" t="s">
        <v>1880</v>
      </c>
    </row>
    <row r="252" spans="1:9" x14ac:dyDescent="0.25">
      <c r="A252">
        <v>250</v>
      </c>
      <c r="B252" t="s">
        <v>1883</v>
      </c>
      <c r="C252" t="s">
        <v>1746</v>
      </c>
      <c r="D252" t="s">
        <v>1706</v>
      </c>
      <c r="E252">
        <v>78</v>
      </c>
      <c r="F252">
        <v>17</v>
      </c>
      <c r="G252">
        <v>12</v>
      </c>
      <c r="H252">
        <v>29</v>
      </c>
      <c r="I252" t="s">
        <v>1880</v>
      </c>
    </row>
    <row r="253" spans="1:9" x14ac:dyDescent="0.25">
      <c r="A253">
        <v>251</v>
      </c>
      <c r="B253" t="s">
        <v>1884</v>
      </c>
      <c r="C253" t="s">
        <v>1703</v>
      </c>
      <c r="D253" t="s">
        <v>1711</v>
      </c>
      <c r="E253">
        <v>71</v>
      </c>
      <c r="F253">
        <v>9</v>
      </c>
      <c r="G253">
        <v>20</v>
      </c>
      <c r="H253">
        <v>29</v>
      </c>
      <c r="I253" t="s">
        <v>1851</v>
      </c>
    </row>
    <row r="254" spans="1:9" x14ac:dyDescent="0.25">
      <c r="A254">
        <v>252</v>
      </c>
      <c r="B254" t="s">
        <v>1885</v>
      </c>
      <c r="C254" t="s">
        <v>1745</v>
      </c>
      <c r="D254" t="s">
        <v>1701</v>
      </c>
      <c r="E254">
        <v>67</v>
      </c>
      <c r="F254">
        <v>11</v>
      </c>
      <c r="G254">
        <v>18</v>
      </c>
      <c r="H254">
        <v>29</v>
      </c>
      <c r="I254" t="s">
        <v>1844</v>
      </c>
    </row>
    <row r="255" spans="1:9" x14ac:dyDescent="0.25">
      <c r="A255">
        <v>253</v>
      </c>
      <c r="B255" t="s">
        <v>1886</v>
      </c>
      <c r="C255" t="s">
        <v>1715</v>
      </c>
      <c r="D255" t="s">
        <v>1701</v>
      </c>
      <c r="E255">
        <v>82</v>
      </c>
      <c r="F255">
        <v>15</v>
      </c>
      <c r="G255">
        <v>14</v>
      </c>
      <c r="H255">
        <v>29</v>
      </c>
      <c r="I255" t="s">
        <v>1887</v>
      </c>
    </row>
    <row r="256" spans="1:9" x14ac:dyDescent="0.25">
      <c r="A256">
        <v>254</v>
      </c>
      <c r="B256" t="s">
        <v>707</v>
      </c>
      <c r="C256" t="s">
        <v>1738</v>
      </c>
      <c r="D256" t="s">
        <v>1701</v>
      </c>
      <c r="E256">
        <v>68</v>
      </c>
      <c r="F256">
        <v>12</v>
      </c>
      <c r="G256">
        <v>17</v>
      </c>
      <c r="H256">
        <v>29</v>
      </c>
      <c r="I256" t="s">
        <v>1844</v>
      </c>
    </row>
    <row r="257" spans="1:9" x14ac:dyDescent="0.25">
      <c r="A257">
        <v>255</v>
      </c>
      <c r="B257" t="s">
        <v>1888</v>
      </c>
      <c r="C257" t="s">
        <v>1736</v>
      </c>
      <c r="D257" t="s">
        <v>1701</v>
      </c>
      <c r="E257">
        <v>64</v>
      </c>
      <c r="F257">
        <v>18</v>
      </c>
      <c r="G257">
        <v>11</v>
      </c>
      <c r="H257">
        <v>29</v>
      </c>
      <c r="I257" t="s">
        <v>1839</v>
      </c>
    </row>
    <row r="258" spans="1:9" x14ac:dyDescent="0.25">
      <c r="A258">
        <v>256</v>
      </c>
      <c r="B258" t="s">
        <v>1889</v>
      </c>
      <c r="C258" t="s">
        <v>1745</v>
      </c>
      <c r="D258" t="s">
        <v>1719</v>
      </c>
      <c r="E258">
        <v>81</v>
      </c>
      <c r="F258">
        <v>4</v>
      </c>
      <c r="G258">
        <v>25</v>
      </c>
      <c r="H258">
        <v>29</v>
      </c>
      <c r="I258" t="s">
        <v>1890</v>
      </c>
    </row>
    <row r="259" spans="1:9" x14ac:dyDescent="0.25">
      <c r="A259">
        <v>257</v>
      </c>
      <c r="B259" t="s">
        <v>674</v>
      </c>
      <c r="C259" t="s">
        <v>1751</v>
      </c>
      <c r="D259" t="s">
        <v>1706</v>
      </c>
      <c r="E259">
        <v>78</v>
      </c>
      <c r="F259">
        <v>12</v>
      </c>
      <c r="G259">
        <v>17</v>
      </c>
      <c r="H259">
        <v>29</v>
      </c>
      <c r="I259" t="s">
        <v>1880</v>
      </c>
    </row>
    <row r="260" spans="1:9" x14ac:dyDescent="0.25">
      <c r="A260">
        <v>258</v>
      </c>
      <c r="B260" t="s">
        <v>93</v>
      </c>
      <c r="C260" t="s">
        <v>1771</v>
      </c>
      <c r="D260" t="s">
        <v>1711</v>
      </c>
      <c r="E260">
        <v>69</v>
      </c>
      <c r="F260">
        <v>11</v>
      </c>
      <c r="G260">
        <v>17</v>
      </c>
      <c r="H260">
        <v>28</v>
      </c>
      <c r="I260" t="s">
        <v>1851</v>
      </c>
    </row>
    <row r="261" spans="1:9" x14ac:dyDescent="0.25">
      <c r="A261">
        <v>259</v>
      </c>
      <c r="B261" t="s">
        <v>1891</v>
      </c>
      <c r="C261" t="s">
        <v>1738</v>
      </c>
      <c r="D261" t="s">
        <v>1711</v>
      </c>
      <c r="E261">
        <v>73</v>
      </c>
      <c r="F261">
        <v>18</v>
      </c>
      <c r="G261">
        <v>10</v>
      </c>
      <c r="H261">
        <v>28</v>
      </c>
      <c r="I261" t="s">
        <v>1877</v>
      </c>
    </row>
    <row r="262" spans="1:9" x14ac:dyDescent="0.25">
      <c r="A262">
        <v>260</v>
      </c>
      <c r="B262" t="s">
        <v>677</v>
      </c>
      <c r="C262" t="s">
        <v>1751</v>
      </c>
      <c r="D262" t="s">
        <v>1706</v>
      </c>
      <c r="E262">
        <v>67</v>
      </c>
      <c r="F262">
        <v>13</v>
      </c>
      <c r="G262">
        <v>15</v>
      </c>
      <c r="H262">
        <v>28</v>
      </c>
      <c r="I262" t="s">
        <v>1853</v>
      </c>
    </row>
    <row r="263" spans="1:9" x14ac:dyDescent="0.25">
      <c r="A263">
        <v>261</v>
      </c>
      <c r="B263" t="s">
        <v>1892</v>
      </c>
      <c r="C263" t="s">
        <v>1771</v>
      </c>
      <c r="D263" t="s">
        <v>1719</v>
      </c>
      <c r="E263">
        <v>81</v>
      </c>
      <c r="F263">
        <v>9</v>
      </c>
      <c r="G263">
        <v>19</v>
      </c>
      <c r="H263">
        <v>28</v>
      </c>
      <c r="I263" t="s">
        <v>1887</v>
      </c>
    </row>
    <row r="264" spans="1:9" x14ac:dyDescent="0.25">
      <c r="A264">
        <v>262</v>
      </c>
      <c r="B264" t="s">
        <v>1893</v>
      </c>
      <c r="C264" t="s">
        <v>1724</v>
      </c>
      <c r="D264" t="s">
        <v>1701</v>
      </c>
      <c r="E264">
        <v>72</v>
      </c>
      <c r="F264">
        <v>9</v>
      </c>
      <c r="G264">
        <v>19</v>
      </c>
      <c r="H264">
        <v>28</v>
      </c>
      <c r="I264" t="s">
        <v>1869</v>
      </c>
    </row>
    <row r="265" spans="1:9" x14ac:dyDescent="0.25">
      <c r="A265">
        <v>263</v>
      </c>
      <c r="B265" t="s">
        <v>1894</v>
      </c>
      <c r="C265" t="s">
        <v>1703</v>
      </c>
      <c r="D265" t="s">
        <v>1706</v>
      </c>
      <c r="E265">
        <v>57</v>
      </c>
      <c r="F265">
        <v>15</v>
      </c>
      <c r="G265">
        <v>13</v>
      </c>
      <c r="H265">
        <v>28</v>
      </c>
      <c r="I265" t="s">
        <v>1821</v>
      </c>
    </row>
    <row r="266" spans="1:9" x14ac:dyDescent="0.25">
      <c r="A266">
        <v>264</v>
      </c>
      <c r="B266" t="s">
        <v>1895</v>
      </c>
      <c r="C266" t="s">
        <v>1705</v>
      </c>
      <c r="D266" t="s">
        <v>1701</v>
      </c>
      <c r="E266">
        <v>61</v>
      </c>
      <c r="F266">
        <v>6</v>
      </c>
      <c r="G266">
        <v>22</v>
      </c>
      <c r="H266">
        <v>28</v>
      </c>
      <c r="I266" t="s">
        <v>1832</v>
      </c>
    </row>
    <row r="267" spans="1:9" x14ac:dyDescent="0.25">
      <c r="A267">
        <v>265</v>
      </c>
      <c r="B267" t="s">
        <v>1896</v>
      </c>
      <c r="C267" t="s">
        <v>1748</v>
      </c>
      <c r="D267" t="s">
        <v>1701</v>
      </c>
      <c r="E267">
        <v>70</v>
      </c>
      <c r="F267">
        <v>11</v>
      </c>
      <c r="G267">
        <v>17</v>
      </c>
      <c r="H267">
        <v>28</v>
      </c>
      <c r="I267" t="s">
        <v>1860</v>
      </c>
    </row>
    <row r="268" spans="1:9" x14ac:dyDescent="0.25">
      <c r="A268">
        <v>266</v>
      </c>
      <c r="B268" t="s">
        <v>114</v>
      </c>
      <c r="C268" t="s">
        <v>1738</v>
      </c>
      <c r="D268" t="s">
        <v>1701</v>
      </c>
      <c r="E268">
        <v>78</v>
      </c>
      <c r="F268">
        <v>10</v>
      </c>
      <c r="G268">
        <v>18</v>
      </c>
      <c r="H268">
        <v>28</v>
      </c>
      <c r="I268" t="s">
        <v>1890</v>
      </c>
    </row>
    <row r="269" spans="1:9" x14ac:dyDescent="0.25">
      <c r="A269">
        <v>267</v>
      </c>
      <c r="B269" t="s">
        <v>1897</v>
      </c>
      <c r="C269" t="s">
        <v>1738</v>
      </c>
      <c r="D269" t="s">
        <v>1719</v>
      </c>
      <c r="E269">
        <v>74</v>
      </c>
      <c r="F269">
        <v>4</v>
      </c>
      <c r="G269">
        <v>24</v>
      </c>
      <c r="H269">
        <v>28</v>
      </c>
      <c r="I269" t="s">
        <v>1877</v>
      </c>
    </row>
    <row r="270" spans="1:9" x14ac:dyDescent="0.25">
      <c r="A270">
        <v>268</v>
      </c>
      <c r="B270" t="s">
        <v>671</v>
      </c>
      <c r="C270" t="s">
        <v>1741</v>
      </c>
      <c r="D270" t="s">
        <v>1719</v>
      </c>
      <c r="E270">
        <v>82</v>
      </c>
      <c r="F270">
        <v>9</v>
      </c>
      <c r="G270">
        <v>19</v>
      </c>
      <c r="H270">
        <v>28</v>
      </c>
      <c r="I270" t="s">
        <v>1898</v>
      </c>
    </row>
    <row r="271" spans="1:9" x14ac:dyDescent="0.25">
      <c r="A271">
        <v>269</v>
      </c>
      <c r="B271" t="s">
        <v>1899</v>
      </c>
      <c r="C271" t="s">
        <v>1713</v>
      </c>
      <c r="D271" t="s">
        <v>1701</v>
      </c>
      <c r="E271">
        <v>74</v>
      </c>
      <c r="F271">
        <v>10</v>
      </c>
      <c r="G271">
        <v>18</v>
      </c>
      <c r="H271">
        <v>28</v>
      </c>
      <c r="I271" t="s">
        <v>1877</v>
      </c>
    </row>
    <row r="272" spans="1:9" x14ac:dyDescent="0.25">
      <c r="A272">
        <v>270</v>
      </c>
      <c r="B272" t="s">
        <v>1900</v>
      </c>
      <c r="C272" t="s">
        <v>1732</v>
      </c>
      <c r="D272" t="s">
        <v>1701</v>
      </c>
      <c r="E272">
        <v>82</v>
      </c>
      <c r="F272">
        <v>10</v>
      </c>
      <c r="G272">
        <v>18</v>
      </c>
      <c r="H272">
        <v>28</v>
      </c>
      <c r="I272" t="s">
        <v>1898</v>
      </c>
    </row>
    <row r="273" spans="1:9" x14ac:dyDescent="0.25">
      <c r="A273">
        <v>271</v>
      </c>
      <c r="B273" t="s">
        <v>684</v>
      </c>
      <c r="C273" t="s">
        <v>1718</v>
      </c>
      <c r="D273" t="s">
        <v>1719</v>
      </c>
      <c r="E273">
        <v>75</v>
      </c>
      <c r="F273">
        <v>6</v>
      </c>
      <c r="G273">
        <v>22</v>
      </c>
      <c r="H273">
        <v>28</v>
      </c>
      <c r="I273" t="s">
        <v>1880</v>
      </c>
    </row>
    <row r="274" spans="1:9" x14ac:dyDescent="0.25">
      <c r="A274">
        <v>272</v>
      </c>
      <c r="B274" t="s">
        <v>1901</v>
      </c>
      <c r="C274" t="s">
        <v>1724</v>
      </c>
      <c r="D274" t="s">
        <v>1711</v>
      </c>
      <c r="E274">
        <v>77</v>
      </c>
      <c r="F274">
        <v>14</v>
      </c>
      <c r="G274">
        <v>14</v>
      </c>
      <c r="H274">
        <v>28</v>
      </c>
      <c r="I274" t="s">
        <v>1890</v>
      </c>
    </row>
    <row r="275" spans="1:9" x14ac:dyDescent="0.25">
      <c r="A275">
        <v>273</v>
      </c>
      <c r="B275" t="s">
        <v>1902</v>
      </c>
      <c r="C275" t="s">
        <v>1738</v>
      </c>
      <c r="D275" t="s">
        <v>1719</v>
      </c>
      <c r="E275">
        <v>80</v>
      </c>
      <c r="F275">
        <v>8</v>
      </c>
      <c r="G275">
        <v>20</v>
      </c>
      <c r="H275">
        <v>28</v>
      </c>
      <c r="I275" t="s">
        <v>1887</v>
      </c>
    </row>
    <row r="276" spans="1:9" x14ac:dyDescent="0.25">
      <c r="A276">
        <v>274</v>
      </c>
      <c r="B276" t="s">
        <v>1903</v>
      </c>
      <c r="C276" t="s">
        <v>1726</v>
      </c>
      <c r="D276" t="s">
        <v>1711</v>
      </c>
      <c r="E276">
        <v>60</v>
      </c>
      <c r="F276">
        <v>12</v>
      </c>
      <c r="G276">
        <v>15</v>
      </c>
      <c r="H276">
        <v>27</v>
      </c>
      <c r="I276" t="s">
        <v>1839</v>
      </c>
    </row>
    <row r="277" spans="1:9" x14ac:dyDescent="0.25">
      <c r="A277">
        <v>275</v>
      </c>
      <c r="B277" t="s">
        <v>464</v>
      </c>
      <c r="C277" t="s">
        <v>1757</v>
      </c>
      <c r="D277" t="s">
        <v>1711</v>
      </c>
      <c r="E277">
        <v>80</v>
      </c>
      <c r="F277">
        <v>16</v>
      </c>
      <c r="G277">
        <v>11</v>
      </c>
      <c r="H277">
        <v>27</v>
      </c>
      <c r="I277" t="s">
        <v>1898</v>
      </c>
    </row>
    <row r="278" spans="1:9" x14ac:dyDescent="0.25">
      <c r="A278">
        <v>276</v>
      </c>
      <c r="B278" t="s">
        <v>681</v>
      </c>
      <c r="C278" t="s">
        <v>1768</v>
      </c>
      <c r="D278" t="s">
        <v>1706</v>
      </c>
      <c r="E278">
        <v>74</v>
      </c>
      <c r="F278">
        <v>6</v>
      </c>
      <c r="G278">
        <v>21</v>
      </c>
      <c r="H278">
        <v>27</v>
      </c>
      <c r="I278" t="s">
        <v>1890</v>
      </c>
    </row>
    <row r="279" spans="1:9" x14ac:dyDescent="0.25">
      <c r="A279">
        <v>277</v>
      </c>
      <c r="B279" t="s">
        <v>151</v>
      </c>
      <c r="C279" t="s">
        <v>1741</v>
      </c>
      <c r="D279" t="s">
        <v>1706</v>
      </c>
      <c r="E279">
        <v>80</v>
      </c>
      <c r="F279">
        <v>14</v>
      </c>
      <c r="G279">
        <v>13</v>
      </c>
      <c r="H279">
        <v>27</v>
      </c>
      <c r="I279" t="s">
        <v>1898</v>
      </c>
    </row>
    <row r="280" spans="1:9" x14ac:dyDescent="0.25">
      <c r="A280">
        <v>278</v>
      </c>
      <c r="B280" t="s">
        <v>697</v>
      </c>
      <c r="C280" t="s">
        <v>1703</v>
      </c>
      <c r="D280" t="s">
        <v>1719</v>
      </c>
      <c r="E280">
        <v>68</v>
      </c>
      <c r="F280">
        <v>6</v>
      </c>
      <c r="G280">
        <v>21</v>
      </c>
      <c r="H280">
        <v>27</v>
      </c>
      <c r="I280" t="s">
        <v>1860</v>
      </c>
    </row>
    <row r="281" spans="1:9" x14ac:dyDescent="0.25">
      <c r="A281">
        <v>279</v>
      </c>
      <c r="B281" t="s">
        <v>1904</v>
      </c>
      <c r="C281" t="s">
        <v>1732</v>
      </c>
      <c r="D281" t="s">
        <v>1719</v>
      </c>
      <c r="E281">
        <v>76</v>
      </c>
      <c r="F281">
        <v>6</v>
      </c>
      <c r="G281">
        <v>21</v>
      </c>
      <c r="H281">
        <v>27</v>
      </c>
      <c r="I281" t="s">
        <v>1890</v>
      </c>
    </row>
    <row r="282" spans="1:9" x14ac:dyDescent="0.25">
      <c r="A282">
        <v>280</v>
      </c>
      <c r="B282" t="s">
        <v>31</v>
      </c>
      <c r="C282" t="s">
        <v>1771</v>
      </c>
      <c r="D282" t="s">
        <v>1711</v>
      </c>
      <c r="E282">
        <v>31</v>
      </c>
      <c r="F282">
        <v>10</v>
      </c>
      <c r="G282">
        <v>16</v>
      </c>
      <c r="H282">
        <v>26</v>
      </c>
      <c r="I282" t="s">
        <v>1733</v>
      </c>
    </row>
    <row r="283" spans="1:9" x14ac:dyDescent="0.25">
      <c r="A283">
        <v>281</v>
      </c>
      <c r="B283" t="s">
        <v>1905</v>
      </c>
      <c r="C283" t="s">
        <v>1735</v>
      </c>
      <c r="D283" t="s">
        <v>1701</v>
      </c>
      <c r="E283">
        <v>72</v>
      </c>
      <c r="F283">
        <v>15</v>
      </c>
      <c r="G283">
        <v>11</v>
      </c>
      <c r="H283">
        <v>26</v>
      </c>
      <c r="I283" t="s">
        <v>1890</v>
      </c>
    </row>
    <row r="284" spans="1:9" x14ac:dyDescent="0.25">
      <c r="A284">
        <v>282</v>
      </c>
      <c r="B284" t="s">
        <v>1906</v>
      </c>
      <c r="C284" t="s">
        <v>1703</v>
      </c>
      <c r="D284" t="s">
        <v>1719</v>
      </c>
      <c r="E284">
        <v>81</v>
      </c>
      <c r="F284">
        <v>5</v>
      </c>
      <c r="G284">
        <v>21</v>
      </c>
      <c r="H284">
        <v>26</v>
      </c>
      <c r="I284" t="s">
        <v>1907</v>
      </c>
    </row>
    <row r="285" spans="1:9" x14ac:dyDescent="0.25">
      <c r="A285">
        <v>283</v>
      </c>
      <c r="B285" t="s">
        <v>109</v>
      </c>
      <c r="C285" t="s">
        <v>1718</v>
      </c>
      <c r="D285" t="s">
        <v>1711</v>
      </c>
      <c r="E285">
        <v>81</v>
      </c>
      <c r="F285">
        <v>10</v>
      </c>
      <c r="G285">
        <v>16</v>
      </c>
      <c r="H285">
        <v>26</v>
      </c>
      <c r="I285" t="s">
        <v>1907</v>
      </c>
    </row>
    <row r="286" spans="1:9" x14ac:dyDescent="0.25">
      <c r="A286">
        <v>284</v>
      </c>
      <c r="B286" t="s">
        <v>140</v>
      </c>
      <c r="C286" t="s">
        <v>1752</v>
      </c>
      <c r="D286" t="s">
        <v>1701</v>
      </c>
      <c r="E286">
        <v>81</v>
      </c>
      <c r="F286">
        <v>13</v>
      </c>
      <c r="G286">
        <v>13</v>
      </c>
      <c r="H286">
        <v>26</v>
      </c>
      <c r="I286" t="s">
        <v>1907</v>
      </c>
    </row>
    <row r="287" spans="1:9" x14ac:dyDescent="0.25">
      <c r="A287">
        <v>285</v>
      </c>
      <c r="B287" t="s">
        <v>1908</v>
      </c>
      <c r="C287" t="s">
        <v>1718</v>
      </c>
      <c r="D287" t="s">
        <v>1719</v>
      </c>
      <c r="E287">
        <v>81</v>
      </c>
      <c r="F287">
        <v>4</v>
      </c>
      <c r="G287">
        <v>22</v>
      </c>
      <c r="H287">
        <v>26</v>
      </c>
      <c r="I287" t="s">
        <v>1907</v>
      </c>
    </row>
    <row r="288" spans="1:9" x14ac:dyDescent="0.25">
      <c r="A288">
        <v>286</v>
      </c>
      <c r="B288" t="s">
        <v>1909</v>
      </c>
      <c r="C288" t="s">
        <v>1703</v>
      </c>
      <c r="D288" t="s">
        <v>1711</v>
      </c>
      <c r="E288">
        <v>78</v>
      </c>
      <c r="F288">
        <v>8</v>
      </c>
      <c r="G288">
        <v>18</v>
      </c>
      <c r="H288">
        <v>26</v>
      </c>
      <c r="I288" t="s">
        <v>1910</v>
      </c>
    </row>
    <row r="289" spans="1:9" x14ac:dyDescent="0.25">
      <c r="A289">
        <v>287</v>
      </c>
      <c r="B289" t="s">
        <v>1911</v>
      </c>
      <c r="C289" t="s">
        <v>1710</v>
      </c>
      <c r="D289" t="s">
        <v>1701</v>
      </c>
      <c r="E289">
        <v>82</v>
      </c>
      <c r="F289">
        <v>11</v>
      </c>
      <c r="G289">
        <v>14</v>
      </c>
      <c r="H289">
        <v>25</v>
      </c>
      <c r="I289" t="s">
        <v>1912</v>
      </c>
    </row>
    <row r="290" spans="1:9" x14ac:dyDescent="0.25">
      <c r="A290">
        <v>288</v>
      </c>
      <c r="B290" t="s">
        <v>1913</v>
      </c>
      <c r="C290" t="s">
        <v>1752</v>
      </c>
      <c r="D290" t="s">
        <v>1711</v>
      </c>
      <c r="E290">
        <v>76</v>
      </c>
      <c r="F290">
        <v>15</v>
      </c>
      <c r="G290">
        <v>10</v>
      </c>
      <c r="H290">
        <v>25</v>
      </c>
      <c r="I290" t="s">
        <v>1910</v>
      </c>
    </row>
    <row r="291" spans="1:9" x14ac:dyDescent="0.25">
      <c r="A291">
        <v>289</v>
      </c>
      <c r="B291" t="s">
        <v>1914</v>
      </c>
      <c r="C291" t="s">
        <v>1708</v>
      </c>
      <c r="D291" t="s">
        <v>1711</v>
      </c>
      <c r="E291">
        <v>72</v>
      </c>
      <c r="F291">
        <v>12</v>
      </c>
      <c r="G291">
        <v>13</v>
      </c>
      <c r="H291">
        <v>25</v>
      </c>
      <c r="I291" t="s">
        <v>1887</v>
      </c>
    </row>
    <row r="292" spans="1:9" x14ac:dyDescent="0.25">
      <c r="A292">
        <v>290</v>
      </c>
      <c r="B292" t="s">
        <v>1915</v>
      </c>
      <c r="C292" t="s">
        <v>1708</v>
      </c>
      <c r="D292" t="s">
        <v>1701</v>
      </c>
      <c r="E292">
        <v>81</v>
      </c>
      <c r="F292">
        <v>12</v>
      </c>
      <c r="G292">
        <v>13</v>
      </c>
      <c r="H292">
        <v>25</v>
      </c>
      <c r="I292" t="s">
        <v>1916</v>
      </c>
    </row>
    <row r="293" spans="1:9" x14ac:dyDescent="0.25">
      <c r="A293">
        <v>291</v>
      </c>
      <c r="B293" t="s">
        <v>1917</v>
      </c>
      <c r="C293" t="s">
        <v>1735</v>
      </c>
      <c r="D293" t="s">
        <v>1719</v>
      </c>
      <c r="E293">
        <v>68</v>
      </c>
      <c r="F293">
        <v>3</v>
      </c>
      <c r="G293">
        <v>22</v>
      </c>
      <c r="H293">
        <v>25</v>
      </c>
      <c r="I293" t="s">
        <v>1880</v>
      </c>
    </row>
    <row r="294" spans="1:9" x14ac:dyDescent="0.25">
      <c r="A294">
        <v>292</v>
      </c>
      <c r="B294" t="s">
        <v>1918</v>
      </c>
      <c r="C294" t="s">
        <v>1739</v>
      </c>
      <c r="D294" t="s">
        <v>1701</v>
      </c>
      <c r="E294">
        <v>59</v>
      </c>
      <c r="F294">
        <v>8</v>
      </c>
      <c r="G294">
        <v>17</v>
      </c>
      <c r="H294">
        <v>25</v>
      </c>
      <c r="I294" t="s">
        <v>1853</v>
      </c>
    </row>
    <row r="295" spans="1:9" x14ac:dyDescent="0.25">
      <c r="A295">
        <v>293</v>
      </c>
      <c r="B295" t="s">
        <v>1919</v>
      </c>
      <c r="C295" t="s">
        <v>1739</v>
      </c>
      <c r="D295" t="s">
        <v>1719</v>
      </c>
      <c r="E295">
        <v>82</v>
      </c>
      <c r="F295">
        <v>5</v>
      </c>
      <c r="G295">
        <v>20</v>
      </c>
      <c r="H295">
        <v>25</v>
      </c>
      <c r="I295" t="s">
        <v>1912</v>
      </c>
    </row>
    <row r="296" spans="1:9" x14ac:dyDescent="0.25">
      <c r="A296">
        <v>294</v>
      </c>
      <c r="B296" t="s">
        <v>1920</v>
      </c>
      <c r="C296" t="s">
        <v>1768</v>
      </c>
      <c r="D296" t="s">
        <v>1711</v>
      </c>
      <c r="E296">
        <v>77</v>
      </c>
      <c r="F296">
        <v>11</v>
      </c>
      <c r="G296">
        <v>14</v>
      </c>
      <c r="H296">
        <v>25</v>
      </c>
      <c r="I296" t="s">
        <v>1907</v>
      </c>
    </row>
    <row r="297" spans="1:9" x14ac:dyDescent="0.25">
      <c r="A297">
        <v>295</v>
      </c>
      <c r="B297" t="s">
        <v>145</v>
      </c>
      <c r="C297" t="s">
        <v>1751</v>
      </c>
      <c r="D297" t="s">
        <v>1701</v>
      </c>
      <c r="E297">
        <v>46</v>
      </c>
      <c r="F297">
        <v>4</v>
      </c>
      <c r="G297">
        <v>21</v>
      </c>
      <c r="H297">
        <v>25</v>
      </c>
      <c r="I297" t="s">
        <v>1806</v>
      </c>
    </row>
    <row r="298" spans="1:9" x14ac:dyDescent="0.25">
      <c r="A298">
        <v>296</v>
      </c>
      <c r="B298" t="s">
        <v>73</v>
      </c>
      <c r="C298" t="s">
        <v>1729</v>
      </c>
      <c r="D298" t="s">
        <v>1706</v>
      </c>
      <c r="E298">
        <v>62</v>
      </c>
      <c r="F298">
        <v>13</v>
      </c>
      <c r="G298">
        <v>12</v>
      </c>
      <c r="H298">
        <v>25</v>
      </c>
      <c r="I298" t="s">
        <v>1860</v>
      </c>
    </row>
    <row r="299" spans="1:9" x14ac:dyDescent="0.25">
      <c r="A299">
        <v>297</v>
      </c>
      <c r="B299" t="s">
        <v>1921</v>
      </c>
      <c r="C299" t="s">
        <v>1746</v>
      </c>
      <c r="D299" t="s">
        <v>1701</v>
      </c>
      <c r="E299">
        <v>81</v>
      </c>
      <c r="F299">
        <v>6</v>
      </c>
      <c r="G299">
        <v>19</v>
      </c>
      <c r="H299">
        <v>25</v>
      </c>
      <c r="I299" t="s">
        <v>1916</v>
      </c>
    </row>
    <row r="300" spans="1:9" x14ac:dyDescent="0.25">
      <c r="A300">
        <v>298</v>
      </c>
      <c r="B300" t="s">
        <v>1922</v>
      </c>
      <c r="C300" t="s">
        <v>1752</v>
      </c>
      <c r="D300" t="s">
        <v>1706</v>
      </c>
      <c r="E300">
        <v>74</v>
      </c>
      <c r="F300">
        <v>13</v>
      </c>
      <c r="G300">
        <v>12</v>
      </c>
      <c r="H300">
        <v>25</v>
      </c>
      <c r="I300" t="s">
        <v>1898</v>
      </c>
    </row>
    <row r="301" spans="1:9" x14ac:dyDescent="0.25">
      <c r="A301">
        <v>299</v>
      </c>
      <c r="B301" t="s">
        <v>1923</v>
      </c>
      <c r="C301" t="s">
        <v>1732</v>
      </c>
      <c r="D301" t="s">
        <v>1701</v>
      </c>
      <c r="E301">
        <v>75</v>
      </c>
      <c r="F301">
        <v>13</v>
      </c>
      <c r="G301">
        <v>12</v>
      </c>
      <c r="H301">
        <v>25</v>
      </c>
      <c r="I301" t="s">
        <v>1910</v>
      </c>
    </row>
    <row r="302" spans="1:9" x14ac:dyDescent="0.25">
      <c r="A302">
        <v>300</v>
      </c>
      <c r="B302" t="s">
        <v>1924</v>
      </c>
      <c r="C302" t="s">
        <v>1726</v>
      </c>
      <c r="D302" t="s">
        <v>1706</v>
      </c>
      <c r="E302">
        <v>78</v>
      </c>
      <c r="F302">
        <v>16</v>
      </c>
      <c r="G302">
        <v>8</v>
      </c>
      <c r="H302">
        <v>24</v>
      </c>
      <c r="I302" t="s">
        <v>1916</v>
      </c>
    </row>
    <row r="303" spans="1:9" x14ac:dyDescent="0.25">
      <c r="A303">
        <v>301</v>
      </c>
      <c r="B303" t="s">
        <v>1935</v>
      </c>
      <c r="C303" t="s">
        <v>1700</v>
      </c>
      <c r="D303" t="s">
        <v>1706</v>
      </c>
      <c r="E303">
        <v>79</v>
      </c>
      <c r="F303">
        <v>7</v>
      </c>
      <c r="G303">
        <v>17</v>
      </c>
      <c r="H303">
        <v>24</v>
      </c>
      <c r="I303" t="s">
        <v>1912</v>
      </c>
    </row>
    <row r="304" spans="1:9" x14ac:dyDescent="0.25">
      <c r="A304">
        <v>302</v>
      </c>
      <c r="B304" t="s">
        <v>1936</v>
      </c>
      <c r="C304" t="s">
        <v>1771</v>
      </c>
      <c r="D304" t="s">
        <v>1701</v>
      </c>
      <c r="E304">
        <v>80</v>
      </c>
      <c r="F304">
        <v>9</v>
      </c>
      <c r="G304">
        <v>15</v>
      </c>
      <c r="H304">
        <v>24</v>
      </c>
      <c r="I304" t="s">
        <v>1912</v>
      </c>
    </row>
    <row r="305" spans="1:9" x14ac:dyDescent="0.25">
      <c r="A305">
        <v>303</v>
      </c>
      <c r="B305" t="s">
        <v>1937</v>
      </c>
      <c r="C305" t="s">
        <v>1741</v>
      </c>
      <c r="D305" t="s">
        <v>1701</v>
      </c>
      <c r="E305">
        <v>82</v>
      </c>
      <c r="F305">
        <v>12</v>
      </c>
      <c r="G305">
        <v>12</v>
      </c>
      <c r="H305">
        <v>24</v>
      </c>
      <c r="I305" t="s">
        <v>1938</v>
      </c>
    </row>
    <row r="306" spans="1:9" x14ac:dyDescent="0.25">
      <c r="A306">
        <v>304</v>
      </c>
      <c r="B306" t="s">
        <v>1939</v>
      </c>
      <c r="C306" t="s">
        <v>1739</v>
      </c>
      <c r="D306" t="s">
        <v>1701</v>
      </c>
      <c r="E306">
        <v>66</v>
      </c>
      <c r="F306">
        <v>9</v>
      </c>
      <c r="G306">
        <v>15</v>
      </c>
      <c r="H306">
        <v>24</v>
      </c>
      <c r="I306" t="s">
        <v>1890</v>
      </c>
    </row>
    <row r="307" spans="1:9" x14ac:dyDescent="0.25">
      <c r="A307">
        <v>305</v>
      </c>
      <c r="B307" t="s">
        <v>1940</v>
      </c>
      <c r="C307" t="s">
        <v>1779</v>
      </c>
      <c r="D307" t="s">
        <v>1719</v>
      </c>
      <c r="E307">
        <v>71</v>
      </c>
      <c r="F307">
        <v>3</v>
      </c>
      <c r="G307">
        <v>21</v>
      </c>
      <c r="H307">
        <v>24</v>
      </c>
      <c r="I307" t="s">
        <v>1898</v>
      </c>
    </row>
    <row r="308" spans="1:9" x14ac:dyDescent="0.25">
      <c r="A308">
        <v>306</v>
      </c>
      <c r="B308" t="s">
        <v>1941</v>
      </c>
      <c r="C308" t="s">
        <v>1752</v>
      </c>
      <c r="D308" t="s">
        <v>1706</v>
      </c>
      <c r="E308">
        <v>81</v>
      </c>
      <c r="F308">
        <v>12</v>
      </c>
      <c r="G308">
        <v>12</v>
      </c>
      <c r="H308">
        <v>24</v>
      </c>
      <c r="I308" t="s">
        <v>1912</v>
      </c>
    </row>
    <row r="309" spans="1:9" x14ac:dyDescent="0.25">
      <c r="A309">
        <v>307</v>
      </c>
      <c r="B309" t="s">
        <v>673</v>
      </c>
      <c r="C309" t="s">
        <v>1724</v>
      </c>
      <c r="D309" t="s">
        <v>1719</v>
      </c>
      <c r="E309">
        <v>71</v>
      </c>
      <c r="F309">
        <v>3</v>
      </c>
      <c r="G309">
        <v>21</v>
      </c>
      <c r="H309">
        <v>24</v>
      </c>
      <c r="I309" t="s">
        <v>1898</v>
      </c>
    </row>
    <row r="310" spans="1:9" x14ac:dyDescent="0.25">
      <c r="A310">
        <v>308</v>
      </c>
      <c r="B310" t="s">
        <v>71</v>
      </c>
      <c r="C310" t="s">
        <v>1779</v>
      </c>
      <c r="D310" t="s">
        <v>1711</v>
      </c>
      <c r="E310">
        <v>65</v>
      </c>
      <c r="F310">
        <v>11</v>
      </c>
      <c r="G310">
        <v>13</v>
      </c>
      <c r="H310">
        <v>24</v>
      </c>
      <c r="I310" t="s">
        <v>1880</v>
      </c>
    </row>
    <row r="311" spans="1:9" x14ac:dyDescent="0.25">
      <c r="A311">
        <v>309</v>
      </c>
      <c r="B311" t="s">
        <v>1942</v>
      </c>
      <c r="C311" t="s">
        <v>1772</v>
      </c>
      <c r="D311" t="s">
        <v>1701</v>
      </c>
      <c r="E311">
        <v>70</v>
      </c>
      <c r="F311">
        <v>8</v>
      </c>
      <c r="G311">
        <v>16</v>
      </c>
      <c r="H311">
        <v>24</v>
      </c>
      <c r="I311" t="s">
        <v>1898</v>
      </c>
    </row>
    <row r="312" spans="1:9" x14ac:dyDescent="0.25">
      <c r="A312">
        <v>310</v>
      </c>
      <c r="B312" t="s">
        <v>1943</v>
      </c>
      <c r="C312" t="s">
        <v>1748</v>
      </c>
      <c r="D312" t="s">
        <v>1719</v>
      </c>
      <c r="E312">
        <v>67</v>
      </c>
      <c r="F312">
        <v>6</v>
      </c>
      <c r="G312">
        <v>17</v>
      </c>
      <c r="H312">
        <v>23</v>
      </c>
      <c r="I312" t="s">
        <v>1898</v>
      </c>
    </row>
    <row r="313" spans="1:9" x14ac:dyDescent="0.25">
      <c r="A313">
        <v>311</v>
      </c>
      <c r="B313" t="s">
        <v>1944</v>
      </c>
      <c r="C313" t="s">
        <v>1746</v>
      </c>
      <c r="D313" t="s">
        <v>1719</v>
      </c>
      <c r="E313">
        <v>74</v>
      </c>
      <c r="F313">
        <v>6</v>
      </c>
      <c r="G313">
        <v>17</v>
      </c>
      <c r="H313">
        <v>23</v>
      </c>
      <c r="I313" t="s">
        <v>1916</v>
      </c>
    </row>
    <row r="314" spans="1:9" x14ac:dyDescent="0.25">
      <c r="A314">
        <v>312</v>
      </c>
      <c r="B314" t="s">
        <v>1945</v>
      </c>
      <c r="C314" t="s">
        <v>1774</v>
      </c>
      <c r="D314" t="s">
        <v>1701</v>
      </c>
      <c r="E314">
        <v>75</v>
      </c>
      <c r="F314">
        <v>10</v>
      </c>
      <c r="G314">
        <v>13</v>
      </c>
      <c r="H314">
        <v>23</v>
      </c>
      <c r="I314" t="s">
        <v>1916</v>
      </c>
    </row>
    <row r="315" spans="1:9" x14ac:dyDescent="0.25">
      <c r="A315">
        <v>313</v>
      </c>
      <c r="B315" t="s">
        <v>1946</v>
      </c>
      <c r="C315" t="s">
        <v>1739</v>
      </c>
      <c r="D315" t="s">
        <v>1711</v>
      </c>
      <c r="E315">
        <v>72</v>
      </c>
      <c r="F315">
        <v>12</v>
      </c>
      <c r="G315">
        <v>11</v>
      </c>
      <c r="H315">
        <v>23</v>
      </c>
      <c r="I315" t="s">
        <v>1907</v>
      </c>
    </row>
    <row r="316" spans="1:9" x14ac:dyDescent="0.25">
      <c r="A316">
        <v>314</v>
      </c>
      <c r="B316" t="s">
        <v>1947</v>
      </c>
      <c r="C316" t="s">
        <v>1774</v>
      </c>
      <c r="D316" t="s">
        <v>1706</v>
      </c>
      <c r="E316">
        <v>46</v>
      </c>
      <c r="F316">
        <v>7</v>
      </c>
      <c r="G316">
        <v>16</v>
      </c>
      <c r="H316">
        <v>23</v>
      </c>
      <c r="I316" t="s">
        <v>1819</v>
      </c>
    </row>
    <row r="317" spans="1:9" x14ac:dyDescent="0.25">
      <c r="A317">
        <v>315</v>
      </c>
      <c r="B317" t="s">
        <v>1948</v>
      </c>
      <c r="C317" t="s">
        <v>1763</v>
      </c>
      <c r="D317" t="s">
        <v>1711</v>
      </c>
      <c r="E317">
        <v>80</v>
      </c>
      <c r="F317">
        <v>13</v>
      </c>
      <c r="G317">
        <v>10</v>
      </c>
      <c r="H317">
        <v>23</v>
      </c>
      <c r="I317" t="s">
        <v>1938</v>
      </c>
    </row>
    <row r="318" spans="1:9" x14ac:dyDescent="0.25">
      <c r="A318">
        <v>316</v>
      </c>
      <c r="B318" t="s">
        <v>1949</v>
      </c>
      <c r="C318" t="s">
        <v>1752</v>
      </c>
      <c r="D318" t="s">
        <v>1701</v>
      </c>
      <c r="E318">
        <v>81</v>
      </c>
      <c r="F318">
        <v>6</v>
      </c>
      <c r="G318">
        <v>17</v>
      </c>
      <c r="H318">
        <v>23</v>
      </c>
      <c r="I318" t="s">
        <v>1950</v>
      </c>
    </row>
    <row r="319" spans="1:9" x14ac:dyDescent="0.25">
      <c r="A319">
        <v>317</v>
      </c>
      <c r="B319" t="s">
        <v>1951</v>
      </c>
      <c r="C319" t="s">
        <v>1718</v>
      </c>
      <c r="D319" t="s">
        <v>1701</v>
      </c>
      <c r="E319">
        <v>80</v>
      </c>
      <c r="F319">
        <v>11</v>
      </c>
      <c r="G319">
        <v>12</v>
      </c>
      <c r="H319">
        <v>23</v>
      </c>
      <c r="I319" t="s">
        <v>1938</v>
      </c>
    </row>
    <row r="320" spans="1:9" x14ac:dyDescent="0.25">
      <c r="A320">
        <v>318</v>
      </c>
      <c r="B320" t="s">
        <v>1952</v>
      </c>
      <c r="C320" t="s">
        <v>1708</v>
      </c>
      <c r="D320" t="s">
        <v>1706</v>
      </c>
      <c r="E320">
        <v>66</v>
      </c>
      <c r="F320">
        <v>15</v>
      </c>
      <c r="G320">
        <v>8</v>
      </c>
      <c r="H320">
        <v>23</v>
      </c>
      <c r="I320" t="s">
        <v>1887</v>
      </c>
    </row>
    <row r="321" spans="1:9" x14ac:dyDescent="0.25">
      <c r="A321">
        <v>319</v>
      </c>
      <c r="B321" t="s">
        <v>700</v>
      </c>
      <c r="C321" t="s">
        <v>1739</v>
      </c>
      <c r="D321" t="s">
        <v>1719</v>
      </c>
      <c r="E321">
        <v>66</v>
      </c>
      <c r="F321">
        <v>6</v>
      </c>
      <c r="G321">
        <v>17</v>
      </c>
      <c r="H321">
        <v>23</v>
      </c>
      <c r="I321" t="s">
        <v>1887</v>
      </c>
    </row>
    <row r="322" spans="1:9" x14ac:dyDescent="0.25">
      <c r="A322">
        <v>320</v>
      </c>
      <c r="B322" t="s">
        <v>1953</v>
      </c>
      <c r="C322" t="s">
        <v>1746</v>
      </c>
      <c r="D322" t="s">
        <v>1719</v>
      </c>
      <c r="E322">
        <v>82</v>
      </c>
      <c r="F322">
        <v>5</v>
      </c>
      <c r="G322">
        <v>18</v>
      </c>
      <c r="H322">
        <v>23</v>
      </c>
      <c r="I322" t="s">
        <v>1950</v>
      </c>
    </row>
    <row r="323" spans="1:9" x14ac:dyDescent="0.25">
      <c r="A323">
        <v>321</v>
      </c>
      <c r="B323" t="s">
        <v>691</v>
      </c>
      <c r="C323" t="s">
        <v>1751</v>
      </c>
      <c r="D323" t="s">
        <v>1719</v>
      </c>
      <c r="E323">
        <v>82</v>
      </c>
      <c r="F323">
        <v>3</v>
      </c>
      <c r="G323">
        <v>20</v>
      </c>
      <c r="H323">
        <v>23</v>
      </c>
      <c r="I323" t="s">
        <v>1950</v>
      </c>
    </row>
    <row r="324" spans="1:9" x14ac:dyDescent="0.25">
      <c r="A324">
        <v>322</v>
      </c>
      <c r="B324" t="s">
        <v>1954</v>
      </c>
      <c r="C324" t="s">
        <v>1729</v>
      </c>
      <c r="D324" t="s">
        <v>1711</v>
      </c>
      <c r="E324">
        <v>82</v>
      </c>
      <c r="F324">
        <v>9</v>
      </c>
      <c r="G324">
        <v>14</v>
      </c>
      <c r="H324">
        <v>23</v>
      </c>
      <c r="I324" t="s">
        <v>1950</v>
      </c>
    </row>
    <row r="325" spans="1:9" x14ac:dyDescent="0.25">
      <c r="A325">
        <v>323</v>
      </c>
      <c r="B325" t="s">
        <v>1955</v>
      </c>
      <c r="C325" t="s">
        <v>1741</v>
      </c>
      <c r="D325" t="s">
        <v>1701</v>
      </c>
      <c r="E325">
        <v>70</v>
      </c>
      <c r="F325">
        <v>6</v>
      </c>
      <c r="G325">
        <v>16</v>
      </c>
      <c r="H325">
        <v>22</v>
      </c>
      <c r="I325" t="s">
        <v>1916</v>
      </c>
    </row>
    <row r="326" spans="1:9" x14ac:dyDescent="0.25">
      <c r="A326">
        <v>324</v>
      </c>
      <c r="B326" t="s">
        <v>683</v>
      </c>
      <c r="C326" t="s">
        <v>1713</v>
      </c>
      <c r="D326" t="s">
        <v>1719</v>
      </c>
      <c r="E326">
        <v>73</v>
      </c>
      <c r="F326">
        <v>5</v>
      </c>
      <c r="G326">
        <v>17</v>
      </c>
      <c r="H326">
        <v>22</v>
      </c>
      <c r="I326" t="s">
        <v>1912</v>
      </c>
    </row>
    <row r="327" spans="1:9" x14ac:dyDescent="0.25">
      <c r="A327">
        <v>325</v>
      </c>
      <c r="B327" t="s">
        <v>1956</v>
      </c>
      <c r="C327" t="s">
        <v>1739</v>
      </c>
      <c r="D327" t="s">
        <v>1719</v>
      </c>
      <c r="E327">
        <v>73</v>
      </c>
      <c r="F327">
        <v>5</v>
      </c>
      <c r="G327">
        <v>17</v>
      </c>
      <c r="H327">
        <v>22</v>
      </c>
      <c r="I327" t="s">
        <v>1912</v>
      </c>
    </row>
    <row r="328" spans="1:9" x14ac:dyDescent="0.25">
      <c r="A328">
        <v>326</v>
      </c>
      <c r="B328" t="s">
        <v>115</v>
      </c>
      <c r="C328" t="s">
        <v>1718</v>
      </c>
      <c r="D328" t="s">
        <v>1701</v>
      </c>
      <c r="E328">
        <v>49</v>
      </c>
      <c r="F328">
        <v>10</v>
      </c>
      <c r="G328">
        <v>12</v>
      </c>
      <c r="H328">
        <v>22</v>
      </c>
      <c r="I328" t="s">
        <v>1839</v>
      </c>
    </row>
    <row r="329" spans="1:9" x14ac:dyDescent="0.25">
      <c r="A329">
        <v>327</v>
      </c>
      <c r="B329" t="s">
        <v>1957</v>
      </c>
      <c r="C329" t="s">
        <v>1718</v>
      </c>
      <c r="D329" t="s">
        <v>1701</v>
      </c>
      <c r="E329">
        <v>67</v>
      </c>
      <c r="F329">
        <v>11</v>
      </c>
      <c r="G329">
        <v>11</v>
      </c>
      <c r="H329">
        <v>22</v>
      </c>
      <c r="I329" t="s">
        <v>1910</v>
      </c>
    </row>
    <row r="330" spans="1:9" x14ac:dyDescent="0.25">
      <c r="A330">
        <v>328</v>
      </c>
      <c r="B330" t="s">
        <v>1958</v>
      </c>
      <c r="C330" t="s">
        <v>1772</v>
      </c>
      <c r="D330" t="s">
        <v>1719</v>
      </c>
      <c r="E330">
        <v>63</v>
      </c>
      <c r="F330">
        <v>12</v>
      </c>
      <c r="G330">
        <v>10</v>
      </c>
      <c r="H330">
        <v>22</v>
      </c>
      <c r="I330" t="s">
        <v>1887</v>
      </c>
    </row>
    <row r="331" spans="1:9" x14ac:dyDescent="0.25">
      <c r="A331">
        <v>329</v>
      </c>
      <c r="B331" t="s">
        <v>692</v>
      </c>
      <c r="C331" t="s">
        <v>1721</v>
      </c>
      <c r="D331" t="s">
        <v>1701</v>
      </c>
      <c r="E331">
        <v>64</v>
      </c>
      <c r="F331">
        <v>7</v>
      </c>
      <c r="G331">
        <v>15</v>
      </c>
      <c r="H331">
        <v>22</v>
      </c>
      <c r="I331" t="s">
        <v>1898</v>
      </c>
    </row>
    <row r="332" spans="1:9" x14ac:dyDescent="0.25">
      <c r="A332">
        <v>330</v>
      </c>
      <c r="B332" t="s">
        <v>687</v>
      </c>
      <c r="C332" t="s">
        <v>1703</v>
      </c>
      <c r="D332" t="s">
        <v>1711</v>
      </c>
      <c r="E332">
        <v>61</v>
      </c>
      <c r="F332">
        <v>6</v>
      </c>
      <c r="G332">
        <v>16</v>
      </c>
      <c r="H332">
        <v>22</v>
      </c>
      <c r="I332" t="s">
        <v>1890</v>
      </c>
    </row>
    <row r="333" spans="1:9" x14ac:dyDescent="0.25">
      <c r="A333">
        <v>331</v>
      </c>
      <c r="B333" t="s">
        <v>1959</v>
      </c>
      <c r="C333" t="s">
        <v>1779</v>
      </c>
      <c r="D333" t="s">
        <v>1719</v>
      </c>
      <c r="E333">
        <v>68</v>
      </c>
      <c r="F333">
        <v>6</v>
      </c>
      <c r="G333">
        <v>15</v>
      </c>
      <c r="H333">
        <v>21</v>
      </c>
      <c r="I333" t="s">
        <v>1916</v>
      </c>
    </row>
    <row r="334" spans="1:9" x14ac:dyDescent="0.25">
      <c r="A334">
        <v>332</v>
      </c>
      <c r="B334" t="s">
        <v>1960</v>
      </c>
      <c r="C334" t="s">
        <v>1757</v>
      </c>
      <c r="D334" t="s">
        <v>1706</v>
      </c>
      <c r="E334">
        <v>68</v>
      </c>
      <c r="F334">
        <v>6</v>
      </c>
      <c r="G334">
        <v>15</v>
      </c>
      <c r="H334">
        <v>21</v>
      </c>
      <c r="I334" t="s">
        <v>1916</v>
      </c>
    </row>
    <row r="335" spans="1:9" x14ac:dyDescent="0.25">
      <c r="A335">
        <v>333</v>
      </c>
      <c r="B335" t="s">
        <v>672</v>
      </c>
      <c r="C335" t="s">
        <v>1736</v>
      </c>
      <c r="D335" t="s">
        <v>1711</v>
      </c>
      <c r="E335">
        <v>64</v>
      </c>
      <c r="F335">
        <v>7</v>
      </c>
      <c r="G335">
        <v>14</v>
      </c>
      <c r="H335">
        <v>21</v>
      </c>
      <c r="I335" t="s">
        <v>1910</v>
      </c>
    </row>
    <row r="336" spans="1:9" x14ac:dyDescent="0.25">
      <c r="A336">
        <v>334</v>
      </c>
      <c r="B336" t="s">
        <v>1961</v>
      </c>
      <c r="C336" t="s">
        <v>1710</v>
      </c>
      <c r="D336" t="s">
        <v>1706</v>
      </c>
      <c r="E336">
        <v>58</v>
      </c>
      <c r="F336">
        <v>8</v>
      </c>
      <c r="G336">
        <v>13</v>
      </c>
      <c r="H336">
        <v>21</v>
      </c>
      <c r="I336" t="s">
        <v>1890</v>
      </c>
    </row>
    <row r="337" spans="1:9" x14ac:dyDescent="0.25">
      <c r="A337">
        <v>335</v>
      </c>
      <c r="B337" t="s">
        <v>148</v>
      </c>
      <c r="C337" t="s">
        <v>1771</v>
      </c>
      <c r="D337" t="s">
        <v>1719</v>
      </c>
      <c r="E337">
        <v>68</v>
      </c>
      <c r="F337">
        <v>10</v>
      </c>
      <c r="G337">
        <v>11</v>
      </c>
      <c r="H337">
        <v>21</v>
      </c>
      <c r="I337" t="s">
        <v>1916</v>
      </c>
    </row>
    <row r="338" spans="1:9" x14ac:dyDescent="0.25">
      <c r="A338">
        <v>336</v>
      </c>
      <c r="B338" t="s">
        <v>1962</v>
      </c>
      <c r="C338" t="s">
        <v>1735</v>
      </c>
      <c r="D338" t="s">
        <v>1706</v>
      </c>
      <c r="E338">
        <v>79</v>
      </c>
      <c r="F338">
        <v>13</v>
      </c>
      <c r="G338">
        <v>8</v>
      </c>
      <c r="H338">
        <v>21</v>
      </c>
      <c r="I338" t="s">
        <v>1963</v>
      </c>
    </row>
    <row r="339" spans="1:9" x14ac:dyDescent="0.25">
      <c r="A339">
        <v>337</v>
      </c>
      <c r="B339" t="s">
        <v>1964</v>
      </c>
      <c r="C339" t="s">
        <v>1741</v>
      </c>
      <c r="D339" t="s">
        <v>1706</v>
      </c>
      <c r="E339">
        <v>56</v>
      </c>
      <c r="F339">
        <v>10</v>
      </c>
      <c r="G339">
        <v>11</v>
      </c>
      <c r="H339">
        <v>21</v>
      </c>
      <c r="I339" t="s">
        <v>1877</v>
      </c>
    </row>
    <row r="340" spans="1:9" x14ac:dyDescent="0.25">
      <c r="A340">
        <v>338</v>
      </c>
      <c r="B340" t="s">
        <v>1965</v>
      </c>
      <c r="C340" t="s">
        <v>1768</v>
      </c>
      <c r="D340" t="s">
        <v>1711</v>
      </c>
      <c r="E340">
        <v>57</v>
      </c>
      <c r="F340">
        <v>14</v>
      </c>
      <c r="G340">
        <v>7</v>
      </c>
      <c r="H340">
        <v>21</v>
      </c>
      <c r="I340" t="s">
        <v>1880</v>
      </c>
    </row>
    <row r="341" spans="1:9" x14ac:dyDescent="0.25">
      <c r="A341">
        <v>339</v>
      </c>
      <c r="B341" t="s">
        <v>682</v>
      </c>
      <c r="C341" t="s">
        <v>1724</v>
      </c>
      <c r="D341" t="s">
        <v>1719</v>
      </c>
      <c r="E341">
        <v>66</v>
      </c>
      <c r="F341">
        <v>6</v>
      </c>
      <c r="G341">
        <v>14</v>
      </c>
      <c r="H341">
        <v>20</v>
      </c>
      <c r="I341" t="s">
        <v>1912</v>
      </c>
    </row>
    <row r="342" spans="1:9" x14ac:dyDescent="0.25">
      <c r="A342">
        <v>340</v>
      </c>
      <c r="B342" t="s">
        <v>1966</v>
      </c>
      <c r="C342" t="s">
        <v>1718</v>
      </c>
      <c r="D342" t="s">
        <v>1706</v>
      </c>
      <c r="E342">
        <v>43</v>
      </c>
      <c r="F342">
        <v>8</v>
      </c>
      <c r="G342">
        <v>12</v>
      </c>
      <c r="H342">
        <v>20</v>
      </c>
      <c r="I342" t="s">
        <v>1834</v>
      </c>
    </row>
    <row r="343" spans="1:9" x14ac:dyDescent="0.25">
      <c r="A343">
        <v>341</v>
      </c>
      <c r="B343" t="s">
        <v>1967</v>
      </c>
      <c r="C343" t="s">
        <v>1718</v>
      </c>
      <c r="D343" t="s">
        <v>1706</v>
      </c>
      <c r="E343">
        <v>55</v>
      </c>
      <c r="F343">
        <v>8</v>
      </c>
      <c r="G343">
        <v>12</v>
      </c>
      <c r="H343">
        <v>20</v>
      </c>
      <c r="I343" t="s">
        <v>1890</v>
      </c>
    </row>
    <row r="344" spans="1:9" x14ac:dyDescent="0.25">
      <c r="A344">
        <v>342</v>
      </c>
      <c r="B344" t="s">
        <v>1968</v>
      </c>
      <c r="C344" t="s">
        <v>1763</v>
      </c>
      <c r="D344" t="s">
        <v>1719</v>
      </c>
      <c r="E344">
        <v>76</v>
      </c>
      <c r="F344">
        <v>3</v>
      </c>
      <c r="G344">
        <v>17</v>
      </c>
      <c r="H344">
        <v>20</v>
      </c>
      <c r="I344" t="s">
        <v>1969</v>
      </c>
    </row>
    <row r="345" spans="1:9" x14ac:dyDescent="0.25">
      <c r="A345">
        <v>343</v>
      </c>
      <c r="B345" t="s">
        <v>13</v>
      </c>
      <c r="C345" t="s">
        <v>1713</v>
      </c>
      <c r="D345" t="s">
        <v>1701</v>
      </c>
      <c r="E345">
        <v>17</v>
      </c>
      <c r="F345">
        <v>9</v>
      </c>
      <c r="G345">
        <v>11</v>
      </c>
      <c r="H345">
        <v>20</v>
      </c>
      <c r="I345" t="s">
        <v>1970</v>
      </c>
    </row>
    <row r="346" spans="1:9" x14ac:dyDescent="0.25">
      <c r="A346">
        <v>344</v>
      </c>
      <c r="B346" t="s">
        <v>1971</v>
      </c>
      <c r="C346" t="s">
        <v>1739</v>
      </c>
      <c r="D346" t="s">
        <v>1706</v>
      </c>
      <c r="E346">
        <v>66</v>
      </c>
      <c r="F346">
        <v>5</v>
      </c>
      <c r="G346">
        <v>15</v>
      </c>
      <c r="H346">
        <v>20</v>
      </c>
      <c r="I346" t="s">
        <v>1912</v>
      </c>
    </row>
    <row r="347" spans="1:9" x14ac:dyDescent="0.25">
      <c r="A347">
        <v>345</v>
      </c>
      <c r="B347" t="s">
        <v>1972</v>
      </c>
      <c r="C347" t="s">
        <v>1745</v>
      </c>
      <c r="D347" t="s">
        <v>1719</v>
      </c>
      <c r="E347">
        <v>82</v>
      </c>
      <c r="F347">
        <v>2</v>
      </c>
      <c r="G347">
        <v>18</v>
      </c>
      <c r="H347">
        <v>20</v>
      </c>
      <c r="I347" t="s">
        <v>1973</v>
      </c>
    </row>
    <row r="348" spans="1:9" x14ac:dyDescent="0.25">
      <c r="A348">
        <v>346</v>
      </c>
      <c r="B348" t="s">
        <v>1974</v>
      </c>
      <c r="C348" t="s">
        <v>1746</v>
      </c>
      <c r="D348" t="s">
        <v>1711</v>
      </c>
      <c r="E348">
        <v>69</v>
      </c>
      <c r="F348">
        <v>8</v>
      </c>
      <c r="G348">
        <v>12</v>
      </c>
      <c r="H348">
        <v>20</v>
      </c>
      <c r="I348" t="s">
        <v>1938</v>
      </c>
    </row>
    <row r="349" spans="1:9" x14ac:dyDescent="0.25">
      <c r="A349">
        <v>347</v>
      </c>
      <c r="B349" t="s">
        <v>1975</v>
      </c>
      <c r="C349" t="s">
        <v>1757</v>
      </c>
      <c r="D349" t="s">
        <v>1706</v>
      </c>
      <c r="E349">
        <v>41</v>
      </c>
      <c r="F349">
        <v>8</v>
      </c>
      <c r="G349">
        <v>12</v>
      </c>
      <c r="H349">
        <v>20</v>
      </c>
      <c r="I349" t="s">
        <v>1821</v>
      </c>
    </row>
    <row r="350" spans="1:9" x14ac:dyDescent="0.25">
      <c r="A350">
        <v>348</v>
      </c>
      <c r="B350" t="s">
        <v>1976</v>
      </c>
      <c r="C350" t="s">
        <v>1715</v>
      </c>
      <c r="D350" t="s">
        <v>1719</v>
      </c>
      <c r="E350">
        <v>82</v>
      </c>
      <c r="F350">
        <v>6</v>
      </c>
      <c r="G350">
        <v>14</v>
      </c>
      <c r="H350">
        <v>20</v>
      </c>
      <c r="I350" t="s">
        <v>1973</v>
      </c>
    </row>
    <row r="351" spans="1:9" x14ac:dyDescent="0.25">
      <c r="A351">
        <v>349</v>
      </c>
      <c r="B351" t="s">
        <v>1977</v>
      </c>
      <c r="C351" t="s">
        <v>1757</v>
      </c>
      <c r="D351" t="s">
        <v>1701</v>
      </c>
      <c r="E351">
        <v>65</v>
      </c>
      <c r="F351">
        <v>8</v>
      </c>
      <c r="G351">
        <v>12</v>
      </c>
      <c r="H351">
        <v>20</v>
      </c>
      <c r="I351" t="s">
        <v>1916</v>
      </c>
    </row>
    <row r="352" spans="1:9" x14ac:dyDescent="0.25">
      <c r="A352">
        <v>350</v>
      </c>
      <c r="B352" t="s">
        <v>1978</v>
      </c>
      <c r="C352" t="s">
        <v>1768</v>
      </c>
      <c r="D352" t="s">
        <v>1719</v>
      </c>
      <c r="E352">
        <v>68</v>
      </c>
      <c r="F352">
        <v>7</v>
      </c>
      <c r="G352">
        <v>13</v>
      </c>
      <c r="H352">
        <v>20</v>
      </c>
      <c r="I352" t="s">
        <v>1938</v>
      </c>
    </row>
    <row r="353" spans="1:9" x14ac:dyDescent="0.25">
      <c r="A353">
        <v>351</v>
      </c>
      <c r="B353" t="s">
        <v>1979</v>
      </c>
      <c r="C353" t="s">
        <v>1774</v>
      </c>
      <c r="D353" t="s">
        <v>1711</v>
      </c>
      <c r="E353">
        <v>77</v>
      </c>
      <c r="F353">
        <v>8</v>
      </c>
      <c r="G353">
        <v>12</v>
      </c>
      <c r="H353">
        <v>20</v>
      </c>
      <c r="I353" t="s">
        <v>1969</v>
      </c>
    </row>
    <row r="354" spans="1:9" x14ac:dyDescent="0.25">
      <c r="A354">
        <v>352</v>
      </c>
      <c r="B354" t="s">
        <v>1980</v>
      </c>
      <c r="C354" t="s">
        <v>1739</v>
      </c>
      <c r="D354" t="s">
        <v>1719</v>
      </c>
      <c r="E354">
        <v>76</v>
      </c>
      <c r="F354">
        <v>4</v>
      </c>
      <c r="G354">
        <v>16</v>
      </c>
      <c r="H354">
        <v>20</v>
      </c>
      <c r="I354" t="s">
        <v>1969</v>
      </c>
    </row>
    <row r="355" spans="1:9" x14ac:dyDescent="0.25">
      <c r="A355">
        <v>353</v>
      </c>
      <c r="B355" t="s">
        <v>1981</v>
      </c>
      <c r="C355" t="s">
        <v>1700</v>
      </c>
      <c r="D355" t="s">
        <v>1719</v>
      </c>
      <c r="E355">
        <v>79</v>
      </c>
      <c r="F355">
        <v>4</v>
      </c>
      <c r="G355">
        <v>15</v>
      </c>
      <c r="H355">
        <v>19</v>
      </c>
      <c r="I355" t="s">
        <v>1973</v>
      </c>
    </row>
    <row r="356" spans="1:9" x14ac:dyDescent="0.25">
      <c r="A356">
        <v>354</v>
      </c>
      <c r="B356" t="s">
        <v>703</v>
      </c>
      <c r="C356" t="s">
        <v>1708</v>
      </c>
      <c r="D356" t="s">
        <v>1706</v>
      </c>
      <c r="E356">
        <v>82</v>
      </c>
      <c r="F356">
        <v>7</v>
      </c>
      <c r="G356">
        <v>12</v>
      </c>
      <c r="H356">
        <v>19</v>
      </c>
      <c r="I356" t="s">
        <v>1982</v>
      </c>
    </row>
    <row r="357" spans="1:9" x14ac:dyDescent="0.25">
      <c r="A357">
        <v>355</v>
      </c>
      <c r="B357" t="s">
        <v>1983</v>
      </c>
      <c r="C357" t="s">
        <v>1715</v>
      </c>
      <c r="D357" t="s">
        <v>1706</v>
      </c>
      <c r="E357">
        <v>57</v>
      </c>
      <c r="F357">
        <v>10</v>
      </c>
      <c r="G357">
        <v>9</v>
      </c>
      <c r="H357">
        <v>19</v>
      </c>
      <c r="I357" t="s">
        <v>1910</v>
      </c>
    </row>
    <row r="358" spans="1:9" x14ac:dyDescent="0.25">
      <c r="A358">
        <v>356</v>
      </c>
      <c r="B358" t="s">
        <v>1984</v>
      </c>
      <c r="C358" t="s">
        <v>1779</v>
      </c>
      <c r="D358" t="s">
        <v>1719</v>
      </c>
      <c r="E358">
        <v>71</v>
      </c>
      <c r="F358">
        <v>5</v>
      </c>
      <c r="G358">
        <v>14</v>
      </c>
      <c r="H358">
        <v>19</v>
      </c>
      <c r="I358" t="s">
        <v>1963</v>
      </c>
    </row>
    <row r="359" spans="1:9" x14ac:dyDescent="0.25">
      <c r="A359">
        <v>357</v>
      </c>
      <c r="B359" t="s">
        <v>1985</v>
      </c>
      <c r="C359" t="s">
        <v>1732</v>
      </c>
      <c r="D359" t="s">
        <v>1719</v>
      </c>
      <c r="E359">
        <v>72</v>
      </c>
      <c r="F359">
        <v>1</v>
      </c>
      <c r="G359">
        <v>18</v>
      </c>
      <c r="H359">
        <v>19</v>
      </c>
      <c r="I359" t="s">
        <v>1969</v>
      </c>
    </row>
    <row r="360" spans="1:9" x14ac:dyDescent="0.25">
      <c r="A360">
        <v>358</v>
      </c>
      <c r="B360" t="s">
        <v>1986</v>
      </c>
      <c r="C360" t="s">
        <v>1748</v>
      </c>
      <c r="D360" t="s">
        <v>1706</v>
      </c>
      <c r="E360">
        <v>63</v>
      </c>
      <c r="F360">
        <v>10</v>
      </c>
      <c r="G360">
        <v>9</v>
      </c>
      <c r="H360">
        <v>19</v>
      </c>
      <c r="I360" t="s">
        <v>1912</v>
      </c>
    </row>
    <row r="361" spans="1:9" x14ac:dyDescent="0.25">
      <c r="A361">
        <v>359</v>
      </c>
      <c r="B361" t="s">
        <v>1987</v>
      </c>
      <c r="C361" t="s">
        <v>1703</v>
      </c>
      <c r="D361" t="s">
        <v>1719</v>
      </c>
      <c r="E361">
        <v>56</v>
      </c>
      <c r="F361">
        <v>5</v>
      </c>
      <c r="G361">
        <v>14</v>
      </c>
      <c r="H361">
        <v>19</v>
      </c>
      <c r="I361" t="s">
        <v>1898</v>
      </c>
    </row>
    <row r="362" spans="1:9" x14ac:dyDescent="0.25">
      <c r="A362">
        <v>360</v>
      </c>
      <c r="B362" t="s">
        <v>1988</v>
      </c>
      <c r="C362" t="s">
        <v>1763</v>
      </c>
      <c r="D362" t="s">
        <v>1719</v>
      </c>
      <c r="E362">
        <v>68</v>
      </c>
      <c r="F362">
        <v>3</v>
      </c>
      <c r="G362">
        <v>16</v>
      </c>
      <c r="H362">
        <v>19</v>
      </c>
      <c r="I362" t="s">
        <v>1950</v>
      </c>
    </row>
    <row r="363" spans="1:9" x14ac:dyDescent="0.25">
      <c r="A363">
        <v>361</v>
      </c>
      <c r="B363" t="s">
        <v>1989</v>
      </c>
      <c r="C363" t="s">
        <v>1772</v>
      </c>
      <c r="D363" t="s">
        <v>1706</v>
      </c>
      <c r="E363">
        <v>65</v>
      </c>
      <c r="F363">
        <v>8</v>
      </c>
      <c r="G363">
        <v>11</v>
      </c>
      <c r="H363">
        <v>19</v>
      </c>
      <c r="I363" t="s">
        <v>1938</v>
      </c>
    </row>
    <row r="364" spans="1:9" x14ac:dyDescent="0.25">
      <c r="A364">
        <v>362</v>
      </c>
      <c r="B364" t="s">
        <v>1990</v>
      </c>
      <c r="C364" t="s">
        <v>1726</v>
      </c>
      <c r="D364" t="s">
        <v>1719</v>
      </c>
      <c r="E364">
        <v>73</v>
      </c>
      <c r="F364">
        <v>6</v>
      </c>
      <c r="G364">
        <v>12</v>
      </c>
      <c r="H364">
        <v>18</v>
      </c>
      <c r="I364" t="s">
        <v>1991</v>
      </c>
    </row>
    <row r="365" spans="1:9" x14ac:dyDescent="0.25">
      <c r="A365">
        <v>363</v>
      </c>
      <c r="B365" t="s">
        <v>1992</v>
      </c>
      <c r="C365" t="s">
        <v>1774</v>
      </c>
      <c r="D365" t="s">
        <v>1719</v>
      </c>
      <c r="E365">
        <v>81</v>
      </c>
      <c r="F365">
        <v>5</v>
      </c>
      <c r="G365">
        <v>13</v>
      </c>
      <c r="H365">
        <v>18</v>
      </c>
      <c r="I365" t="s">
        <v>1993</v>
      </c>
    </row>
    <row r="366" spans="1:9" x14ac:dyDescent="0.25">
      <c r="A366">
        <v>364</v>
      </c>
      <c r="B366" t="s">
        <v>1994</v>
      </c>
      <c r="C366" t="s">
        <v>1752</v>
      </c>
      <c r="D366" t="s">
        <v>1719</v>
      </c>
      <c r="E366">
        <v>57</v>
      </c>
      <c r="F366">
        <v>5</v>
      </c>
      <c r="G366">
        <v>13</v>
      </c>
      <c r="H366">
        <v>18</v>
      </c>
      <c r="I366" t="s">
        <v>1907</v>
      </c>
    </row>
    <row r="367" spans="1:9" x14ac:dyDescent="0.25">
      <c r="A367">
        <v>365</v>
      </c>
      <c r="B367" t="s">
        <v>81</v>
      </c>
      <c r="C367" t="s">
        <v>1726</v>
      </c>
      <c r="D367" t="s">
        <v>1711</v>
      </c>
      <c r="E367">
        <v>48</v>
      </c>
      <c r="F367">
        <v>8</v>
      </c>
      <c r="G367">
        <v>10</v>
      </c>
      <c r="H367">
        <v>18</v>
      </c>
      <c r="I367" t="s">
        <v>1877</v>
      </c>
    </row>
    <row r="368" spans="1:9" x14ac:dyDescent="0.25">
      <c r="A368">
        <v>366</v>
      </c>
      <c r="B368" t="s">
        <v>1995</v>
      </c>
      <c r="C368" t="s">
        <v>1721</v>
      </c>
      <c r="D368" t="s">
        <v>1706</v>
      </c>
      <c r="E368">
        <v>73</v>
      </c>
      <c r="F368">
        <v>10</v>
      </c>
      <c r="G368">
        <v>8</v>
      </c>
      <c r="H368">
        <v>18</v>
      </c>
      <c r="I368" t="s">
        <v>1991</v>
      </c>
    </row>
    <row r="369" spans="1:9" x14ac:dyDescent="0.25">
      <c r="A369">
        <v>367</v>
      </c>
      <c r="B369" t="s">
        <v>1996</v>
      </c>
      <c r="C369" t="s">
        <v>1774</v>
      </c>
      <c r="D369" t="s">
        <v>1706</v>
      </c>
      <c r="E369">
        <v>65</v>
      </c>
      <c r="F369">
        <v>12</v>
      </c>
      <c r="G369">
        <v>6</v>
      </c>
      <c r="H369">
        <v>18</v>
      </c>
      <c r="I369" t="s">
        <v>1950</v>
      </c>
    </row>
    <row r="370" spans="1:9" x14ac:dyDescent="0.25">
      <c r="A370">
        <v>368</v>
      </c>
      <c r="B370" t="s">
        <v>702</v>
      </c>
      <c r="C370" t="s">
        <v>1710</v>
      </c>
      <c r="D370" t="s">
        <v>1701</v>
      </c>
      <c r="E370">
        <v>44</v>
      </c>
      <c r="F370">
        <v>10</v>
      </c>
      <c r="G370">
        <v>8</v>
      </c>
      <c r="H370">
        <v>18</v>
      </c>
      <c r="I370" t="s">
        <v>1851</v>
      </c>
    </row>
    <row r="371" spans="1:9" x14ac:dyDescent="0.25">
      <c r="A371">
        <v>369</v>
      </c>
      <c r="B371" t="s">
        <v>1997</v>
      </c>
      <c r="C371" t="s">
        <v>1748</v>
      </c>
      <c r="D371" t="s">
        <v>1719</v>
      </c>
      <c r="E371">
        <v>73</v>
      </c>
      <c r="F371">
        <v>2</v>
      </c>
      <c r="G371">
        <v>16</v>
      </c>
      <c r="H371">
        <v>18</v>
      </c>
      <c r="I371" t="s">
        <v>1991</v>
      </c>
    </row>
    <row r="372" spans="1:9" x14ac:dyDescent="0.25">
      <c r="A372">
        <v>370</v>
      </c>
      <c r="B372" t="s">
        <v>1998</v>
      </c>
      <c r="C372" t="s">
        <v>1718</v>
      </c>
      <c r="D372" t="s">
        <v>1719</v>
      </c>
      <c r="E372">
        <v>62</v>
      </c>
      <c r="F372">
        <v>2</v>
      </c>
      <c r="G372">
        <v>16</v>
      </c>
      <c r="H372">
        <v>18</v>
      </c>
      <c r="I372" t="s">
        <v>1938</v>
      </c>
    </row>
    <row r="373" spans="1:9" x14ac:dyDescent="0.25">
      <c r="A373">
        <v>371</v>
      </c>
      <c r="B373" t="s">
        <v>1999</v>
      </c>
      <c r="C373" t="s">
        <v>1748</v>
      </c>
      <c r="D373" t="s">
        <v>1719</v>
      </c>
      <c r="E373">
        <v>51</v>
      </c>
      <c r="F373">
        <v>6</v>
      </c>
      <c r="G373">
        <v>12</v>
      </c>
      <c r="H373">
        <v>18</v>
      </c>
      <c r="I373" t="s">
        <v>1887</v>
      </c>
    </row>
    <row r="374" spans="1:9" x14ac:dyDescent="0.25">
      <c r="A374">
        <v>372</v>
      </c>
      <c r="B374" t="s">
        <v>2000</v>
      </c>
      <c r="C374" t="s">
        <v>1741</v>
      </c>
      <c r="D374" t="s">
        <v>1719</v>
      </c>
      <c r="E374">
        <v>82</v>
      </c>
      <c r="F374">
        <v>2</v>
      </c>
      <c r="G374">
        <v>16</v>
      </c>
      <c r="H374">
        <v>18</v>
      </c>
      <c r="I374" t="s">
        <v>1993</v>
      </c>
    </row>
    <row r="375" spans="1:9" x14ac:dyDescent="0.25">
      <c r="A375">
        <v>373</v>
      </c>
      <c r="B375" t="s">
        <v>2001</v>
      </c>
      <c r="C375" t="s">
        <v>1739</v>
      </c>
      <c r="D375" t="s">
        <v>1711</v>
      </c>
      <c r="E375">
        <v>50</v>
      </c>
      <c r="F375">
        <v>5</v>
      </c>
      <c r="G375">
        <v>13</v>
      </c>
      <c r="H375">
        <v>18</v>
      </c>
      <c r="I375" t="s">
        <v>1890</v>
      </c>
    </row>
    <row r="376" spans="1:9" x14ac:dyDescent="0.25">
      <c r="A376">
        <v>374</v>
      </c>
      <c r="B376" t="s">
        <v>2002</v>
      </c>
      <c r="C376" t="s">
        <v>1705</v>
      </c>
      <c r="D376" t="s">
        <v>1719</v>
      </c>
      <c r="E376">
        <v>73</v>
      </c>
      <c r="F376">
        <v>5</v>
      </c>
      <c r="G376">
        <v>13</v>
      </c>
      <c r="H376">
        <v>18</v>
      </c>
      <c r="I376" t="s">
        <v>1991</v>
      </c>
    </row>
    <row r="377" spans="1:9" x14ac:dyDescent="0.25">
      <c r="A377">
        <v>375</v>
      </c>
      <c r="B377" t="s">
        <v>2003</v>
      </c>
      <c r="C377" t="s">
        <v>1700</v>
      </c>
      <c r="D377" t="s">
        <v>1711</v>
      </c>
      <c r="E377">
        <v>60</v>
      </c>
      <c r="F377">
        <v>7</v>
      </c>
      <c r="G377">
        <v>11</v>
      </c>
      <c r="H377">
        <v>18</v>
      </c>
      <c r="I377" t="s">
        <v>1912</v>
      </c>
    </row>
    <row r="378" spans="1:9" x14ac:dyDescent="0.25">
      <c r="A378">
        <v>376</v>
      </c>
      <c r="B378" t="s">
        <v>2004</v>
      </c>
      <c r="C378" t="s">
        <v>1739</v>
      </c>
      <c r="D378" t="s">
        <v>1701</v>
      </c>
      <c r="E378">
        <v>61</v>
      </c>
      <c r="F378">
        <v>5</v>
      </c>
      <c r="G378">
        <v>13</v>
      </c>
      <c r="H378">
        <v>18</v>
      </c>
      <c r="I378" t="s">
        <v>1912</v>
      </c>
    </row>
    <row r="379" spans="1:9" x14ac:dyDescent="0.25">
      <c r="A379">
        <v>377</v>
      </c>
      <c r="B379" t="s">
        <v>2005</v>
      </c>
      <c r="C379" t="s">
        <v>1757</v>
      </c>
      <c r="D379" t="s">
        <v>1706</v>
      </c>
      <c r="E379">
        <v>60</v>
      </c>
      <c r="F379">
        <v>8</v>
      </c>
      <c r="G379">
        <v>10</v>
      </c>
      <c r="H379">
        <v>18</v>
      </c>
      <c r="I379" t="s">
        <v>1912</v>
      </c>
    </row>
    <row r="380" spans="1:9" x14ac:dyDescent="0.25">
      <c r="A380">
        <v>378</v>
      </c>
      <c r="B380" t="s">
        <v>2006</v>
      </c>
      <c r="C380" t="s">
        <v>1708</v>
      </c>
      <c r="D380" t="s">
        <v>1719</v>
      </c>
      <c r="E380">
        <v>60</v>
      </c>
      <c r="F380">
        <v>3</v>
      </c>
      <c r="G380">
        <v>14</v>
      </c>
      <c r="H380">
        <v>17</v>
      </c>
      <c r="I380" t="s">
        <v>1950</v>
      </c>
    </row>
    <row r="381" spans="1:9" x14ac:dyDescent="0.25">
      <c r="A381">
        <v>379</v>
      </c>
      <c r="B381" t="s">
        <v>2007</v>
      </c>
      <c r="C381" t="s">
        <v>1738</v>
      </c>
      <c r="D381" t="s">
        <v>1719</v>
      </c>
      <c r="E381">
        <v>71</v>
      </c>
      <c r="F381">
        <v>4</v>
      </c>
      <c r="G381">
        <v>13</v>
      </c>
      <c r="H381">
        <v>17</v>
      </c>
      <c r="I381" t="s">
        <v>1973</v>
      </c>
    </row>
    <row r="382" spans="1:9" x14ac:dyDescent="0.25">
      <c r="A382">
        <v>380</v>
      </c>
      <c r="B382" t="s">
        <v>2008</v>
      </c>
      <c r="C382" t="s">
        <v>1703</v>
      </c>
      <c r="D382" t="s">
        <v>1719</v>
      </c>
      <c r="E382">
        <v>72</v>
      </c>
      <c r="F382">
        <v>4</v>
      </c>
      <c r="G382">
        <v>13</v>
      </c>
      <c r="H382">
        <v>17</v>
      </c>
      <c r="I382" t="s">
        <v>1973</v>
      </c>
    </row>
    <row r="383" spans="1:9" x14ac:dyDescent="0.25">
      <c r="A383">
        <v>381</v>
      </c>
      <c r="B383" t="s">
        <v>2009</v>
      </c>
      <c r="C383" t="s">
        <v>1774</v>
      </c>
      <c r="D383" t="s">
        <v>1719</v>
      </c>
      <c r="E383">
        <v>46</v>
      </c>
      <c r="F383">
        <v>2</v>
      </c>
      <c r="G383">
        <v>15</v>
      </c>
      <c r="H383">
        <v>17</v>
      </c>
      <c r="I383" t="s">
        <v>1880</v>
      </c>
    </row>
    <row r="384" spans="1:9" x14ac:dyDescent="0.25">
      <c r="A384">
        <v>382</v>
      </c>
      <c r="B384" t="s">
        <v>2010</v>
      </c>
      <c r="C384" t="s">
        <v>1768</v>
      </c>
      <c r="D384" t="s">
        <v>1711</v>
      </c>
      <c r="E384">
        <v>72</v>
      </c>
      <c r="F384">
        <v>9</v>
      </c>
      <c r="G384">
        <v>8</v>
      </c>
      <c r="H384">
        <v>17</v>
      </c>
      <c r="I384" t="s">
        <v>1973</v>
      </c>
    </row>
    <row r="385" spans="1:9" x14ac:dyDescent="0.25">
      <c r="A385">
        <v>383</v>
      </c>
      <c r="B385" t="s">
        <v>2011</v>
      </c>
      <c r="C385" t="s">
        <v>1724</v>
      </c>
      <c r="D385" t="s">
        <v>1719</v>
      </c>
      <c r="E385">
        <v>82</v>
      </c>
      <c r="F385">
        <v>5</v>
      </c>
      <c r="G385">
        <v>12</v>
      </c>
      <c r="H385">
        <v>17</v>
      </c>
      <c r="I385" t="s">
        <v>2012</v>
      </c>
    </row>
    <row r="386" spans="1:9" x14ac:dyDescent="0.25">
      <c r="A386">
        <v>384</v>
      </c>
      <c r="B386" t="s">
        <v>2013</v>
      </c>
      <c r="C386" t="s">
        <v>1705</v>
      </c>
      <c r="D386" t="s">
        <v>1701</v>
      </c>
      <c r="E386">
        <v>70</v>
      </c>
      <c r="F386">
        <v>5</v>
      </c>
      <c r="G386">
        <v>12</v>
      </c>
      <c r="H386">
        <v>17</v>
      </c>
      <c r="I386" t="s">
        <v>1973</v>
      </c>
    </row>
    <row r="387" spans="1:9" x14ac:dyDescent="0.25">
      <c r="A387">
        <v>385</v>
      </c>
      <c r="B387" t="s">
        <v>2014</v>
      </c>
      <c r="C387" t="s">
        <v>1710</v>
      </c>
      <c r="D387" t="s">
        <v>1701</v>
      </c>
      <c r="E387">
        <v>81</v>
      </c>
      <c r="F387">
        <v>7</v>
      </c>
      <c r="G387">
        <v>10</v>
      </c>
      <c r="H387">
        <v>17</v>
      </c>
      <c r="I387" t="s">
        <v>2012</v>
      </c>
    </row>
    <row r="388" spans="1:9" x14ac:dyDescent="0.25">
      <c r="A388">
        <v>386</v>
      </c>
      <c r="B388" t="s">
        <v>2015</v>
      </c>
      <c r="C388" t="s">
        <v>1729</v>
      </c>
      <c r="D388" t="s">
        <v>1719</v>
      </c>
      <c r="E388">
        <v>79</v>
      </c>
      <c r="F388">
        <v>2</v>
      </c>
      <c r="G388">
        <v>15</v>
      </c>
      <c r="H388">
        <v>17</v>
      </c>
      <c r="I388" t="s">
        <v>1993</v>
      </c>
    </row>
    <row r="389" spans="1:9" x14ac:dyDescent="0.25">
      <c r="A389">
        <v>387</v>
      </c>
      <c r="B389" t="s">
        <v>698</v>
      </c>
      <c r="C389" t="s">
        <v>1705</v>
      </c>
      <c r="D389" t="s">
        <v>1719</v>
      </c>
      <c r="E389">
        <v>80</v>
      </c>
      <c r="F389">
        <v>5</v>
      </c>
      <c r="G389">
        <v>12</v>
      </c>
      <c r="H389">
        <v>17</v>
      </c>
      <c r="I389" t="s">
        <v>2012</v>
      </c>
    </row>
    <row r="390" spans="1:9" x14ac:dyDescent="0.25">
      <c r="A390">
        <v>388</v>
      </c>
      <c r="B390" t="s">
        <v>2016</v>
      </c>
      <c r="C390" t="s">
        <v>1772</v>
      </c>
      <c r="D390" t="s">
        <v>1711</v>
      </c>
      <c r="E390">
        <v>60</v>
      </c>
      <c r="F390">
        <v>8</v>
      </c>
      <c r="G390">
        <v>9</v>
      </c>
      <c r="H390">
        <v>17</v>
      </c>
      <c r="I390" t="s">
        <v>1950</v>
      </c>
    </row>
    <row r="391" spans="1:9" x14ac:dyDescent="0.25">
      <c r="A391">
        <v>389</v>
      </c>
      <c r="B391" t="s">
        <v>2017</v>
      </c>
      <c r="C391" t="s">
        <v>1736</v>
      </c>
      <c r="D391" t="s">
        <v>1701</v>
      </c>
      <c r="E391">
        <v>50</v>
      </c>
      <c r="F391">
        <v>8</v>
      </c>
      <c r="G391">
        <v>9</v>
      </c>
      <c r="H391">
        <v>17</v>
      </c>
      <c r="I391" t="s">
        <v>1898</v>
      </c>
    </row>
    <row r="392" spans="1:9" x14ac:dyDescent="0.25">
      <c r="A392">
        <v>390</v>
      </c>
      <c r="B392" t="s">
        <v>2018</v>
      </c>
      <c r="C392" t="s">
        <v>1729</v>
      </c>
      <c r="D392" t="s">
        <v>1719</v>
      </c>
      <c r="E392">
        <v>76</v>
      </c>
      <c r="F392">
        <v>5</v>
      </c>
      <c r="G392">
        <v>12</v>
      </c>
      <c r="H392">
        <v>17</v>
      </c>
      <c r="I392" t="s">
        <v>1993</v>
      </c>
    </row>
    <row r="393" spans="1:9" x14ac:dyDescent="0.25">
      <c r="A393">
        <v>391</v>
      </c>
      <c r="B393" t="s">
        <v>2019</v>
      </c>
      <c r="C393" t="s">
        <v>1718</v>
      </c>
      <c r="D393" t="s">
        <v>1706</v>
      </c>
      <c r="E393">
        <v>61</v>
      </c>
      <c r="F393">
        <v>6</v>
      </c>
      <c r="G393">
        <v>11</v>
      </c>
      <c r="H393">
        <v>17</v>
      </c>
      <c r="I393" t="s">
        <v>1950</v>
      </c>
    </row>
    <row r="394" spans="1:9" x14ac:dyDescent="0.25">
      <c r="A394">
        <v>392</v>
      </c>
      <c r="B394" t="s">
        <v>2020</v>
      </c>
      <c r="C394" t="s">
        <v>1715</v>
      </c>
      <c r="D394" t="s">
        <v>1701</v>
      </c>
      <c r="E394">
        <v>64</v>
      </c>
      <c r="F394">
        <v>9</v>
      </c>
      <c r="G394">
        <v>8</v>
      </c>
      <c r="H394">
        <v>17</v>
      </c>
      <c r="I394" t="s">
        <v>1963</v>
      </c>
    </row>
    <row r="395" spans="1:9" x14ac:dyDescent="0.25">
      <c r="A395">
        <v>393</v>
      </c>
      <c r="B395" t="s">
        <v>2021</v>
      </c>
      <c r="C395" t="s">
        <v>1771</v>
      </c>
      <c r="D395" t="s">
        <v>1719</v>
      </c>
      <c r="E395">
        <v>81</v>
      </c>
      <c r="F395">
        <v>7</v>
      </c>
      <c r="G395">
        <v>10</v>
      </c>
      <c r="H395">
        <v>17</v>
      </c>
      <c r="I395" t="s">
        <v>2012</v>
      </c>
    </row>
    <row r="396" spans="1:9" x14ac:dyDescent="0.25">
      <c r="A396">
        <v>394</v>
      </c>
      <c r="B396" t="s">
        <v>2022</v>
      </c>
      <c r="C396" t="s">
        <v>1768</v>
      </c>
      <c r="D396" t="s">
        <v>1719</v>
      </c>
      <c r="E396">
        <v>77</v>
      </c>
      <c r="F396">
        <v>2</v>
      </c>
      <c r="G396">
        <v>15</v>
      </c>
      <c r="H396">
        <v>17</v>
      </c>
      <c r="I396" t="s">
        <v>1993</v>
      </c>
    </row>
    <row r="397" spans="1:9" x14ac:dyDescent="0.25">
      <c r="A397">
        <v>395</v>
      </c>
      <c r="B397" t="s">
        <v>2023</v>
      </c>
      <c r="C397" t="s">
        <v>1738</v>
      </c>
      <c r="D397" t="s">
        <v>1701</v>
      </c>
      <c r="E397">
        <v>78</v>
      </c>
      <c r="F397">
        <v>8</v>
      </c>
      <c r="G397">
        <v>9</v>
      </c>
      <c r="H397">
        <v>17</v>
      </c>
      <c r="I397" t="s">
        <v>1993</v>
      </c>
    </row>
    <row r="398" spans="1:9" x14ac:dyDescent="0.25">
      <c r="A398">
        <v>396</v>
      </c>
      <c r="B398" t="s">
        <v>2024</v>
      </c>
      <c r="C398" t="s">
        <v>1751</v>
      </c>
      <c r="D398" t="s">
        <v>1711</v>
      </c>
      <c r="E398">
        <v>77</v>
      </c>
      <c r="F398">
        <v>5</v>
      </c>
      <c r="G398">
        <v>12</v>
      </c>
      <c r="H398">
        <v>17</v>
      </c>
      <c r="I398" t="s">
        <v>1993</v>
      </c>
    </row>
    <row r="399" spans="1:9" x14ac:dyDescent="0.25">
      <c r="A399">
        <v>397</v>
      </c>
      <c r="B399" t="s">
        <v>2025</v>
      </c>
      <c r="C399" t="s">
        <v>1741</v>
      </c>
      <c r="D399" t="s">
        <v>1701</v>
      </c>
      <c r="E399">
        <v>70</v>
      </c>
      <c r="F399">
        <v>6</v>
      </c>
      <c r="G399">
        <v>11</v>
      </c>
      <c r="H399">
        <v>17</v>
      </c>
      <c r="I399" t="s">
        <v>1973</v>
      </c>
    </row>
    <row r="400" spans="1:9" x14ac:dyDescent="0.25">
      <c r="A400">
        <v>398</v>
      </c>
      <c r="B400" t="s">
        <v>2026</v>
      </c>
      <c r="C400" t="s">
        <v>1738</v>
      </c>
      <c r="D400" t="s">
        <v>1719</v>
      </c>
      <c r="E400">
        <v>48</v>
      </c>
      <c r="F400">
        <v>4</v>
      </c>
      <c r="G400">
        <v>13</v>
      </c>
      <c r="H400">
        <v>17</v>
      </c>
      <c r="I400" t="s">
        <v>1887</v>
      </c>
    </row>
    <row r="401" spans="1:9" x14ac:dyDescent="0.25">
      <c r="A401">
        <v>399</v>
      </c>
      <c r="B401" t="s">
        <v>2027</v>
      </c>
      <c r="C401" t="s">
        <v>1771</v>
      </c>
      <c r="D401" t="s">
        <v>1719</v>
      </c>
      <c r="E401">
        <v>82</v>
      </c>
      <c r="F401">
        <v>4</v>
      </c>
      <c r="G401">
        <v>13</v>
      </c>
      <c r="H401">
        <v>17</v>
      </c>
      <c r="I401" t="s">
        <v>2012</v>
      </c>
    </row>
    <row r="402" spans="1:9" x14ac:dyDescent="0.25">
      <c r="A402">
        <v>400</v>
      </c>
      <c r="B402" t="s">
        <v>2028</v>
      </c>
      <c r="C402" t="s">
        <v>1738</v>
      </c>
      <c r="D402" t="s">
        <v>1711</v>
      </c>
      <c r="E402">
        <v>80</v>
      </c>
      <c r="F402">
        <v>9</v>
      </c>
      <c r="G402">
        <v>7</v>
      </c>
      <c r="H402">
        <v>16</v>
      </c>
      <c r="I402" t="s">
        <v>2029</v>
      </c>
    </row>
    <row r="403" spans="1:9" x14ac:dyDescent="0.25">
      <c r="A403">
        <v>401</v>
      </c>
      <c r="B403" t="s">
        <v>2030</v>
      </c>
      <c r="C403" t="s">
        <v>1771</v>
      </c>
      <c r="D403" t="s">
        <v>1701</v>
      </c>
      <c r="E403">
        <v>82</v>
      </c>
      <c r="F403">
        <v>6</v>
      </c>
      <c r="G403">
        <v>10</v>
      </c>
      <c r="H403">
        <v>16</v>
      </c>
      <c r="I403" t="s">
        <v>2029</v>
      </c>
    </row>
    <row r="404" spans="1:9" x14ac:dyDescent="0.25">
      <c r="A404">
        <v>402</v>
      </c>
      <c r="B404" t="s">
        <v>2031</v>
      </c>
      <c r="C404" t="s">
        <v>1752</v>
      </c>
      <c r="D404" t="s">
        <v>1719</v>
      </c>
      <c r="E404">
        <v>81</v>
      </c>
      <c r="F404">
        <v>4</v>
      </c>
      <c r="G404">
        <v>12</v>
      </c>
      <c r="H404">
        <v>16</v>
      </c>
      <c r="I404" t="s">
        <v>2029</v>
      </c>
    </row>
    <row r="405" spans="1:9" x14ac:dyDescent="0.25">
      <c r="A405">
        <v>403</v>
      </c>
      <c r="B405" t="s">
        <v>2032</v>
      </c>
      <c r="C405" t="s">
        <v>1726</v>
      </c>
      <c r="D405" t="s">
        <v>1711</v>
      </c>
      <c r="E405">
        <v>53</v>
      </c>
      <c r="F405">
        <v>6</v>
      </c>
      <c r="G405">
        <v>10</v>
      </c>
      <c r="H405">
        <v>16</v>
      </c>
      <c r="I405" t="s">
        <v>1912</v>
      </c>
    </row>
    <row r="406" spans="1:9" x14ac:dyDescent="0.25">
      <c r="A406">
        <v>404</v>
      </c>
      <c r="B406" t="s">
        <v>2033</v>
      </c>
      <c r="C406" t="s">
        <v>1745</v>
      </c>
      <c r="D406" t="s">
        <v>1711</v>
      </c>
      <c r="E406">
        <v>57</v>
      </c>
      <c r="F406">
        <v>7</v>
      </c>
      <c r="G406">
        <v>9</v>
      </c>
      <c r="H406">
        <v>16</v>
      </c>
      <c r="I406" t="s">
        <v>1950</v>
      </c>
    </row>
    <row r="407" spans="1:9" x14ac:dyDescent="0.25">
      <c r="A407">
        <v>405</v>
      </c>
      <c r="B407" t="s">
        <v>2034</v>
      </c>
      <c r="C407" t="s">
        <v>1763</v>
      </c>
      <c r="D407" t="s">
        <v>1701</v>
      </c>
      <c r="E407">
        <v>75</v>
      </c>
      <c r="F407">
        <v>7</v>
      </c>
      <c r="G407">
        <v>9</v>
      </c>
      <c r="H407">
        <v>16</v>
      </c>
      <c r="I407" t="s">
        <v>2012</v>
      </c>
    </row>
    <row r="408" spans="1:9" x14ac:dyDescent="0.25">
      <c r="A408">
        <v>406</v>
      </c>
      <c r="B408" t="s">
        <v>2035</v>
      </c>
      <c r="C408" t="s">
        <v>1726</v>
      </c>
      <c r="D408" t="s">
        <v>1706</v>
      </c>
      <c r="E408">
        <v>69</v>
      </c>
      <c r="F408">
        <v>10</v>
      </c>
      <c r="G408">
        <v>6</v>
      </c>
      <c r="H408">
        <v>16</v>
      </c>
      <c r="I408" t="s">
        <v>1982</v>
      </c>
    </row>
    <row r="409" spans="1:9" x14ac:dyDescent="0.25">
      <c r="A409">
        <v>407</v>
      </c>
      <c r="B409" t="s">
        <v>2036</v>
      </c>
      <c r="C409" t="s">
        <v>1710</v>
      </c>
      <c r="D409" t="s">
        <v>1719</v>
      </c>
      <c r="E409">
        <v>82</v>
      </c>
      <c r="F409">
        <v>6</v>
      </c>
      <c r="G409">
        <v>10</v>
      </c>
      <c r="H409">
        <v>16</v>
      </c>
      <c r="I409" t="s">
        <v>2029</v>
      </c>
    </row>
    <row r="410" spans="1:9" x14ac:dyDescent="0.25">
      <c r="A410">
        <v>408</v>
      </c>
      <c r="B410" t="s">
        <v>2037</v>
      </c>
      <c r="C410" t="s">
        <v>1768</v>
      </c>
      <c r="D410" t="s">
        <v>1701</v>
      </c>
      <c r="E410">
        <v>49</v>
      </c>
      <c r="F410">
        <v>5</v>
      </c>
      <c r="G410">
        <v>11</v>
      </c>
      <c r="H410">
        <v>16</v>
      </c>
      <c r="I410" t="s">
        <v>1910</v>
      </c>
    </row>
    <row r="411" spans="1:9" x14ac:dyDescent="0.25">
      <c r="A411">
        <v>409</v>
      </c>
      <c r="B411" t="s">
        <v>2038</v>
      </c>
      <c r="C411" t="s">
        <v>1729</v>
      </c>
      <c r="D411" t="s">
        <v>1711</v>
      </c>
      <c r="E411">
        <v>75</v>
      </c>
      <c r="F411">
        <v>11</v>
      </c>
      <c r="G411">
        <v>5</v>
      </c>
      <c r="H411">
        <v>16</v>
      </c>
      <c r="I411" t="s">
        <v>2012</v>
      </c>
    </row>
    <row r="412" spans="1:9" x14ac:dyDescent="0.25">
      <c r="A412">
        <v>410</v>
      </c>
      <c r="B412" t="s">
        <v>2039</v>
      </c>
      <c r="C412" t="s">
        <v>1748</v>
      </c>
      <c r="D412" t="s">
        <v>1701</v>
      </c>
      <c r="E412">
        <v>60</v>
      </c>
      <c r="F412">
        <v>6</v>
      </c>
      <c r="G412">
        <v>10</v>
      </c>
      <c r="H412">
        <v>16</v>
      </c>
      <c r="I412" t="s">
        <v>1963</v>
      </c>
    </row>
    <row r="413" spans="1:9" x14ac:dyDescent="0.25">
      <c r="A413">
        <v>411</v>
      </c>
      <c r="B413" t="s">
        <v>2040</v>
      </c>
      <c r="C413" t="s">
        <v>1703</v>
      </c>
      <c r="D413" t="s">
        <v>1706</v>
      </c>
      <c r="E413">
        <v>57</v>
      </c>
      <c r="F413">
        <v>4</v>
      </c>
      <c r="G413">
        <v>12</v>
      </c>
      <c r="H413">
        <v>16</v>
      </c>
      <c r="I413" t="s">
        <v>1950</v>
      </c>
    </row>
    <row r="414" spans="1:9" x14ac:dyDescent="0.25">
      <c r="A414">
        <v>412</v>
      </c>
      <c r="B414" t="s">
        <v>2041</v>
      </c>
      <c r="C414" t="s">
        <v>1726</v>
      </c>
      <c r="D414" t="s">
        <v>1719</v>
      </c>
      <c r="E414">
        <v>79</v>
      </c>
      <c r="F414">
        <v>1</v>
      </c>
      <c r="G414">
        <v>15</v>
      </c>
      <c r="H414">
        <v>16</v>
      </c>
      <c r="I414" t="s">
        <v>2029</v>
      </c>
    </row>
    <row r="415" spans="1:9" x14ac:dyDescent="0.25">
      <c r="A415">
        <v>413</v>
      </c>
      <c r="B415" t="s">
        <v>2042</v>
      </c>
      <c r="C415" t="s">
        <v>1705</v>
      </c>
      <c r="D415" t="s">
        <v>1701</v>
      </c>
      <c r="E415">
        <v>47</v>
      </c>
      <c r="F415">
        <v>6</v>
      </c>
      <c r="G415">
        <v>10</v>
      </c>
      <c r="H415">
        <v>16</v>
      </c>
      <c r="I415" t="s">
        <v>1898</v>
      </c>
    </row>
    <row r="416" spans="1:9" x14ac:dyDescent="0.25">
      <c r="A416">
        <v>414</v>
      </c>
      <c r="B416" t="s">
        <v>2043</v>
      </c>
      <c r="C416" t="s">
        <v>1735</v>
      </c>
      <c r="D416" t="s">
        <v>1701</v>
      </c>
      <c r="E416">
        <v>65</v>
      </c>
      <c r="F416">
        <v>9</v>
      </c>
      <c r="G416">
        <v>7</v>
      </c>
      <c r="H416">
        <v>16</v>
      </c>
      <c r="I416" t="s">
        <v>1991</v>
      </c>
    </row>
    <row r="417" spans="1:9" x14ac:dyDescent="0.25">
      <c r="A417">
        <v>415</v>
      </c>
      <c r="B417" t="s">
        <v>2044</v>
      </c>
      <c r="C417" t="s">
        <v>1705</v>
      </c>
      <c r="D417" t="s">
        <v>1719</v>
      </c>
      <c r="E417">
        <v>58</v>
      </c>
      <c r="F417">
        <v>5</v>
      </c>
      <c r="G417">
        <v>11</v>
      </c>
      <c r="H417">
        <v>16</v>
      </c>
      <c r="I417" t="s">
        <v>1950</v>
      </c>
    </row>
    <row r="418" spans="1:9" x14ac:dyDescent="0.25">
      <c r="A418">
        <v>416</v>
      </c>
      <c r="B418" t="s">
        <v>2045</v>
      </c>
      <c r="C418" t="s">
        <v>1751</v>
      </c>
      <c r="D418" t="s">
        <v>1711</v>
      </c>
      <c r="E418">
        <v>54</v>
      </c>
      <c r="F418">
        <v>11</v>
      </c>
      <c r="G418">
        <v>5</v>
      </c>
      <c r="H418">
        <v>16</v>
      </c>
      <c r="I418" t="s">
        <v>1912</v>
      </c>
    </row>
    <row r="419" spans="1:9" x14ac:dyDescent="0.25">
      <c r="A419">
        <v>417</v>
      </c>
      <c r="B419" t="s">
        <v>2046</v>
      </c>
      <c r="C419" t="s">
        <v>1752</v>
      </c>
      <c r="D419" t="s">
        <v>1719</v>
      </c>
      <c r="E419">
        <v>64</v>
      </c>
      <c r="F419">
        <v>3</v>
      </c>
      <c r="G419">
        <v>12</v>
      </c>
      <c r="H419">
        <v>15</v>
      </c>
      <c r="I419" t="s">
        <v>1982</v>
      </c>
    </row>
    <row r="420" spans="1:9" x14ac:dyDescent="0.25">
      <c r="A420">
        <v>418</v>
      </c>
      <c r="B420" t="s">
        <v>2047</v>
      </c>
      <c r="C420" t="s">
        <v>1746</v>
      </c>
      <c r="D420" t="s">
        <v>1719</v>
      </c>
      <c r="E420">
        <v>73</v>
      </c>
      <c r="F420">
        <v>6</v>
      </c>
      <c r="G420">
        <v>9</v>
      </c>
      <c r="H420">
        <v>15</v>
      </c>
      <c r="I420" t="s">
        <v>2012</v>
      </c>
    </row>
    <row r="421" spans="1:9" x14ac:dyDescent="0.25">
      <c r="A421">
        <v>419</v>
      </c>
      <c r="B421" t="s">
        <v>2048</v>
      </c>
      <c r="C421" t="s">
        <v>1721</v>
      </c>
      <c r="D421" t="s">
        <v>1719</v>
      </c>
      <c r="E421">
        <v>81</v>
      </c>
      <c r="F421">
        <v>1</v>
      </c>
      <c r="G421">
        <v>14</v>
      </c>
      <c r="H421">
        <v>15</v>
      </c>
      <c r="I421" t="s">
        <v>2049</v>
      </c>
    </row>
    <row r="422" spans="1:9" x14ac:dyDescent="0.25">
      <c r="A422">
        <v>420</v>
      </c>
      <c r="B422" t="s">
        <v>2050</v>
      </c>
      <c r="C422" t="s">
        <v>1721</v>
      </c>
      <c r="D422" t="s">
        <v>1701</v>
      </c>
      <c r="E422">
        <v>69</v>
      </c>
      <c r="F422">
        <v>8</v>
      </c>
      <c r="G422">
        <v>7</v>
      </c>
      <c r="H422">
        <v>15</v>
      </c>
      <c r="I422" t="s">
        <v>1993</v>
      </c>
    </row>
    <row r="423" spans="1:9" x14ac:dyDescent="0.25">
      <c r="A423">
        <v>421</v>
      </c>
      <c r="B423" t="s">
        <v>2051</v>
      </c>
      <c r="C423" t="s">
        <v>1748</v>
      </c>
      <c r="D423" t="s">
        <v>1701</v>
      </c>
      <c r="E423">
        <v>81</v>
      </c>
      <c r="F423">
        <v>6</v>
      </c>
      <c r="G423">
        <v>9</v>
      </c>
      <c r="H423">
        <v>15</v>
      </c>
      <c r="I423" t="s">
        <v>2049</v>
      </c>
    </row>
    <row r="424" spans="1:9" x14ac:dyDescent="0.25">
      <c r="A424">
        <v>422</v>
      </c>
      <c r="B424" t="s">
        <v>2052</v>
      </c>
      <c r="C424" t="s">
        <v>1721</v>
      </c>
      <c r="D424" t="s">
        <v>1719</v>
      </c>
      <c r="E424">
        <v>69</v>
      </c>
      <c r="F424">
        <v>3</v>
      </c>
      <c r="G424">
        <v>12</v>
      </c>
      <c r="H424">
        <v>15</v>
      </c>
      <c r="I424" t="s">
        <v>1993</v>
      </c>
    </row>
    <row r="425" spans="1:9" x14ac:dyDescent="0.25">
      <c r="A425">
        <v>423</v>
      </c>
      <c r="B425" t="s">
        <v>2053</v>
      </c>
      <c r="C425" t="s">
        <v>1724</v>
      </c>
      <c r="D425" t="s">
        <v>1706</v>
      </c>
      <c r="E425">
        <v>53</v>
      </c>
      <c r="F425">
        <v>5</v>
      </c>
      <c r="G425">
        <v>10</v>
      </c>
      <c r="H425">
        <v>15</v>
      </c>
      <c r="I425" t="s">
        <v>1950</v>
      </c>
    </row>
    <row r="426" spans="1:9" x14ac:dyDescent="0.25">
      <c r="A426">
        <v>424</v>
      </c>
      <c r="B426" t="s">
        <v>2054</v>
      </c>
      <c r="C426" t="s">
        <v>1746</v>
      </c>
      <c r="D426" t="s">
        <v>1711</v>
      </c>
      <c r="E426">
        <v>65</v>
      </c>
      <c r="F426">
        <v>10</v>
      </c>
      <c r="G426">
        <v>5</v>
      </c>
      <c r="H426">
        <v>15</v>
      </c>
      <c r="I426" t="s">
        <v>1982</v>
      </c>
    </row>
    <row r="427" spans="1:9" x14ac:dyDescent="0.25">
      <c r="A427">
        <v>425</v>
      </c>
      <c r="B427" t="s">
        <v>2055</v>
      </c>
      <c r="C427" t="s">
        <v>1757</v>
      </c>
      <c r="D427" t="s">
        <v>1719</v>
      </c>
      <c r="E427">
        <v>63</v>
      </c>
      <c r="F427">
        <v>4</v>
      </c>
      <c r="G427">
        <v>11</v>
      </c>
      <c r="H427">
        <v>15</v>
      </c>
      <c r="I427" t="s">
        <v>1973</v>
      </c>
    </row>
    <row r="428" spans="1:9" x14ac:dyDescent="0.25">
      <c r="A428">
        <v>426</v>
      </c>
      <c r="B428" t="s">
        <v>2056</v>
      </c>
      <c r="C428" t="s">
        <v>1703</v>
      </c>
      <c r="D428" t="s">
        <v>1719</v>
      </c>
      <c r="E428">
        <v>70</v>
      </c>
      <c r="F428">
        <v>1</v>
      </c>
      <c r="G428">
        <v>14</v>
      </c>
      <c r="H428">
        <v>15</v>
      </c>
      <c r="I428" t="s">
        <v>2012</v>
      </c>
    </row>
    <row r="429" spans="1:9" x14ac:dyDescent="0.25">
      <c r="A429">
        <v>427</v>
      </c>
      <c r="B429" t="s">
        <v>122</v>
      </c>
      <c r="C429" t="s">
        <v>1768</v>
      </c>
      <c r="D429" t="s">
        <v>1711</v>
      </c>
      <c r="E429">
        <v>58</v>
      </c>
      <c r="F429">
        <v>5</v>
      </c>
      <c r="G429">
        <v>10</v>
      </c>
      <c r="H429">
        <v>15</v>
      </c>
      <c r="I429" t="s">
        <v>1969</v>
      </c>
    </row>
    <row r="430" spans="1:9" x14ac:dyDescent="0.25">
      <c r="A430">
        <v>428</v>
      </c>
      <c r="B430" t="s">
        <v>2057</v>
      </c>
      <c r="C430" t="s">
        <v>1748</v>
      </c>
      <c r="D430" t="s">
        <v>1706</v>
      </c>
      <c r="E430">
        <v>64</v>
      </c>
      <c r="F430">
        <v>8</v>
      </c>
      <c r="G430">
        <v>7</v>
      </c>
      <c r="H430">
        <v>15</v>
      </c>
      <c r="I430" t="s">
        <v>1982</v>
      </c>
    </row>
    <row r="431" spans="1:9" x14ac:dyDescent="0.25">
      <c r="A431">
        <v>429</v>
      </c>
      <c r="B431" t="s">
        <v>2058</v>
      </c>
      <c r="C431" t="s">
        <v>1700</v>
      </c>
      <c r="D431" t="s">
        <v>1719</v>
      </c>
      <c r="E431">
        <v>62</v>
      </c>
      <c r="F431">
        <v>3</v>
      </c>
      <c r="G431">
        <v>12</v>
      </c>
      <c r="H431">
        <v>15</v>
      </c>
      <c r="I431" t="s">
        <v>1973</v>
      </c>
    </row>
    <row r="432" spans="1:9" x14ac:dyDescent="0.25">
      <c r="A432">
        <v>430</v>
      </c>
      <c r="B432" t="s">
        <v>2059</v>
      </c>
      <c r="C432" t="s">
        <v>1724</v>
      </c>
      <c r="D432" t="s">
        <v>1719</v>
      </c>
      <c r="E432">
        <v>81</v>
      </c>
      <c r="F432">
        <v>3</v>
      </c>
      <c r="G432">
        <v>11</v>
      </c>
      <c r="H432">
        <v>14</v>
      </c>
      <c r="I432" t="s">
        <v>2060</v>
      </c>
    </row>
    <row r="433" spans="1:9" x14ac:dyDescent="0.25">
      <c r="A433">
        <v>431</v>
      </c>
      <c r="B433" t="s">
        <v>2061</v>
      </c>
      <c r="C433" t="s">
        <v>1768</v>
      </c>
      <c r="D433" t="s">
        <v>1719</v>
      </c>
      <c r="E433">
        <v>39</v>
      </c>
      <c r="F433">
        <v>5</v>
      </c>
      <c r="G433">
        <v>9</v>
      </c>
      <c r="H433">
        <v>14</v>
      </c>
      <c r="I433" t="s">
        <v>1890</v>
      </c>
    </row>
    <row r="434" spans="1:9" x14ac:dyDescent="0.25">
      <c r="A434">
        <v>432</v>
      </c>
      <c r="B434" t="s">
        <v>2062</v>
      </c>
      <c r="C434" t="s">
        <v>1739</v>
      </c>
      <c r="D434" t="s">
        <v>1719</v>
      </c>
      <c r="E434">
        <v>49</v>
      </c>
      <c r="F434">
        <v>3</v>
      </c>
      <c r="G434">
        <v>11</v>
      </c>
      <c r="H434">
        <v>14</v>
      </c>
      <c r="I434" t="s">
        <v>1938</v>
      </c>
    </row>
    <row r="435" spans="1:9" x14ac:dyDescent="0.25">
      <c r="A435">
        <v>433</v>
      </c>
      <c r="B435" t="s">
        <v>2063</v>
      </c>
      <c r="C435" t="s">
        <v>1708</v>
      </c>
      <c r="D435" t="s">
        <v>1719</v>
      </c>
      <c r="E435">
        <v>79</v>
      </c>
      <c r="F435">
        <v>0</v>
      </c>
      <c r="G435">
        <v>14</v>
      </c>
      <c r="H435">
        <v>14</v>
      </c>
      <c r="I435" t="s">
        <v>2064</v>
      </c>
    </row>
    <row r="436" spans="1:9" x14ac:dyDescent="0.25">
      <c r="A436">
        <v>434</v>
      </c>
      <c r="B436" t="s">
        <v>2065</v>
      </c>
      <c r="C436" t="s">
        <v>1771</v>
      </c>
      <c r="D436" t="s">
        <v>1719</v>
      </c>
      <c r="E436">
        <v>49</v>
      </c>
      <c r="F436">
        <v>1</v>
      </c>
      <c r="G436">
        <v>13</v>
      </c>
      <c r="H436">
        <v>14</v>
      </c>
      <c r="I436" t="s">
        <v>1938</v>
      </c>
    </row>
    <row r="437" spans="1:9" x14ac:dyDescent="0.25">
      <c r="A437">
        <v>435</v>
      </c>
      <c r="B437" t="s">
        <v>2066</v>
      </c>
      <c r="C437" t="s">
        <v>1736</v>
      </c>
      <c r="D437" t="s">
        <v>1701</v>
      </c>
      <c r="E437">
        <v>74</v>
      </c>
      <c r="F437">
        <v>3</v>
      </c>
      <c r="G437">
        <v>11</v>
      </c>
      <c r="H437">
        <v>14</v>
      </c>
      <c r="I437" t="s">
        <v>2049</v>
      </c>
    </row>
    <row r="438" spans="1:9" x14ac:dyDescent="0.25">
      <c r="A438">
        <v>436</v>
      </c>
      <c r="B438" t="s">
        <v>2067</v>
      </c>
      <c r="C438" t="s">
        <v>1700</v>
      </c>
      <c r="D438" t="s">
        <v>1711</v>
      </c>
      <c r="E438">
        <v>67</v>
      </c>
      <c r="F438">
        <v>8</v>
      </c>
      <c r="G438">
        <v>6</v>
      </c>
      <c r="H438">
        <v>14</v>
      </c>
      <c r="I438" t="s">
        <v>2012</v>
      </c>
    </row>
    <row r="439" spans="1:9" x14ac:dyDescent="0.25">
      <c r="A439">
        <v>437</v>
      </c>
      <c r="B439" t="s">
        <v>2068</v>
      </c>
      <c r="C439" t="s">
        <v>1751</v>
      </c>
      <c r="D439" t="s">
        <v>1719</v>
      </c>
      <c r="E439">
        <v>74</v>
      </c>
      <c r="F439">
        <v>3</v>
      </c>
      <c r="G439">
        <v>11</v>
      </c>
      <c r="H439">
        <v>14</v>
      </c>
      <c r="I439" t="s">
        <v>2049</v>
      </c>
    </row>
    <row r="440" spans="1:9" x14ac:dyDescent="0.25">
      <c r="A440">
        <v>438</v>
      </c>
      <c r="B440" t="s">
        <v>2069</v>
      </c>
      <c r="C440" t="s">
        <v>1715</v>
      </c>
      <c r="D440" t="s">
        <v>1719</v>
      </c>
      <c r="E440">
        <v>65</v>
      </c>
      <c r="F440">
        <v>1</v>
      </c>
      <c r="G440">
        <v>13</v>
      </c>
      <c r="H440">
        <v>14</v>
      </c>
      <c r="I440" t="s">
        <v>1993</v>
      </c>
    </row>
    <row r="441" spans="1:9" x14ac:dyDescent="0.25">
      <c r="A441">
        <v>439</v>
      </c>
      <c r="B441" t="s">
        <v>94</v>
      </c>
      <c r="C441" t="s">
        <v>1774</v>
      </c>
      <c r="D441" t="s">
        <v>1701</v>
      </c>
      <c r="E441">
        <v>80</v>
      </c>
      <c r="F441">
        <v>6</v>
      </c>
      <c r="G441">
        <v>8</v>
      </c>
      <c r="H441">
        <v>14</v>
      </c>
      <c r="I441" t="s">
        <v>2064</v>
      </c>
    </row>
    <row r="442" spans="1:9" x14ac:dyDescent="0.25">
      <c r="A442">
        <v>440</v>
      </c>
      <c r="B442" t="s">
        <v>2070</v>
      </c>
      <c r="C442" t="s">
        <v>1713</v>
      </c>
      <c r="D442" t="s">
        <v>1719</v>
      </c>
      <c r="E442">
        <v>80</v>
      </c>
      <c r="F442">
        <v>3</v>
      </c>
      <c r="G442">
        <v>11</v>
      </c>
      <c r="H442">
        <v>14</v>
      </c>
      <c r="I442" t="s">
        <v>2064</v>
      </c>
    </row>
    <row r="443" spans="1:9" x14ac:dyDescent="0.25">
      <c r="A443">
        <v>441</v>
      </c>
      <c r="B443" t="s">
        <v>2071</v>
      </c>
      <c r="C443" t="s">
        <v>1757</v>
      </c>
      <c r="D443" t="s">
        <v>1719</v>
      </c>
      <c r="E443">
        <v>60</v>
      </c>
      <c r="F443">
        <v>3</v>
      </c>
      <c r="G443">
        <v>11</v>
      </c>
      <c r="H443">
        <v>14</v>
      </c>
      <c r="I443" t="s">
        <v>1982</v>
      </c>
    </row>
    <row r="444" spans="1:9" x14ac:dyDescent="0.25">
      <c r="A444">
        <v>442</v>
      </c>
      <c r="B444" t="s">
        <v>2072</v>
      </c>
      <c r="C444" t="s">
        <v>1771</v>
      </c>
      <c r="D444" t="s">
        <v>1701</v>
      </c>
      <c r="E444">
        <v>54</v>
      </c>
      <c r="F444">
        <v>7</v>
      </c>
      <c r="G444">
        <v>7</v>
      </c>
      <c r="H444">
        <v>14</v>
      </c>
      <c r="I444" t="s">
        <v>1969</v>
      </c>
    </row>
    <row r="445" spans="1:9" x14ac:dyDescent="0.25">
      <c r="A445">
        <v>443</v>
      </c>
      <c r="B445" t="s">
        <v>2073</v>
      </c>
      <c r="C445" t="s">
        <v>1715</v>
      </c>
      <c r="D445" t="s">
        <v>1719</v>
      </c>
      <c r="E445">
        <v>60</v>
      </c>
      <c r="F445">
        <v>1</v>
      </c>
      <c r="G445">
        <v>13</v>
      </c>
      <c r="H445">
        <v>14</v>
      </c>
      <c r="I445" t="s">
        <v>1982</v>
      </c>
    </row>
    <row r="446" spans="1:9" x14ac:dyDescent="0.25">
      <c r="A446">
        <v>444</v>
      </c>
      <c r="B446" t="s">
        <v>2074</v>
      </c>
      <c r="C446" t="s">
        <v>1700</v>
      </c>
      <c r="D446" t="s">
        <v>1701</v>
      </c>
      <c r="E446">
        <v>49</v>
      </c>
      <c r="F446">
        <v>6</v>
      </c>
      <c r="G446">
        <v>8</v>
      </c>
      <c r="H446">
        <v>14</v>
      </c>
      <c r="I446" t="s">
        <v>1938</v>
      </c>
    </row>
    <row r="447" spans="1:9" x14ac:dyDescent="0.25">
      <c r="A447">
        <v>445</v>
      </c>
      <c r="B447" t="s">
        <v>2075</v>
      </c>
      <c r="C447" t="s">
        <v>1705</v>
      </c>
      <c r="D447" t="s">
        <v>1711</v>
      </c>
      <c r="E447">
        <v>49</v>
      </c>
      <c r="F447">
        <v>6</v>
      </c>
      <c r="G447">
        <v>8</v>
      </c>
      <c r="H447">
        <v>14</v>
      </c>
      <c r="I447" t="s">
        <v>1938</v>
      </c>
    </row>
    <row r="448" spans="1:9" x14ac:dyDescent="0.25">
      <c r="A448">
        <v>446</v>
      </c>
      <c r="B448" t="s">
        <v>2076</v>
      </c>
      <c r="C448" t="s">
        <v>1710</v>
      </c>
      <c r="D448" t="s">
        <v>1701</v>
      </c>
      <c r="E448">
        <v>59</v>
      </c>
      <c r="F448">
        <v>7</v>
      </c>
      <c r="G448">
        <v>7</v>
      </c>
      <c r="H448">
        <v>14</v>
      </c>
      <c r="I448" t="s">
        <v>1973</v>
      </c>
    </row>
    <row r="449" spans="1:9" x14ac:dyDescent="0.25">
      <c r="A449">
        <v>447</v>
      </c>
      <c r="B449" t="s">
        <v>2077</v>
      </c>
      <c r="C449" t="s">
        <v>1708</v>
      </c>
      <c r="D449" t="s">
        <v>1719</v>
      </c>
      <c r="E449">
        <v>82</v>
      </c>
      <c r="F449">
        <v>3</v>
      </c>
      <c r="G449">
        <v>10</v>
      </c>
      <c r="H449">
        <v>13</v>
      </c>
      <c r="I449" t="s">
        <v>2078</v>
      </c>
    </row>
    <row r="450" spans="1:9" x14ac:dyDescent="0.25">
      <c r="A450">
        <v>448</v>
      </c>
      <c r="B450" t="s">
        <v>2079</v>
      </c>
      <c r="C450" t="s">
        <v>1746</v>
      </c>
      <c r="D450" t="s">
        <v>1701</v>
      </c>
      <c r="E450">
        <v>62</v>
      </c>
      <c r="F450">
        <v>7</v>
      </c>
      <c r="G450">
        <v>6</v>
      </c>
      <c r="H450">
        <v>13</v>
      </c>
      <c r="I450" t="s">
        <v>2012</v>
      </c>
    </row>
    <row r="451" spans="1:9" x14ac:dyDescent="0.25">
      <c r="A451">
        <v>449</v>
      </c>
      <c r="B451" t="s">
        <v>2080</v>
      </c>
      <c r="C451" t="s">
        <v>1746</v>
      </c>
      <c r="D451" t="s">
        <v>1706</v>
      </c>
      <c r="E451">
        <v>26</v>
      </c>
      <c r="F451">
        <v>6</v>
      </c>
      <c r="G451">
        <v>7</v>
      </c>
      <c r="H451">
        <v>13</v>
      </c>
      <c r="I451" t="s">
        <v>1819</v>
      </c>
    </row>
    <row r="452" spans="1:9" x14ac:dyDescent="0.25">
      <c r="A452">
        <v>450</v>
      </c>
      <c r="B452" t="s">
        <v>2081</v>
      </c>
      <c r="C452" t="s">
        <v>1772</v>
      </c>
      <c r="D452" t="s">
        <v>1719</v>
      </c>
      <c r="E452">
        <v>66</v>
      </c>
      <c r="F452">
        <v>4</v>
      </c>
      <c r="G452">
        <v>9</v>
      </c>
      <c r="H452">
        <v>13</v>
      </c>
      <c r="I452" t="s">
        <v>2029</v>
      </c>
    </row>
    <row r="453" spans="1:9" x14ac:dyDescent="0.25">
      <c r="A453">
        <v>451</v>
      </c>
      <c r="B453" t="s">
        <v>2082</v>
      </c>
      <c r="C453" t="s">
        <v>1710</v>
      </c>
      <c r="D453" t="s">
        <v>1719</v>
      </c>
      <c r="E453">
        <v>58</v>
      </c>
      <c r="F453">
        <v>3</v>
      </c>
      <c r="G453">
        <v>10</v>
      </c>
      <c r="H453">
        <v>13</v>
      </c>
      <c r="I453" t="s">
        <v>1993</v>
      </c>
    </row>
    <row r="454" spans="1:9" x14ac:dyDescent="0.25">
      <c r="A454">
        <v>452</v>
      </c>
      <c r="B454" t="s">
        <v>2083</v>
      </c>
      <c r="C454" t="s">
        <v>1774</v>
      </c>
      <c r="D454" t="s">
        <v>1719</v>
      </c>
      <c r="E454">
        <v>69</v>
      </c>
      <c r="F454">
        <v>1</v>
      </c>
      <c r="G454">
        <v>12</v>
      </c>
      <c r="H454">
        <v>13</v>
      </c>
      <c r="I454" t="s">
        <v>2049</v>
      </c>
    </row>
    <row r="455" spans="1:9" x14ac:dyDescent="0.25">
      <c r="A455">
        <v>453</v>
      </c>
      <c r="B455" t="s">
        <v>2084</v>
      </c>
      <c r="C455" t="s">
        <v>1721</v>
      </c>
      <c r="D455" t="s">
        <v>1711</v>
      </c>
      <c r="E455">
        <v>32</v>
      </c>
      <c r="F455">
        <v>8</v>
      </c>
      <c r="G455">
        <v>5</v>
      </c>
      <c r="H455">
        <v>13</v>
      </c>
      <c r="I455" t="s">
        <v>1851</v>
      </c>
    </row>
    <row r="456" spans="1:9" x14ac:dyDescent="0.25">
      <c r="A456">
        <v>454</v>
      </c>
      <c r="B456" t="s">
        <v>2085</v>
      </c>
      <c r="C456" t="s">
        <v>1721</v>
      </c>
      <c r="D456" t="s">
        <v>1706</v>
      </c>
      <c r="E456">
        <v>80</v>
      </c>
      <c r="F456">
        <v>7</v>
      </c>
      <c r="G456">
        <v>6</v>
      </c>
      <c r="H456">
        <v>13</v>
      </c>
      <c r="I456" t="s">
        <v>2078</v>
      </c>
    </row>
    <row r="457" spans="1:9" x14ac:dyDescent="0.25">
      <c r="A457">
        <v>455</v>
      </c>
      <c r="B457" t="s">
        <v>2086</v>
      </c>
      <c r="C457" t="s">
        <v>1774</v>
      </c>
      <c r="D457" t="s">
        <v>1719</v>
      </c>
      <c r="E457">
        <v>60</v>
      </c>
      <c r="F457">
        <v>2</v>
      </c>
      <c r="G457">
        <v>11</v>
      </c>
      <c r="H457">
        <v>13</v>
      </c>
      <c r="I457" t="s">
        <v>1993</v>
      </c>
    </row>
    <row r="458" spans="1:9" x14ac:dyDescent="0.25">
      <c r="A458">
        <v>456</v>
      </c>
      <c r="B458" t="s">
        <v>2087</v>
      </c>
      <c r="C458" t="s">
        <v>1736</v>
      </c>
      <c r="D458" t="s">
        <v>1719</v>
      </c>
      <c r="E458">
        <v>49</v>
      </c>
      <c r="F458">
        <v>4</v>
      </c>
      <c r="G458">
        <v>9</v>
      </c>
      <c r="H458">
        <v>13</v>
      </c>
      <c r="I458" t="s">
        <v>1963</v>
      </c>
    </row>
    <row r="459" spans="1:9" x14ac:dyDescent="0.25">
      <c r="A459">
        <v>457</v>
      </c>
      <c r="B459" t="s">
        <v>2088</v>
      </c>
      <c r="C459" t="s">
        <v>1774</v>
      </c>
      <c r="D459" t="s">
        <v>1711</v>
      </c>
      <c r="E459">
        <v>59</v>
      </c>
      <c r="F459">
        <v>7</v>
      </c>
      <c r="G459">
        <v>6</v>
      </c>
      <c r="H459">
        <v>13</v>
      </c>
      <c r="I459" t="s">
        <v>1993</v>
      </c>
    </row>
    <row r="460" spans="1:9" x14ac:dyDescent="0.25">
      <c r="A460">
        <v>458</v>
      </c>
      <c r="B460" t="s">
        <v>2089</v>
      </c>
      <c r="C460" t="s">
        <v>1710</v>
      </c>
      <c r="D460" t="s">
        <v>1719</v>
      </c>
      <c r="E460">
        <v>61</v>
      </c>
      <c r="F460">
        <v>6</v>
      </c>
      <c r="G460">
        <v>7</v>
      </c>
      <c r="H460">
        <v>13</v>
      </c>
      <c r="I460" t="s">
        <v>2012</v>
      </c>
    </row>
    <row r="461" spans="1:9" x14ac:dyDescent="0.25">
      <c r="A461">
        <v>459</v>
      </c>
      <c r="B461" t="s">
        <v>2090</v>
      </c>
      <c r="C461" t="s">
        <v>1718</v>
      </c>
      <c r="D461" t="s">
        <v>1719</v>
      </c>
      <c r="E461">
        <v>81</v>
      </c>
      <c r="F461">
        <v>4</v>
      </c>
      <c r="G461">
        <v>9</v>
      </c>
      <c r="H461">
        <v>13</v>
      </c>
      <c r="I461" t="s">
        <v>2078</v>
      </c>
    </row>
    <row r="462" spans="1:9" x14ac:dyDescent="0.25">
      <c r="A462">
        <v>460</v>
      </c>
      <c r="B462" t="s">
        <v>2091</v>
      </c>
      <c r="C462" t="s">
        <v>1735</v>
      </c>
      <c r="D462" t="s">
        <v>1701</v>
      </c>
      <c r="E462">
        <v>37</v>
      </c>
      <c r="F462">
        <v>6</v>
      </c>
      <c r="G462">
        <v>7</v>
      </c>
      <c r="H462">
        <v>13</v>
      </c>
      <c r="I462" t="s">
        <v>1887</v>
      </c>
    </row>
    <row r="463" spans="1:9" x14ac:dyDescent="0.25">
      <c r="A463">
        <v>461</v>
      </c>
      <c r="B463" t="s">
        <v>2092</v>
      </c>
      <c r="C463" t="s">
        <v>1779</v>
      </c>
      <c r="D463" t="s">
        <v>1719</v>
      </c>
      <c r="E463">
        <v>82</v>
      </c>
      <c r="F463">
        <v>2</v>
      </c>
      <c r="G463">
        <v>11</v>
      </c>
      <c r="H463">
        <v>13</v>
      </c>
      <c r="I463" t="s">
        <v>2078</v>
      </c>
    </row>
    <row r="464" spans="1:9" x14ac:dyDescent="0.25">
      <c r="A464">
        <v>462</v>
      </c>
      <c r="B464" t="s">
        <v>2093</v>
      </c>
      <c r="C464" t="s">
        <v>1715</v>
      </c>
      <c r="D464" t="s">
        <v>1711</v>
      </c>
      <c r="E464">
        <v>54</v>
      </c>
      <c r="F464">
        <v>1</v>
      </c>
      <c r="G464">
        <v>12</v>
      </c>
      <c r="H464">
        <v>13</v>
      </c>
      <c r="I464" t="s">
        <v>1973</v>
      </c>
    </row>
    <row r="465" spans="1:9" x14ac:dyDescent="0.25">
      <c r="A465">
        <v>463</v>
      </c>
      <c r="B465" t="s">
        <v>2094</v>
      </c>
      <c r="C465" t="s">
        <v>1700</v>
      </c>
      <c r="D465" t="s">
        <v>1719</v>
      </c>
      <c r="E465">
        <v>68</v>
      </c>
      <c r="F465">
        <v>1</v>
      </c>
      <c r="G465">
        <v>12</v>
      </c>
      <c r="H465">
        <v>13</v>
      </c>
      <c r="I465" t="s">
        <v>2049</v>
      </c>
    </row>
    <row r="466" spans="1:9" x14ac:dyDescent="0.25">
      <c r="A466">
        <v>464</v>
      </c>
      <c r="B466" t="s">
        <v>2095</v>
      </c>
      <c r="C466" t="s">
        <v>1763</v>
      </c>
      <c r="D466" t="s">
        <v>1711</v>
      </c>
      <c r="E466">
        <v>51</v>
      </c>
      <c r="F466">
        <v>5</v>
      </c>
      <c r="G466">
        <v>8</v>
      </c>
      <c r="H466">
        <v>13</v>
      </c>
      <c r="I466" t="s">
        <v>1991</v>
      </c>
    </row>
    <row r="467" spans="1:9" x14ac:dyDescent="0.25">
      <c r="A467">
        <v>465</v>
      </c>
      <c r="B467" t="s">
        <v>2096</v>
      </c>
      <c r="C467" t="s">
        <v>1735</v>
      </c>
      <c r="D467" t="s">
        <v>1719</v>
      </c>
      <c r="E467">
        <v>71</v>
      </c>
      <c r="F467">
        <v>4</v>
      </c>
      <c r="G467">
        <v>9</v>
      </c>
      <c r="H467">
        <v>13</v>
      </c>
      <c r="I467" t="s">
        <v>2064</v>
      </c>
    </row>
    <row r="468" spans="1:9" x14ac:dyDescent="0.25">
      <c r="A468">
        <v>466</v>
      </c>
      <c r="B468" t="s">
        <v>2097</v>
      </c>
      <c r="C468" t="s">
        <v>1710</v>
      </c>
      <c r="D468" t="s">
        <v>1701</v>
      </c>
      <c r="E468">
        <v>49</v>
      </c>
      <c r="F468">
        <v>5</v>
      </c>
      <c r="G468">
        <v>8</v>
      </c>
      <c r="H468">
        <v>13</v>
      </c>
      <c r="I468" t="s">
        <v>1963</v>
      </c>
    </row>
    <row r="469" spans="1:9" x14ac:dyDescent="0.25">
      <c r="A469">
        <v>467</v>
      </c>
      <c r="B469" t="s">
        <v>2098</v>
      </c>
      <c r="C469" t="s">
        <v>1736</v>
      </c>
      <c r="D469" t="s">
        <v>1701</v>
      </c>
      <c r="E469">
        <v>80</v>
      </c>
      <c r="F469">
        <v>2</v>
      </c>
      <c r="G469">
        <v>11</v>
      </c>
      <c r="H469">
        <v>13</v>
      </c>
      <c r="I469" t="s">
        <v>2078</v>
      </c>
    </row>
    <row r="470" spans="1:9" x14ac:dyDescent="0.25">
      <c r="A470">
        <v>468</v>
      </c>
      <c r="B470" t="s">
        <v>2099</v>
      </c>
      <c r="C470" t="s">
        <v>1736</v>
      </c>
      <c r="D470" t="s">
        <v>1719</v>
      </c>
      <c r="E470">
        <v>57</v>
      </c>
      <c r="F470">
        <v>2</v>
      </c>
      <c r="G470">
        <v>11</v>
      </c>
      <c r="H470">
        <v>13</v>
      </c>
      <c r="I470" t="s">
        <v>1982</v>
      </c>
    </row>
    <row r="471" spans="1:9" x14ac:dyDescent="0.25">
      <c r="A471">
        <v>469</v>
      </c>
      <c r="B471" t="s">
        <v>2100</v>
      </c>
      <c r="C471" t="s">
        <v>1768</v>
      </c>
      <c r="D471" t="s">
        <v>1711</v>
      </c>
      <c r="E471">
        <v>72</v>
      </c>
      <c r="F471">
        <v>5</v>
      </c>
      <c r="G471">
        <v>7</v>
      </c>
      <c r="H471">
        <v>12</v>
      </c>
      <c r="I471" t="s">
        <v>2060</v>
      </c>
    </row>
    <row r="472" spans="1:9" x14ac:dyDescent="0.25">
      <c r="A472">
        <v>470</v>
      </c>
      <c r="B472" t="s">
        <v>2101</v>
      </c>
      <c r="C472" t="s">
        <v>1748</v>
      </c>
      <c r="D472" t="s">
        <v>1701</v>
      </c>
      <c r="E472">
        <v>23</v>
      </c>
      <c r="F472">
        <v>8</v>
      </c>
      <c r="G472">
        <v>4</v>
      </c>
      <c r="H472">
        <v>12</v>
      </c>
      <c r="I472" t="s">
        <v>1810</v>
      </c>
    </row>
    <row r="473" spans="1:9" x14ac:dyDescent="0.25">
      <c r="A473">
        <v>471</v>
      </c>
      <c r="B473" t="s">
        <v>2102</v>
      </c>
      <c r="C473" t="s">
        <v>1748</v>
      </c>
      <c r="D473" t="s">
        <v>1719</v>
      </c>
      <c r="E473">
        <v>65</v>
      </c>
      <c r="F473">
        <v>3</v>
      </c>
      <c r="G473">
        <v>9</v>
      </c>
      <c r="H473">
        <v>12</v>
      </c>
      <c r="I473" t="s">
        <v>2064</v>
      </c>
    </row>
    <row r="474" spans="1:9" x14ac:dyDescent="0.25">
      <c r="A474">
        <v>472</v>
      </c>
      <c r="B474" t="s">
        <v>2103</v>
      </c>
      <c r="C474" t="s">
        <v>1774</v>
      </c>
      <c r="D474" t="s">
        <v>1719</v>
      </c>
      <c r="E474">
        <v>57</v>
      </c>
      <c r="F474">
        <v>4</v>
      </c>
      <c r="G474">
        <v>8</v>
      </c>
      <c r="H474">
        <v>12</v>
      </c>
      <c r="I474" t="s">
        <v>2012</v>
      </c>
    </row>
    <row r="475" spans="1:9" x14ac:dyDescent="0.25">
      <c r="A475">
        <v>473</v>
      </c>
      <c r="B475" t="s">
        <v>2104</v>
      </c>
      <c r="C475" t="s">
        <v>1741</v>
      </c>
      <c r="D475" t="s">
        <v>1711</v>
      </c>
      <c r="E475">
        <v>73</v>
      </c>
      <c r="F475">
        <v>6</v>
      </c>
      <c r="G475">
        <v>6</v>
      </c>
      <c r="H475">
        <v>12</v>
      </c>
      <c r="I475" t="s">
        <v>2078</v>
      </c>
    </row>
    <row r="476" spans="1:9" x14ac:dyDescent="0.25">
      <c r="A476">
        <v>474</v>
      </c>
      <c r="B476" t="s">
        <v>2105</v>
      </c>
      <c r="C476" t="s">
        <v>1729</v>
      </c>
      <c r="D476" t="s">
        <v>1719</v>
      </c>
      <c r="E476">
        <v>68</v>
      </c>
      <c r="F476">
        <v>0</v>
      </c>
      <c r="G476">
        <v>12</v>
      </c>
      <c r="H476">
        <v>12</v>
      </c>
      <c r="I476" t="s">
        <v>2064</v>
      </c>
    </row>
    <row r="477" spans="1:9" x14ac:dyDescent="0.25">
      <c r="A477">
        <v>475</v>
      </c>
      <c r="B477" t="s">
        <v>2106</v>
      </c>
      <c r="C477" t="s">
        <v>1745</v>
      </c>
      <c r="D477" t="s">
        <v>1711</v>
      </c>
      <c r="E477">
        <v>82</v>
      </c>
      <c r="F477">
        <v>7</v>
      </c>
      <c r="G477">
        <v>5</v>
      </c>
      <c r="H477">
        <v>12</v>
      </c>
      <c r="I477" t="s">
        <v>2107</v>
      </c>
    </row>
    <row r="478" spans="1:9" x14ac:dyDescent="0.25">
      <c r="A478">
        <v>476</v>
      </c>
      <c r="B478" t="s">
        <v>2108</v>
      </c>
      <c r="C478" t="s">
        <v>1741</v>
      </c>
      <c r="D478" t="s">
        <v>1706</v>
      </c>
      <c r="E478">
        <v>45</v>
      </c>
      <c r="F478">
        <v>4</v>
      </c>
      <c r="G478">
        <v>8</v>
      </c>
      <c r="H478">
        <v>12</v>
      </c>
      <c r="I478" t="s">
        <v>1963</v>
      </c>
    </row>
    <row r="479" spans="1:9" x14ac:dyDescent="0.25">
      <c r="A479">
        <v>477</v>
      </c>
      <c r="B479" t="s">
        <v>2109</v>
      </c>
      <c r="C479" t="s">
        <v>1768</v>
      </c>
      <c r="D479" t="s">
        <v>1701</v>
      </c>
      <c r="E479">
        <v>48</v>
      </c>
      <c r="F479">
        <v>5</v>
      </c>
      <c r="G479">
        <v>7</v>
      </c>
      <c r="H479">
        <v>12</v>
      </c>
      <c r="I479" t="s">
        <v>1991</v>
      </c>
    </row>
    <row r="480" spans="1:9" x14ac:dyDescent="0.25">
      <c r="A480">
        <v>478</v>
      </c>
      <c r="B480" t="s">
        <v>2110</v>
      </c>
      <c r="C480" t="s">
        <v>1736</v>
      </c>
      <c r="D480" t="s">
        <v>1719</v>
      </c>
      <c r="E480">
        <v>66</v>
      </c>
      <c r="F480">
        <v>3</v>
      </c>
      <c r="G480">
        <v>9</v>
      </c>
      <c r="H480">
        <v>12</v>
      </c>
      <c r="I480" t="s">
        <v>2064</v>
      </c>
    </row>
    <row r="481" spans="1:9" x14ac:dyDescent="0.25">
      <c r="A481">
        <v>479</v>
      </c>
      <c r="B481" t="s">
        <v>2111</v>
      </c>
      <c r="C481" t="s">
        <v>1718</v>
      </c>
      <c r="D481" t="s">
        <v>1701</v>
      </c>
      <c r="E481">
        <v>58</v>
      </c>
      <c r="F481">
        <v>2</v>
      </c>
      <c r="G481">
        <v>10</v>
      </c>
      <c r="H481">
        <v>12</v>
      </c>
      <c r="I481" t="s">
        <v>2012</v>
      </c>
    </row>
    <row r="482" spans="1:9" x14ac:dyDescent="0.25">
      <c r="A482">
        <v>480</v>
      </c>
      <c r="B482" t="s">
        <v>2112</v>
      </c>
      <c r="C482" t="s">
        <v>1713</v>
      </c>
      <c r="D482" t="s">
        <v>1719</v>
      </c>
      <c r="E482">
        <v>80</v>
      </c>
      <c r="F482">
        <v>5</v>
      </c>
      <c r="G482">
        <v>7</v>
      </c>
      <c r="H482">
        <v>12</v>
      </c>
      <c r="I482" t="s">
        <v>2107</v>
      </c>
    </row>
    <row r="483" spans="1:9" x14ac:dyDescent="0.25">
      <c r="A483">
        <v>481</v>
      </c>
      <c r="B483" t="s">
        <v>2113</v>
      </c>
      <c r="C483" t="s">
        <v>1715</v>
      </c>
      <c r="D483" t="s">
        <v>1711</v>
      </c>
      <c r="E483">
        <v>45</v>
      </c>
      <c r="F483">
        <v>8</v>
      </c>
      <c r="G483">
        <v>4</v>
      </c>
      <c r="H483">
        <v>12</v>
      </c>
      <c r="I483" t="s">
        <v>1963</v>
      </c>
    </row>
    <row r="484" spans="1:9" x14ac:dyDescent="0.25">
      <c r="A484">
        <v>482</v>
      </c>
      <c r="B484" t="s">
        <v>2114</v>
      </c>
      <c r="C484" t="s">
        <v>1726</v>
      </c>
      <c r="D484" t="s">
        <v>1701</v>
      </c>
      <c r="E484">
        <v>60</v>
      </c>
      <c r="F484">
        <v>3</v>
      </c>
      <c r="G484">
        <v>9</v>
      </c>
      <c r="H484">
        <v>12</v>
      </c>
      <c r="I484" t="s">
        <v>2029</v>
      </c>
    </row>
    <row r="485" spans="1:9" x14ac:dyDescent="0.25">
      <c r="A485">
        <v>483</v>
      </c>
      <c r="B485" t="s">
        <v>2115</v>
      </c>
      <c r="C485" t="s">
        <v>1721</v>
      </c>
      <c r="D485" t="s">
        <v>1701</v>
      </c>
      <c r="E485">
        <v>30</v>
      </c>
      <c r="F485">
        <v>5</v>
      </c>
      <c r="G485">
        <v>7</v>
      </c>
      <c r="H485">
        <v>12</v>
      </c>
      <c r="I485" t="s">
        <v>1860</v>
      </c>
    </row>
    <row r="486" spans="1:9" x14ac:dyDescent="0.25">
      <c r="A486">
        <v>484</v>
      </c>
      <c r="B486" t="s">
        <v>2116</v>
      </c>
      <c r="C486" t="s">
        <v>1715</v>
      </c>
      <c r="D486" t="s">
        <v>1719</v>
      </c>
      <c r="E486">
        <v>59</v>
      </c>
      <c r="F486">
        <v>2</v>
      </c>
      <c r="G486">
        <v>10</v>
      </c>
      <c r="H486">
        <v>12</v>
      </c>
      <c r="I486" t="s">
        <v>2029</v>
      </c>
    </row>
    <row r="487" spans="1:9" x14ac:dyDescent="0.25">
      <c r="A487">
        <v>485</v>
      </c>
      <c r="B487" t="s">
        <v>2117</v>
      </c>
      <c r="C487" t="s">
        <v>1729</v>
      </c>
      <c r="D487" t="s">
        <v>1701</v>
      </c>
      <c r="E487">
        <v>82</v>
      </c>
      <c r="F487">
        <v>5</v>
      </c>
      <c r="G487">
        <v>7</v>
      </c>
      <c r="H487">
        <v>12</v>
      </c>
      <c r="I487" t="s">
        <v>2107</v>
      </c>
    </row>
    <row r="488" spans="1:9" x14ac:dyDescent="0.25">
      <c r="A488">
        <v>486</v>
      </c>
      <c r="B488" t="s">
        <v>2118</v>
      </c>
      <c r="C488" t="s">
        <v>1736</v>
      </c>
      <c r="D488" t="s">
        <v>1719</v>
      </c>
      <c r="E488">
        <v>82</v>
      </c>
      <c r="F488">
        <v>4</v>
      </c>
      <c r="G488">
        <v>8</v>
      </c>
      <c r="H488">
        <v>12</v>
      </c>
      <c r="I488" t="s">
        <v>2107</v>
      </c>
    </row>
    <row r="489" spans="1:9" x14ac:dyDescent="0.25">
      <c r="A489">
        <v>487</v>
      </c>
      <c r="B489" t="s">
        <v>2119</v>
      </c>
      <c r="C489" t="s">
        <v>1729</v>
      </c>
      <c r="D489" t="s">
        <v>1701</v>
      </c>
      <c r="E489">
        <v>73</v>
      </c>
      <c r="F489">
        <v>7</v>
      </c>
      <c r="G489">
        <v>5</v>
      </c>
      <c r="H489">
        <v>12</v>
      </c>
      <c r="I489" t="s">
        <v>2078</v>
      </c>
    </row>
    <row r="490" spans="1:9" x14ac:dyDescent="0.25">
      <c r="A490">
        <v>488</v>
      </c>
      <c r="B490" t="s">
        <v>2120</v>
      </c>
      <c r="C490" t="s">
        <v>1768</v>
      </c>
      <c r="D490" t="s">
        <v>1701</v>
      </c>
      <c r="E490">
        <v>54</v>
      </c>
      <c r="F490">
        <v>4</v>
      </c>
      <c r="G490">
        <v>8</v>
      </c>
      <c r="H490">
        <v>12</v>
      </c>
      <c r="I490" t="s">
        <v>1993</v>
      </c>
    </row>
    <row r="491" spans="1:9" x14ac:dyDescent="0.25">
      <c r="A491">
        <v>489</v>
      </c>
      <c r="B491" t="s">
        <v>2121</v>
      </c>
      <c r="C491" t="s">
        <v>1757</v>
      </c>
      <c r="D491" t="s">
        <v>1719</v>
      </c>
      <c r="E491">
        <v>31</v>
      </c>
      <c r="F491">
        <v>2</v>
      </c>
      <c r="G491">
        <v>9</v>
      </c>
      <c r="H491">
        <v>11</v>
      </c>
      <c r="I491" t="s">
        <v>1887</v>
      </c>
    </row>
    <row r="492" spans="1:9" x14ac:dyDescent="0.25">
      <c r="A492">
        <v>490</v>
      </c>
      <c r="B492" t="s">
        <v>2122</v>
      </c>
      <c r="C492" t="s">
        <v>1715</v>
      </c>
      <c r="D492" t="s">
        <v>1701</v>
      </c>
      <c r="E492">
        <v>38</v>
      </c>
      <c r="F492">
        <v>4</v>
      </c>
      <c r="G492">
        <v>7</v>
      </c>
      <c r="H492">
        <v>11</v>
      </c>
      <c r="I492" t="s">
        <v>1938</v>
      </c>
    </row>
    <row r="493" spans="1:9" x14ac:dyDescent="0.25">
      <c r="A493">
        <v>491</v>
      </c>
      <c r="B493" t="s">
        <v>2123</v>
      </c>
      <c r="C493" t="s">
        <v>1721</v>
      </c>
      <c r="D493" t="s">
        <v>1706</v>
      </c>
      <c r="E493">
        <v>51</v>
      </c>
      <c r="F493">
        <v>1</v>
      </c>
      <c r="G493">
        <v>10</v>
      </c>
      <c r="H493">
        <v>11</v>
      </c>
      <c r="I493" t="s">
        <v>1993</v>
      </c>
    </row>
    <row r="494" spans="1:9" x14ac:dyDescent="0.25">
      <c r="A494">
        <v>492</v>
      </c>
      <c r="B494" t="s">
        <v>2124</v>
      </c>
      <c r="C494" t="s">
        <v>1763</v>
      </c>
      <c r="D494" t="s">
        <v>1719</v>
      </c>
      <c r="E494">
        <v>56</v>
      </c>
      <c r="F494">
        <v>2</v>
      </c>
      <c r="G494">
        <v>9</v>
      </c>
      <c r="H494">
        <v>11</v>
      </c>
      <c r="I494" t="s">
        <v>2029</v>
      </c>
    </row>
    <row r="495" spans="1:9" x14ac:dyDescent="0.25">
      <c r="A495">
        <v>493</v>
      </c>
      <c r="B495" t="s">
        <v>2125</v>
      </c>
      <c r="C495" t="s">
        <v>1700</v>
      </c>
      <c r="D495" t="s">
        <v>1706</v>
      </c>
      <c r="E495">
        <v>31</v>
      </c>
      <c r="F495">
        <v>8</v>
      </c>
      <c r="G495">
        <v>3</v>
      </c>
      <c r="H495">
        <v>11</v>
      </c>
      <c r="I495" t="s">
        <v>1887</v>
      </c>
    </row>
    <row r="496" spans="1:9" x14ac:dyDescent="0.25">
      <c r="A496">
        <v>494</v>
      </c>
      <c r="B496" t="s">
        <v>2126</v>
      </c>
      <c r="C496" t="s">
        <v>1732</v>
      </c>
      <c r="D496" t="s">
        <v>1719</v>
      </c>
      <c r="E496">
        <v>75</v>
      </c>
      <c r="F496">
        <v>4</v>
      </c>
      <c r="G496">
        <v>7</v>
      </c>
      <c r="H496">
        <v>11</v>
      </c>
      <c r="I496" t="s">
        <v>2107</v>
      </c>
    </row>
    <row r="497" spans="1:9" x14ac:dyDescent="0.25">
      <c r="A497">
        <v>495</v>
      </c>
      <c r="B497" t="s">
        <v>2127</v>
      </c>
      <c r="C497" t="s">
        <v>1729</v>
      </c>
      <c r="D497" t="s">
        <v>1719</v>
      </c>
      <c r="E497">
        <v>33</v>
      </c>
      <c r="F497">
        <v>3</v>
      </c>
      <c r="G497">
        <v>8</v>
      </c>
      <c r="H497">
        <v>11</v>
      </c>
      <c r="I497" t="s">
        <v>1910</v>
      </c>
    </row>
    <row r="498" spans="1:9" x14ac:dyDescent="0.25">
      <c r="A498">
        <v>496</v>
      </c>
      <c r="B498" t="s">
        <v>2128</v>
      </c>
      <c r="C498" t="s">
        <v>1700</v>
      </c>
      <c r="D498" t="s">
        <v>1719</v>
      </c>
      <c r="E498">
        <v>44</v>
      </c>
      <c r="F498">
        <v>5</v>
      </c>
      <c r="G498">
        <v>6</v>
      </c>
      <c r="H498">
        <v>11</v>
      </c>
      <c r="I498" t="s">
        <v>1991</v>
      </c>
    </row>
    <row r="499" spans="1:9" x14ac:dyDescent="0.25">
      <c r="A499">
        <v>497</v>
      </c>
      <c r="B499" t="s">
        <v>119</v>
      </c>
      <c r="C499" t="s">
        <v>1726</v>
      </c>
      <c r="D499" t="s">
        <v>1706</v>
      </c>
      <c r="E499">
        <v>32</v>
      </c>
      <c r="F499">
        <v>3</v>
      </c>
      <c r="G499">
        <v>8</v>
      </c>
      <c r="H499">
        <v>11</v>
      </c>
      <c r="I499" t="s">
        <v>1898</v>
      </c>
    </row>
    <row r="500" spans="1:9" x14ac:dyDescent="0.25">
      <c r="A500">
        <v>498</v>
      </c>
      <c r="B500" t="s">
        <v>2129</v>
      </c>
      <c r="C500" t="s">
        <v>1713</v>
      </c>
      <c r="D500" t="s">
        <v>1719</v>
      </c>
      <c r="E500">
        <v>35</v>
      </c>
      <c r="F500">
        <v>0</v>
      </c>
      <c r="G500">
        <v>11</v>
      </c>
      <c r="H500">
        <v>11</v>
      </c>
      <c r="I500" t="s">
        <v>1916</v>
      </c>
    </row>
    <row r="501" spans="1:9" x14ac:dyDescent="0.25">
      <c r="A501">
        <v>499</v>
      </c>
      <c r="B501" t="s">
        <v>2130</v>
      </c>
      <c r="C501" t="s">
        <v>1748</v>
      </c>
      <c r="D501" t="s">
        <v>1711</v>
      </c>
      <c r="E501">
        <v>52</v>
      </c>
      <c r="F501">
        <v>8</v>
      </c>
      <c r="G501">
        <v>3</v>
      </c>
      <c r="H501">
        <v>11</v>
      </c>
      <c r="I501" t="s">
        <v>2012</v>
      </c>
    </row>
    <row r="502" spans="1:9" x14ac:dyDescent="0.25">
      <c r="A502">
        <v>500</v>
      </c>
      <c r="B502" t="s">
        <v>2131</v>
      </c>
      <c r="C502" t="s">
        <v>1763</v>
      </c>
      <c r="D502" t="s">
        <v>1701</v>
      </c>
      <c r="E502">
        <v>36</v>
      </c>
      <c r="F502">
        <v>6</v>
      </c>
      <c r="G502">
        <v>5</v>
      </c>
      <c r="H502">
        <v>11</v>
      </c>
      <c r="I502" t="s">
        <v>1916</v>
      </c>
    </row>
    <row r="503" spans="1:9" x14ac:dyDescent="0.25">
      <c r="A503">
        <v>501</v>
      </c>
      <c r="B503" t="s">
        <v>2132</v>
      </c>
      <c r="C503" t="s">
        <v>1732</v>
      </c>
      <c r="D503" t="s">
        <v>1701</v>
      </c>
      <c r="E503">
        <v>53</v>
      </c>
      <c r="F503">
        <v>6</v>
      </c>
      <c r="G503">
        <v>5</v>
      </c>
      <c r="H503">
        <v>11</v>
      </c>
      <c r="I503" t="s">
        <v>2012</v>
      </c>
    </row>
    <row r="504" spans="1:9" x14ac:dyDescent="0.25">
      <c r="A504">
        <v>502</v>
      </c>
      <c r="B504" t="s">
        <v>2133</v>
      </c>
      <c r="C504" t="s">
        <v>1746</v>
      </c>
      <c r="D504" t="s">
        <v>1719</v>
      </c>
      <c r="E504">
        <v>60</v>
      </c>
      <c r="F504">
        <v>2</v>
      </c>
      <c r="G504">
        <v>9</v>
      </c>
      <c r="H504">
        <v>11</v>
      </c>
      <c r="I504" t="s">
        <v>2064</v>
      </c>
    </row>
    <row r="505" spans="1:9" x14ac:dyDescent="0.25">
      <c r="A505">
        <v>503</v>
      </c>
      <c r="B505" t="s">
        <v>2134</v>
      </c>
      <c r="C505" t="s">
        <v>1700</v>
      </c>
      <c r="D505" t="s">
        <v>1711</v>
      </c>
      <c r="E505">
        <v>41</v>
      </c>
      <c r="F505">
        <v>4</v>
      </c>
      <c r="G505">
        <v>6</v>
      </c>
      <c r="H505">
        <v>10</v>
      </c>
      <c r="I505" t="s">
        <v>1973</v>
      </c>
    </row>
    <row r="506" spans="1:9" x14ac:dyDescent="0.25">
      <c r="A506">
        <v>504</v>
      </c>
      <c r="B506" t="s">
        <v>2135</v>
      </c>
      <c r="C506" t="s">
        <v>1718</v>
      </c>
      <c r="D506" t="s">
        <v>1719</v>
      </c>
      <c r="E506">
        <v>81</v>
      </c>
      <c r="F506">
        <v>2</v>
      </c>
      <c r="G506">
        <v>8</v>
      </c>
      <c r="H506">
        <v>10</v>
      </c>
      <c r="I506" t="s">
        <v>2136</v>
      </c>
    </row>
    <row r="507" spans="1:9" x14ac:dyDescent="0.25">
      <c r="A507">
        <v>505</v>
      </c>
      <c r="B507" t="s">
        <v>2137</v>
      </c>
      <c r="C507" t="s">
        <v>1703</v>
      </c>
      <c r="D507" t="s">
        <v>1719</v>
      </c>
      <c r="E507">
        <v>34</v>
      </c>
      <c r="F507">
        <v>2</v>
      </c>
      <c r="G507">
        <v>8</v>
      </c>
      <c r="H507">
        <v>10</v>
      </c>
      <c r="I507" t="s">
        <v>1938</v>
      </c>
    </row>
    <row r="508" spans="1:9" x14ac:dyDescent="0.25">
      <c r="A508">
        <v>506</v>
      </c>
      <c r="B508" t="s">
        <v>2138</v>
      </c>
      <c r="C508" t="s">
        <v>1751</v>
      </c>
      <c r="D508" t="s">
        <v>1701</v>
      </c>
      <c r="E508">
        <v>58</v>
      </c>
      <c r="F508">
        <v>8</v>
      </c>
      <c r="G508">
        <v>2</v>
      </c>
      <c r="H508">
        <v>10</v>
      </c>
      <c r="I508" t="s">
        <v>2060</v>
      </c>
    </row>
    <row r="509" spans="1:9" x14ac:dyDescent="0.25">
      <c r="A509">
        <v>507</v>
      </c>
      <c r="B509" t="s">
        <v>2139</v>
      </c>
      <c r="C509" t="s">
        <v>1779</v>
      </c>
      <c r="D509" t="s">
        <v>1701</v>
      </c>
      <c r="E509">
        <v>39</v>
      </c>
      <c r="F509">
        <v>6</v>
      </c>
      <c r="G509">
        <v>4</v>
      </c>
      <c r="H509">
        <v>10</v>
      </c>
      <c r="I509" t="s">
        <v>1969</v>
      </c>
    </row>
    <row r="510" spans="1:9" x14ac:dyDescent="0.25">
      <c r="A510">
        <v>508</v>
      </c>
      <c r="B510" t="s">
        <v>2140</v>
      </c>
      <c r="C510" t="s">
        <v>1757</v>
      </c>
      <c r="D510" t="s">
        <v>1719</v>
      </c>
      <c r="E510">
        <v>72</v>
      </c>
      <c r="F510">
        <v>3</v>
      </c>
      <c r="G510">
        <v>7</v>
      </c>
      <c r="H510">
        <v>10</v>
      </c>
      <c r="I510" t="s">
        <v>2141</v>
      </c>
    </row>
    <row r="511" spans="1:9" x14ac:dyDescent="0.25">
      <c r="A511">
        <v>509</v>
      </c>
      <c r="B511" t="s">
        <v>2142</v>
      </c>
      <c r="C511" t="s">
        <v>1739</v>
      </c>
      <c r="D511" t="s">
        <v>1706</v>
      </c>
      <c r="E511">
        <v>21</v>
      </c>
      <c r="F511">
        <v>4</v>
      </c>
      <c r="G511">
        <v>6</v>
      </c>
      <c r="H511">
        <v>10</v>
      </c>
      <c r="I511" t="s">
        <v>1826</v>
      </c>
    </row>
    <row r="512" spans="1:9" x14ac:dyDescent="0.25">
      <c r="A512">
        <v>510</v>
      </c>
      <c r="B512" t="s">
        <v>2143</v>
      </c>
      <c r="C512" t="s">
        <v>1779</v>
      </c>
      <c r="D512" t="s">
        <v>1701</v>
      </c>
      <c r="E512">
        <v>59</v>
      </c>
      <c r="F512">
        <v>4</v>
      </c>
      <c r="G512">
        <v>6</v>
      </c>
      <c r="H512">
        <v>10</v>
      </c>
      <c r="I512" t="s">
        <v>2060</v>
      </c>
    </row>
    <row r="513" spans="1:9" x14ac:dyDescent="0.25">
      <c r="A513">
        <v>511</v>
      </c>
      <c r="B513" t="s">
        <v>2144</v>
      </c>
      <c r="C513" t="s">
        <v>1772</v>
      </c>
      <c r="D513" t="s">
        <v>1701</v>
      </c>
      <c r="E513">
        <v>38</v>
      </c>
      <c r="F513">
        <v>1</v>
      </c>
      <c r="G513">
        <v>9</v>
      </c>
      <c r="H513">
        <v>10</v>
      </c>
      <c r="I513" t="s">
        <v>1969</v>
      </c>
    </row>
    <row r="514" spans="1:9" x14ac:dyDescent="0.25">
      <c r="A514">
        <v>512</v>
      </c>
      <c r="B514" t="s">
        <v>2145</v>
      </c>
      <c r="C514" t="s">
        <v>1738</v>
      </c>
      <c r="D514" t="s">
        <v>1701</v>
      </c>
      <c r="E514">
        <v>51</v>
      </c>
      <c r="F514">
        <v>6</v>
      </c>
      <c r="G514">
        <v>4</v>
      </c>
      <c r="H514">
        <v>10</v>
      </c>
      <c r="I514" t="s">
        <v>2029</v>
      </c>
    </row>
    <row r="515" spans="1:9" x14ac:dyDescent="0.25">
      <c r="A515">
        <v>513</v>
      </c>
      <c r="B515" t="s">
        <v>2146</v>
      </c>
      <c r="C515" t="s">
        <v>1772</v>
      </c>
      <c r="D515" t="s">
        <v>1706</v>
      </c>
      <c r="E515">
        <v>44</v>
      </c>
      <c r="F515">
        <v>8</v>
      </c>
      <c r="G515">
        <v>2</v>
      </c>
      <c r="H515">
        <v>10</v>
      </c>
      <c r="I515" t="s">
        <v>1982</v>
      </c>
    </row>
    <row r="516" spans="1:9" x14ac:dyDescent="0.25">
      <c r="A516">
        <v>514</v>
      </c>
      <c r="B516" t="s">
        <v>2147</v>
      </c>
      <c r="C516" t="s">
        <v>1713</v>
      </c>
      <c r="D516" t="s">
        <v>1701</v>
      </c>
      <c r="E516">
        <v>58</v>
      </c>
      <c r="F516">
        <v>4</v>
      </c>
      <c r="G516">
        <v>6</v>
      </c>
      <c r="H516">
        <v>10</v>
      </c>
      <c r="I516" t="s">
        <v>2060</v>
      </c>
    </row>
    <row r="517" spans="1:9" x14ac:dyDescent="0.25">
      <c r="A517">
        <v>515</v>
      </c>
      <c r="B517" t="s">
        <v>2148</v>
      </c>
      <c r="C517" t="s">
        <v>1739</v>
      </c>
      <c r="D517" t="s">
        <v>1719</v>
      </c>
      <c r="E517">
        <v>44</v>
      </c>
      <c r="F517">
        <v>3</v>
      </c>
      <c r="G517">
        <v>7</v>
      </c>
      <c r="H517">
        <v>10</v>
      </c>
      <c r="I517" t="s">
        <v>1982</v>
      </c>
    </row>
    <row r="518" spans="1:9" x14ac:dyDescent="0.25">
      <c r="A518">
        <v>516</v>
      </c>
      <c r="B518" t="s">
        <v>2149</v>
      </c>
      <c r="C518" t="s">
        <v>1724</v>
      </c>
      <c r="D518" t="s">
        <v>1701</v>
      </c>
      <c r="E518">
        <v>55</v>
      </c>
      <c r="F518">
        <v>3</v>
      </c>
      <c r="G518">
        <v>7</v>
      </c>
      <c r="H518">
        <v>10</v>
      </c>
      <c r="I518" t="s">
        <v>2064</v>
      </c>
    </row>
    <row r="519" spans="1:9" x14ac:dyDescent="0.25">
      <c r="A519">
        <v>517</v>
      </c>
      <c r="B519" t="s">
        <v>2150</v>
      </c>
      <c r="C519" t="s">
        <v>1710</v>
      </c>
      <c r="D519" t="s">
        <v>1719</v>
      </c>
      <c r="E519">
        <v>77</v>
      </c>
      <c r="F519">
        <v>2</v>
      </c>
      <c r="G519">
        <v>8</v>
      </c>
      <c r="H519">
        <v>10</v>
      </c>
      <c r="I519" t="s">
        <v>2151</v>
      </c>
    </row>
    <row r="520" spans="1:9" x14ac:dyDescent="0.25">
      <c r="A520">
        <v>518</v>
      </c>
      <c r="B520" t="s">
        <v>2152</v>
      </c>
      <c r="C520" t="s">
        <v>1779</v>
      </c>
      <c r="D520" t="s">
        <v>1719</v>
      </c>
      <c r="E520">
        <v>53</v>
      </c>
      <c r="F520">
        <v>2</v>
      </c>
      <c r="G520">
        <v>8</v>
      </c>
      <c r="H520">
        <v>10</v>
      </c>
      <c r="I520" t="s">
        <v>2049</v>
      </c>
    </row>
    <row r="521" spans="1:9" x14ac:dyDescent="0.25">
      <c r="A521">
        <v>519</v>
      </c>
      <c r="B521" t="s">
        <v>2153</v>
      </c>
      <c r="C521" t="s">
        <v>1774</v>
      </c>
      <c r="D521" t="s">
        <v>1719</v>
      </c>
      <c r="E521">
        <v>56</v>
      </c>
      <c r="F521">
        <v>0</v>
      </c>
      <c r="G521">
        <v>10</v>
      </c>
      <c r="H521">
        <v>10</v>
      </c>
      <c r="I521" t="s">
        <v>2064</v>
      </c>
    </row>
    <row r="522" spans="1:9" x14ac:dyDescent="0.25">
      <c r="A522">
        <v>520</v>
      </c>
      <c r="B522" t="s">
        <v>2154</v>
      </c>
      <c r="C522" t="s">
        <v>1738</v>
      </c>
      <c r="D522" t="s">
        <v>1719</v>
      </c>
      <c r="E522">
        <v>76</v>
      </c>
      <c r="F522">
        <v>2</v>
      </c>
      <c r="G522">
        <v>8</v>
      </c>
      <c r="H522">
        <v>10</v>
      </c>
      <c r="I522" t="s">
        <v>2151</v>
      </c>
    </row>
    <row r="523" spans="1:9" x14ac:dyDescent="0.25">
      <c r="A523">
        <v>521</v>
      </c>
      <c r="B523" t="s">
        <v>2155</v>
      </c>
      <c r="C523" t="s">
        <v>1771</v>
      </c>
      <c r="D523" t="s">
        <v>1701</v>
      </c>
      <c r="E523">
        <v>47</v>
      </c>
      <c r="F523">
        <v>6</v>
      </c>
      <c r="G523">
        <v>4</v>
      </c>
      <c r="H523">
        <v>10</v>
      </c>
      <c r="I523" t="s">
        <v>2012</v>
      </c>
    </row>
    <row r="524" spans="1:9" x14ac:dyDescent="0.25">
      <c r="A524">
        <v>522</v>
      </c>
      <c r="B524" t="s">
        <v>2156</v>
      </c>
      <c r="C524" t="s">
        <v>1732</v>
      </c>
      <c r="D524" t="s">
        <v>1711</v>
      </c>
      <c r="E524">
        <v>13</v>
      </c>
      <c r="F524">
        <v>2</v>
      </c>
      <c r="G524">
        <v>8</v>
      </c>
      <c r="H524">
        <v>10</v>
      </c>
      <c r="I524" t="s">
        <v>2157</v>
      </c>
    </row>
    <row r="525" spans="1:9" x14ac:dyDescent="0.25">
      <c r="A525">
        <v>523</v>
      </c>
      <c r="B525" t="s">
        <v>2158</v>
      </c>
      <c r="C525" t="s">
        <v>1726</v>
      </c>
      <c r="D525" t="s">
        <v>1719</v>
      </c>
      <c r="E525">
        <v>61</v>
      </c>
      <c r="F525">
        <v>4</v>
      </c>
      <c r="G525">
        <v>6</v>
      </c>
      <c r="H525">
        <v>10</v>
      </c>
      <c r="I525" t="s">
        <v>2078</v>
      </c>
    </row>
    <row r="526" spans="1:9" x14ac:dyDescent="0.25">
      <c r="A526">
        <v>524</v>
      </c>
      <c r="B526" t="s">
        <v>2159</v>
      </c>
      <c r="C526" t="s">
        <v>1732</v>
      </c>
      <c r="D526" t="s">
        <v>1711</v>
      </c>
      <c r="E526">
        <v>82</v>
      </c>
      <c r="F526">
        <v>5</v>
      </c>
      <c r="G526">
        <v>4</v>
      </c>
      <c r="H526">
        <v>9</v>
      </c>
      <c r="I526" t="s">
        <v>2160</v>
      </c>
    </row>
    <row r="527" spans="1:9" x14ac:dyDescent="0.25">
      <c r="A527">
        <v>525</v>
      </c>
      <c r="B527" t="s">
        <v>2161</v>
      </c>
      <c r="C527" t="s">
        <v>1739</v>
      </c>
      <c r="D527" t="s">
        <v>1719</v>
      </c>
      <c r="E527">
        <v>25</v>
      </c>
      <c r="F527">
        <v>2</v>
      </c>
      <c r="G527">
        <v>7</v>
      </c>
      <c r="H527">
        <v>9</v>
      </c>
      <c r="I527" t="s">
        <v>1890</v>
      </c>
    </row>
    <row r="528" spans="1:9" x14ac:dyDescent="0.25">
      <c r="A528">
        <v>526</v>
      </c>
      <c r="B528" t="s">
        <v>2162</v>
      </c>
      <c r="C528" t="s">
        <v>1713</v>
      </c>
      <c r="D528" t="s">
        <v>1719</v>
      </c>
      <c r="E528">
        <v>70</v>
      </c>
      <c r="F528">
        <v>1</v>
      </c>
      <c r="G528">
        <v>8</v>
      </c>
      <c r="H528">
        <v>9</v>
      </c>
      <c r="I528" t="s">
        <v>2151</v>
      </c>
    </row>
    <row r="529" spans="1:9" x14ac:dyDescent="0.25">
      <c r="A529">
        <v>527</v>
      </c>
      <c r="B529" t="s">
        <v>2163</v>
      </c>
      <c r="C529" t="s">
        <v>1705</v>
      </c>
      <c r="D529" t="s">
        <v>1719</v>
      </c>
      <c r="E529">
        <v>52</v>
      </c>
      <c r="F529">
        <v>2</v>
      </c>
      <c r="G529">
        <v>7</v>
      </c>
      <c r="H529">
        <v>9</v>
      </c>
      <c r="I529" t="s">
        <v>2060</v>
      </c>
    </row>
    <row r="530" spans="1:9" x14ac:dyDescent="0.25">
      <c r="A530">
        <v>528</v>
      </c>
      <c r="B530" t="s">
        <v>2164</v>
      </c>
      <c r="C530" t="s">
        <v>1724</v>
      </c>
      <c r="D530" t="s">
        <v>1719</v>
      </c>
      <c r="E530">
        <v>34</v>
      </c>
      <c r="F530">
        <v>2</v>
      </c>
      <c r="G530">
        <v>7</v>
      </c>
      <c r="H530">
        <v>9</v>
      </c>
      <c r="I530" t="s">
        <v>1969</v>
      </c>
    </row>
    <row r="531" spans="1:9" x14ac:dyDescent="0.25">
      <c r="A531">
        <v>529</v>
      </c>
      <c r="B531" t="s">
        <v>2165</v>
      </c>
      <c r="C531" t="s">
        <v>1721</v>
      </c>
      <c r="D531" t="s">
        <v>1706</v>
      </c>
      <c r="E531">
        <v>40</v>
      </c>
      <c r="F531">
        <v>3</v>
      </c>
      <c r="G531">
        <v>6</v>
      </c>
      <c r="H531">
        <v>9</v>
      </c>
      <c r="I531" t="s">
        <v>1982</v>
      </c>
    </row>
    <row r="532" spans="1:9" x14ac:dyDescent="0.25">
      <c r="A532">
        <v>530</v>
      </c>
      <c r="B532" t="s">
        <v>2166</v>
      </c>
      <c r="C532" t="s">
        <v>1779</v>
      </c>
      <c r="D532" t="s">
        <v>1706</v>
      </c>
      <c r="E532">
        <v>55</v>
      </c>
      <c r="F532">
        <v>5</v>
      </c>
      <c r="G532">
        <v>4</v>
      </c>
      <c r="H532">
        <v>9</v>
      </c>
      <c r="I532" t="s">
        <v>2078</v>
      </c>
    </row>
    <row r="533" spans="1:9" x14ac:dyDescent="0.25">
      <c r="A533">
        <v>531</v>
      </c>
      <c r="B533" t="s">
        <v>2167</v>
      </c>
      <c r="C533" t="s">
        <v>1736</v>
      </c>
      <c r="D533" t="s">
        <v>1719</v>
      </c>
      <c r="E533">
        <v>51</v>
      </c>
      <c r="F533">
        <v>1</v>
      </c>
      <c r="G533">
        <v>8</v>
      </c>
      <c r="H533">
        <v>9</v>
      </c>
      <c r="I533" t="s">
        <v>2064</v>
      </c>
    </row>
    <row r="534" spans="1:9" x14ac:dyDescent="0.25">
      <c r="A534">
        <v>532</v>
      </c>
      <c r="B534" t="s">
        <v>2168</v>
      </c>
      <c r="C534" t="s">
        <v>1757</v>
      </c>
      <c r="D534" t="s">
        <v>1719</v>
      </c>
      <c r="E534">
        <v>51</v>
      </c>
      <c r="F534">
        <v>3</v>
      </c>
      <c r="G534">
        <v>6</v>
      </c>
      <c r="H534">
        <v>9</v>
      </c>
      <c r="I534" t="s">
        <v>2064</v>
      </c>
    </row>
    <row r="535" spans="1:9" x14ac:dyDescent="0.25">
      <c r="A535">
        <v>533</v>
      </c>
      <c r="B535" t="s">
        <v>2169</v>
      </c>
      <c r="C535" t="s">
        <v>1726</v>
      </c>
      <c r="D535" t="s">
        <v>1719</v>
      </c>
      <c r="E535">
        <v>36</v>
      </c>
      <c r="F535">
        <v>1</v>
      </c>
      <c r="G535">
        <v>8</v>
      </c>
      <c r="H535">
        <v>9</v>
      </c>
      <c r="I535" t="s">
        <v>1991</v>
      </c>
    </row>
    <row r="536" spans="1:9" x14ac:dyDescent="0.25">
      <c r="A536">
        <v>534</v>
      </c>
      <c r="B536" t="s">
        <v>2170</v>
      </c>
      <c r="C536" t="s">
        <v>1772</v>
      </c>
      <c r="D536" t="s">
        <v>1706</v>
      </c>
      <c r="E536">
        <v>53</v>
      </c>
      <c r="F536">
        <v>4</v>
      </c>
      <c r="G536">
        <v>5</v>
      </c>
      <c r="H536">
        <v>9</v>
      </c>
      <c r="I536" t="s">
        <v>2060</v>
      </c>
    </row>
    <row r="537" spans="1:9" x14ac:dyDescent="0.25">
      <c r="A537">
        <v>535</v>
      </c>
      <c r="B537" t="s">
        <v>2171</v>
      </c>
      <c r="C537" t="s">
        <v>1779</v>
      </c>
      <c r="D537" t="s">
        <v>1719</v>
      </c>
      <c r="E537">
        <v>66</v>
      </c>
      <c r="F537">
        <v>2</v>
      </c>
      <c r="G537">
        <v>7</v>
      </c>
      <c r="H537">
        <v>9</v>
      </c>
      <c r="I537" t="s">
        <v>2141</v>
      </c>
    </row>
    <row r="538" spans="1:9" x14ac:dyDescent="0.25">
      <c r="A538">
        <v>536</v>
      </c>
      <c r="B538" t="s">
        <v>2172</v>
      </c>
      <c r="C538" t="s">
        <v>1732</v>
      </c>
      <c r="D538" t="s">
        <v>1706</v>
      </c>
      <c r="E538">
        <v>56</v>
      </c>
      <c r="F538">
        <v>5</v>
      </c>
      <c r="G538">
        <v>4</v>
      </c>
      <c r="H538">
        <v>9</v>
      </c>
      <c r="I538" t="s">
        <v>2078</v>
      </c>
    </row>
    <row r="539" spans="1:9" x14ac:dyDescent="0.25">
      <c r="A539">
        <v>537</v>
      </c>
      <c r="B539" t="s">
        <v>2173</v>
      </c>
      <c r="C539" t="s">
        <v>1757</v>
      </c>
      <c r="D539" t="s">
        <v>1711</v>
      </c>
      <c r="E539">
        <v>40</v>
      </c>
      <c r="F539">
        <v>6</v>
      </c>
      <c r="G539">
        <v>3</v>
      </c>
      <c r="H539">
        <v>9</v>
      </c>
      <c r="I539" t="s">
        <v>1982</v>
      </c>
    </row>
    <row r="540" spans="1:9" x14ac:dyDescent="0.25">
      <c r="A540">
        <v>538</v>
      </c>
      <c r="B540" t="s">
        <v>2174</v>
      </c>
      <c r="C540" t="s">
        <v>1735</v>
      </c>
      <c r="D540" t="s">
        <v>1701</v>
      </c>
      <c r="E540">
        <v>52</v>
      </c>
      <c r="F540">
        <v>7</v>
      </c>
      <c r="G540">
        <v>2</v>
      </c>
      <c r="H540">
        <v>9</v>
      </c>
      <c r="I540" t="s">
        <v>2060</v>
      </c>
    </row>
    <row r="541" spans="1:9" x14ac:dyDescent="0.25">
      <c r="A541">
        <v>539</v>
      </c>
      <c r="B541" t="s">
        <v>2175</v>
      </c>
      <c r="C541" t="s">
        <v>1772</v>
      </c>
      <c r="D541" t="s">
        <v>1711</v>
      </c>
      <c r="E541">
        <v>27</v>
      </c>
      <c r="F541">
        <v>3</v>
      </c>
      <c r="G541">
        <v>6</v>
      </c>
      <c r="H541">
        <v>9</v>
      </c>
      <c r="I541" t="s">
        <v>1910</v>
      </c>
    </row>
    <row r="542" spans="1:9" x14ac:dyDescent="0.25">
      <c r="A542">
        <v>540</v>
      </c>
      <c r="B542" t="s">
        <v>2176</v>
      </c>
      <c r="C542" t="s">
        <v>1738</v>
      </c>
      <c r="D542" t="s">
        <v>1711</v>
      </c>
      <c r="E542">
        <v>33</v>
      </c>
      <c r="F542">
        <v>2</v>
      </c>
      <c r="G542">
        <v>7</v>
      </c>
      <c r="H542">
        <v>9</v>
      </c>
      <c r="I542" t="s">
        <v>1963</v>
      </c>
    </row>
    <row r="543" spans="1:9" x14ac:dyDescent="0.25">
      <c r="A543">
        <v>541</v>
      </c>
      <c r="B543" t="s">
        <v>2177</v>
      </c>
      <c r="C543" t="s">
        <v>1768</v>
      </c>
      <c r="D543" t="s">
        <v>1706</v>
      </c>
      <c r="E543">
        <v>16</v>
      </c>
      <c r="F543">
        <v>5</v>
      </c>
      <c r="G543">
        <v>4</v>
      </c>
      <c r="H543">
        <v>9</v>
      </c>
      <c r="I543" t="s">
        <v>1796</v>
      </c>
    </row>
    <row r="544" spans="1:9" x14ac:dyDescent="0.25">
      <c r="A544">
        <v>542</v>
      </c>
      <c r="B544" t="s">
        <v>2178</v>
      </c>
      <c r="C544" t="s">
        <v>1771</v>
      </c>
      <c r="D544" t="s">
        <v>1701</v>
      </c>
      <c r="E544">
        <v>38</v>
      </c>
      <c r="F544">
        <v>2</v>
      </c>
      <c r="G544">
        <v>7</v>
      </c>
      <c r="H544">
        <v>9</v>
      </c>
      <c r="I544" t="s">
        <v>1973</v>
      </c>
    </row>
    <row r="545" spans="1:9" x14ac:dyDescent="0.25">
      <c r="A545">
        <v>543</v>
      </c>
      <c r="B545" t="s">
        <v>2179</v>
      </c>
      <c r="C545" t="s">
        <v>1741</v>
      </c>
      <c r="D545" t="s">
        <v>1719</v>
      </c>
      <c r="E545">
        <v>22</v>
      </c>
      <c r="F545">
        <v>0</v>
      </c>
      <c r="G545">
        <v>8</v>
      </c>
      <c r="H545">
        <v>8</v>
      </c>
      <c r="I545" t="s">
        <v>1890</v>
      </c>
    </row>
    <row r="546" spans="1:9" x14ac:dyDescent="0.25">
      <c r="A546">
        <v>544</v>
      </c>
      <c r="B546" t="s">
        <v>2180</v>
      </c>
      <c r="C546" t="s">
        <v>1763</v>
      </c>
      <c r="D546" t="s">
        <v>1711</v>
      </c>
      <c r="E546">
        <v>41</v>
      </c>
      <c r="F546">
        <v>5</v>
      </c>
      <c r="G546">
        <v>3</v>
      </c>
      <c r="H546">
        <v>8</v>
      </c>
      <c r="I546" t="s">
        <v>2029</v>
      </c>
    </row>
    <row r="547" spans="1:9" x14ac:dyDescent="0.25">
      <c r="A547">
        <v>545</v>
      </c>
      <c r="B547" t="s">
        <v>2181</v>
      </c>
      <c r="C547" t="s">
        <v>1713</v>
      </c>
      <c r="D547" t="s">
        <v>1701</v>
      </c>
      <c r="E547">
        <v>20</v>
      </c>
      <c r="F547">
        <v>6</v>
      </c>
      <c r="G547">
        <v>2</v>
      </c>
      <c r="H547">
        <v>8</v>
      </c>
      <c r="I547" t="s">
        <v>1860</v>
      </c>
    </row>
    <row r="548" spans="1:9" x14ac:dyDescent="0.25">
      <c r="A548">
        <v>546</v>
      </c>
      <c r="B548" t="s">
        <v>2182</v>
      </c>
      <c r="C548" t="s">
        <v>1735</v>
      </c>
      <c r="D548" t="s">
        <v>1719</v>
      </c>
      <c r="E548">
        <v>51</v>
      </c>
      <c r="F548">
        <v>2</v>
      </c>
      <c r="G548">
        <v>6</v>
      </c>
      <c r="H548">
        <v>8</v>
      </c>
      <c r="I548" t="s">
        <v>2078</v>
      </c>
    </row>
    <row r="549" spans="1:9" x14ac:dyDescent="0.25">
      <c r="A549">
        <v>547</v>
      </c>
      <c r="B549" t="s">
        <v>2183</v>
      </c>
      <c r="C549" t="s">
        <v>1741</v>
      </c>
      <c r="D549" t="s">
        <v>1701</v>
      </c>
      <c r="E549">
        <v>46</v>
      </c>
      <c r="F549">
        <v>4</v>
      </c>
      <c r="G549">
        <v>4</v>
      </c>
      <c r="H549">
        <v>8</v>
      </c>
      <c r="I549" t="s">
        <v>2060</v>
      </c>
    </row>
    <row r="550" spans="1:9" x14ac:dyDescent="0.25">
      <c r="A550">
        <v>548</v>
      </c>
      <c r="B550" t="s">
        <v>2184</v>
      </c>
      <c r="C550" t="s">
        <v>1763</v>
      </c>
      <c r="D550" t="s">
        <v>1719</v>
      </c>
      <c r="E550">
        <v>52</v>
      </c>
      <c r="F550">
        <v>0</v>
      </c>
      <c r="G550">
        <v>8</v>
      </c>
      <c r="H550">
        <v>8</v>
      </c>
      <c r="I550" t="s">
        <v>2107</v>
      </c>
    </row>
    <row r="551" spans="1:9" x14ac:dyDescent="0.25">
      <c r="A551">
        <v>549</v>
      </c>
      <c r="B551" t="s">
        <v>2185</v>
      </c>
      <c r="C551" t="s">
        <v>1732</v>
      </c>
      <c r="D551" t="s">
        <v>1719</v>
      </c>
      <c r="E551">
        <v>67</v>
      </c>
      <c r="F551">
        <v>2</v>
      </c>
      <c r="G551">
        <v>6</v>
      </c>
      <c r="H551">
        <v>8</v>
      </c>
      <c r="I551" t="s">
        <v>2136</v>
      </c>
    </row>
    <row r="552" spans="1:9" x14ac:dyDescent="0.25">
      <c r="A552">
        <v>550</v>
      </c>
      <c r="B552" t="s">
        <v>2186</v>
      </c>
      <c r="C552" t="s">
        <v>1721</v>
      </c>
      <c r="D552" t="s">
        <v>1711</v>
      </c>
      <c r="E552">
        <v>39</v>
      </c>
      <c r="F552">
        <v>4</v>
      </c>
      <c r="G552">
        <v>4</v>
      </c>
      <c r="H552">
        <v>8</v>
      </c>
      <c r="I552" t="s">
        <v>2012</v>
      </c>
    </row>
    <row r="553" spans="1:9" x14ac:dyDescent="0.25">
      <c r="A553">
        <v>551</v>
      </c>
      <c r="B553" t="s">
        <v>2187</v>
      </c>
      <c r="C553" t="s">
        <v>1768</v>
      </c>
      <c r="D553" t="s">
        <v>1719</v>
      </c>
      <c r="E553">
        <v>78</v>
      </c>
      <c r="F553">
        <v>1</v>
      </c>
      <c r="G553">
        <v>7</v>
      </c>
      <c r="H553">
        <v>8</v>
      </c>
      <c r="I553" t="s">
        <v>2188</v>
      </c>
    </row>
    <row r="554" spans="1:9" x14ac:dyDescent="0.25">
      <c r="A554">
        <v>552</v>
      </c>
      <c r="B554" t="s">
        <v>2189</v>
      </c>
      <c r="C554" t="s">
        <v>1779</v>
      </c>
      <c r="D554" t="s">
        <v>1701</v>
      </c>
      <c r="E554">
        <v>68</v>
      </c>
      <c r="F554">
        <v>4</v>
      </c>
      <c r="G554">
        <v>4</v>
      </c>
      <c r="H554">
        <v>8</v>
      </c>
      <c r="I554" t="s">
        <v>2136</v>
      </c>
    </row>
    <row r="555" spans="1:9" x14ac:dyDescent="0.25">
      <c r="A555">
        <v>553</v>
      </c>
      <c r="B555" t="s">
        <v>2190</v>
      </c>
      <c r="C555" t="s">
        <v>1710</v>
      </c>
      <c r="D555" t="s">
        <v>1711</v>
      </c>
      <c r="E555">
        <v>49</v>
      </c>
      <c r="F555">
        <v>3</v>
      </c>
      <c r="G555">
        <v>5</v>
      </c>
      <c r="H555">
        <v>8</v>
      </c>
      <c r="I555" t="s">
        <v>2078</v>
      </c>
    </row>
    <row r="556" spans="1:9" x14ac:dyDescent="0.25">
      <c r="A556">
        <v>554</v>
      </c>
      <c r="B556" t="s">
        <v>2191</v>
      </c>
      <c r="C556" t="s">
        <v>1700</v>
      </c>
      <c r="D556" t="s">
        <v>1706</v>
      </c>
      <c r="E556">
        <v>28</v>
      </c>
      <c r="F556">
        <v>1</v>
      </c>
      <c r="G556">
        <v>7</v>
      </c>
      <c r="H556">
        <v>8</v>
      </c>
      <c r="I556" t="s">
        <v>1938</v>
      </c>
    </row>
    <row r="557" spans="1:9" x14ac:dyDescent="0.25">
      <c r="A557">
        <v>555</v>
      </c>
      <c r="B557" t="s">
        <v>2192</v>
      </c>
      <c r="C557" t="s">
        <v>1705</v>
      </c>
      <c r="D557" t="s">
        <v>1701</v>
      </c>
      <c r="E557">
        <v>68</v>
      </c>
      <c r="F557">
        <v>4</v>
      </c>
      <c r="G557">
        <v>4</v>
      </c>
      <c r="H557">
        <v>8</v>
      </c>
      <c r="I557" t="s">
        <v>2136</v>
      </c>
    </row>
    <row r="558" spans="1:9" x14ac:dyDescent="0.25">
      <c r="A558">
        <v>556</v>
      </c>
      <c r="B558" t="s">
        <v>2193</v>
      </c>
      <c r="C558" t="s">
        <v>1718</v>
      </c>
      <c r="D558" t="s">
        <v>1719</v>
      </c>
      <c r="E558">
        <v>25</v>
      </c>
      <c r="F558">
        <v>1</v>
      </c>
      <c r="G558">
        <v>7</v>
      </c>
      <c r="H558">
        <v>8</v>
      </c>
      <c r="I558" t="s">
        <v>1907</v>
      </c>
    </row>
    <row r="559" spans="1:9" x14ac:dyDescent="0.25">
      <c r="A559">
        <v>557</v>
      </c>
      <c r="B559" t="s">
        <v>2194</v>
      </c>
      <c r="C559" t="s">
        <v>1748</v>
      </c>
      <c r="D559" t="s">
        <v>1711</v>
      </c>
      <c r="E559">
        <v>82</v>
      </c>
      <c r="F559">
        <v>4</v>
      </c>
      <c r="G559">
        <v>4</v>
      </c>
      <c r="H559">
        <v>8</v>
      </c>
      <c r="I559" t="s">
        <v>2188</v>
      </c>
    </row>
    <row r="560" spans="1:9" x14ac:dyDescent="0.25">
      <c r="A560">
        <v>558</v>
      </c>
      <c r="B560" t="s">
        <v>2195</v>
      </c>
      <c r="C560" t="s">
        <v>1779</v>
      </c>
      <c r="D560" t="s">
        <v>1701</v>
      </c>
      <c r="E560">
        <v>58</v>
      </c>
      <c r="F560">
        <v>4</v>
      </c>
      <c r="G560">
        <v>4</v>
      </c>
      <c r="H560">
        <v>8</v>
      </c>
      <c r="I560" t="s">
        <v>2141</v>
      </c>
    </row>
    <row r="561" spans="1:9" x14ac:dyDescent="0.25">
      <c r="A561">
        <v>559</v>
      </c>
      <c r="B561" t="s">
        <v>2196</v>
      </c>
      <c r="C561" t="s">
        <v>1774</v>
      </c>
      <c r="D561" t="s">
        <v>1701</v>
      </c>
      <c r="E561">
        <v>62</v>
      </c>
      <c r="F561">
        <v>4</v>
      </c>
      <c r="G561">
        <v>4</v>
      </c>
      <c r="H561">
        <v>8</v>
      </c>
      <c r="I561" t="s">
        <v>2151</v>
      </c>
    </row>
    <row r="562" spans="1:9" x14ac:dyDescent="0.25">
      <c r="A562">
        <v>560</v>
      </c>
      <c r="B562" t="s">
        <v>2197</v>
      </c>
      <c r="C562" t="s">
        <v>1705</v>
      </c>
      <c r="D562" t="s">
        <v>1719</v>
      </c>
      <c r="E562">
        <v>50</v>
      </c>
      <c r="F562">
        <v>2</v>
      </c>
      <c r="G562">
        <v>6</v>
      </c>
      <c r="H562">
        <v>8</v>
      </c>
      <c r="I562" t="s">
        <v>2078</v>
      </c>
    </row>
    <row r="563" spans="1:9" x14ac:dyDescent="0.25">
      <c r="A563">
        <v>561</v>
      </c>
      <c r="B563" t="s">
        <v>2198</v>
      </c>
      <c r="C563" t="s">
        <v>1745</v>
      </c>
      <c r="D563" t="s">
        <v>1701</v>
      </c>
      <c r="E563">
        <v>65</v>
      </c>
      <c r="F563">
        <v>5</v>
      </c>
      <c r="G563">
        <v>3</v>
      </c>
      <c r="H563">
        <v>8</v>
      </c>
      <c r="I563" t="s">
        <v>2136</v>
      </c>
    </row>
    <row r="564" spans="1:9" x14ac:dyDescent="0.25">
      <c r="A564">
        <v>562</v>
      </c>
      <c r="B564" t="s">
        <v>2199</v>
      </c>
      <c r="C564" t="s">
        <v>1732</v>
      </c>
      <c r="D564" t="s">
        <v>1719</v>
      </c>
      <c r="E564">
        <v>41</v>
      </c>
      <c r="F564">
        <v>1</v>
      </c>
      <c r="G564">
        <v>7</v>
      </c>
      <c r="H564">
        <v>8</v>
      </c>
      <c r="I564" t="s">
        <v>2029</v>
      </c>
    </row>
    <row r="565" spans="1:9" x14ac:dyDescent="0.25">
      <c r="A565">
        <v>563</v>
      </c>
      <c r="B565" t="s">
        <v>2200</v>
      </c>
      <c r="C565" t="s">
        <v>1751</v>
      </c>
      <c r="D565" t="s">
        <v>1719</v>
      </c>
      <c r="E565">
        <v>73</v>
      </c>
      <c r="F565">
        <v>1</v>
      </c>
      <c r="G565">
        <v>7</v>
      </c>
      <c r="H565">
        <v>8</v>
      </c>
      <c r="I565" t="s">
        <v>2160</v>
      </c>
    </row>
    <row r="566" spans="1:9" x14ac:dyDescent="0.25">
      <c r="A566">
        <v>564</v>
      </c>
      <c r="B566" t="s">
        <v>2201</v>
      </c>
      <c r="C566" t="s">
        <v>1745</v>
      </c>
      <c r="D566" t="s">
        <v>1711</v>
      </c>
      <c r="E566">
        <v>36</v>
      </c>
      <c r="F566">
        <v>1</v>
      </c>
      <c r="G566">
        <v>6</v>
      </c>
      <c r="H566">
        <v>7</v>
      </c>
      <c r="I566" t="s">
        <v>2049</v>
      </c>
    </row>
    <row r="567" spans="1:9" x14ac:dyDescent="0.25">
      <c r="A567">
        <v>565</v>
      </c>
      <c r="B567" t="s">
        <v>2202</v>
      </c>
      <c r="C567" t="s">
        <v>1713</v>
      </c>
      <c r="D567" t="s">
        <v>1701</v>
      </c>
      <c r="E567">
        <v>46</v>
      </c>
      <c r="F567">
        <v>3</v>
      </c>
      <c r="G567">
        <v>4</v>
      </c>
      <c r="H567">
        <v>7</v>
      </c>
      <c r="I567" t="s">
        <v>2107</v>
      </c>
    </row>
    <row r="568" spans="1:9" x14ac:dyDescent="0.25">
      <c r="A568">
        <v>566</v>
      </c>
      <c r="B568" t="s">
        <v>2203</v>
      </c>
      <c r="C568" t="s">
        <v>1772</v>
      </c>
      <c r="D568" t="s">
        <v>1719</v>
      </c>
      <c r="E568">
        <v>82</v>
      </c>
      <c r="F568">
        <v>1</v>
      </c>
      <c r="G568">
        <v>6</v>
      </c>
      <c r="H568">
        <v>7</v>
      </c>
      <c r="I568" t="s">
        <v>2204</v>
      </c>
    </row>
    <row r="569" spans="1:9" x14ac:dyDescent="0.25">
      <c r="A569">
        <v>567</v>
      </c>
      <c r="B569" t="s">
        <v>2205</v>
      </c>
      <c r="C569" t="s">
        <v>1738</v>
      </c>
      <c r="D569" t="s">
        <v>1711</v>
      </c>
      <c r="E569">
        <v>64</v>
      </c>
      <c r="F569">
        <v>3</v>
      </c>
      <c r="G569">
        <v>4</v>
      </c>
      <c r="H569">
        <v>7</v>
      </c>
      <c r="I569" t="s">
        <v>2160</v>
      </c>
    </row>
    <row r="570" spans="1:9" x14ac:dyDescent="0.25">
      <c r="A570">
        <v>568</v>
      </c>
      <c r="B570" t="s">
        <v>2206</v>
      </c>
      <c r="C570" t="s">
        <v>1738</v>
      </c>
      <c r="D570" t="s">
        <v>1701</v>
      </c>
      <c r="E570">
        <v>53</v>
      </c>
      <c r="F570">
        <v>3</v>
      </c>
      <c r="G570">
        <v>4</v>
      </c>
      <c r="H570">
        <v>7</v>
      </c>
      <c r="I570" t="s">
        <v>2151</v>
      </c>
    </row>
    <row r="571" spans="1:9" x14ac:dyDescent="0.25">
      <c r="A571">
        <v>569</v>
      </c>
      <c r="B571" t="s">
        <v>2207</v>
      </c>
      <c r="C571" t="s">
        <v>1746</v>
      </c>
      <c r="D571" t="s">
        <v>1719</v>
      </c>
      <c r="E571">
        <v>66</v>
      </c>
      <c r="F571">
        <v>2</v>
      </c>
      <c r="G571">
        <v>5</v>
      </c>
      <c r="H571">
        <v>7</v>
      </c>
      <c r="I571" t="s">
        <v>2160</v>
      </c>
    </row>
    <row r="572" spans="1:9" x14ac:dyDescent="0.25">
      <c r="A572">
        <v>570</v>
      </c>
      <c r="B572" t="s">
        <v>2208</v>
      </c>
      <c r="C572" t="s">
        <v>1736</v>
      </c>
      <c r="D572" t="s">
        <v>1711</v>
      </c>
      <c r="E572">
        <v>55</v>
      </c>
      <c r="F572">
        <v>5</v>
      </c>
      <c r="G572">
        <v>2</v>
      </c>
      <c r="H572">
        <v>7</v>
      </c>
      <c r="I572" t="s">
        <v>2151</v>
      </c>
    </row>
    <row r="573" spans="1:9" x14ac:dyDescent="0.25">
      <c r="A573">
        <v>571</v>
      </c>
      <c r="B573" t="s">
        <v>2209</v>
      </c>
      <c r="C573" t="s">
        <v>1741</v>
      </c>
      <c r="D573" t="s">
        <v>1719</v>
      </c>
      <c r="E573">
        <v>49</v>
      </c>
      <c r="F573">
        <v>1</v>
      </c>
      <c r="G573">
        <v>6</v>
      </c>
      <c r="H573">
        <v>7</v>
      </c>
      <c r="I573" t="s">
        <v>2141</v>
      </c>
    </row>
    <row r="574" spans="1:9" x14ac:dyDescent="0.25">
      <c r="A574">
        <v>572</v>
      </c>
      <c r="B574" t="s">
        <v>2210</v>
      </c>
      <c r="C574" t="s">
        <v>1752</v>
      </c>
      <c r="D574" t="s">
        <v>1701</v>
      </c>
      <c r="E574">
        <v>61</v>
      </c>
      <c r="F574">
        <v>3</v>
      </c>
      <c r="G574">
        <v>4</v>
      </c>
      <c r="H574">
        <v>7</v>
      </c>
      <c r="I574" t="s">
        <v>2160</v>
      </c>
    </row>
    <row r="575" spans="1:9" x14ac:dyDescent="0.25">
      <c r="A575">
        <v>573</v>
      </c>
      <c r="B575" t="s">
        <v>2211</v>
      </c>
      <c r="C575" t="s">
        <v>1724</v>
      </c>
      <c r="D575" t="s">
        <v>1719</v>
      </c>
      <c r="E575">
        <v>32</v>
      </c>
      <c r="F575">
        <v>2</v>
      </c>
      <c r="G575">
        <v>5</v>
      </c>
      <c r="H575">
        <v>7</v>
      </c>
      <c r="I575" t="s">
        <v>1993</v>
      </c>
    </row>
    <row r="576" spans="1:9" x14ac:dyDescent="0.25">
      <c r="A576">
        <v>574</v>
      </c>
      <c r="B576" t="s">
        <v>2212</v>
      </c>
      <c r="C576" t="s">
        <v>1763</v>
      </c>
      <c r="D576" t="s">
        <v>1719</v>
      </c>
      <c r="E576">
        <v>27</v>
      </c>
      <c r="F576">
        <v>0</v>
      </c>
      <c r="G576">
        <v>7</v>
      </c>
      <c r="H576">
        <v>7</v>
      </c>
      <c r="I576" t="s">
        <v>1969</v>
      </c>
    </row>
    <row r="577" spans="1:9" x14ac:dyDescent="0.25">
      <c r="A577">
        <v>575</v>
      </c>
      <c r="B577" t="s">
        <v>2213</v>
      </c>
      <c r="C577" t="s">
        <v>1735</v>
      </c>
      <c r="D577" t="s">
        <v>1701</v>
      </c>
      <c r="E577">
        <v>15</v>
      </c>
      <c r="F577">
        <v>3</v>
      </c>
      <c r="G577">
        <v>4</v>
      </c>
      <c r="H577">
        <v>7</v>
      </c>
      <c r="I577" t="s">
        <v>1834</v>
      </c>
    </row>
    <row r="578" spans="1:9" x14ac:dyDescent="0.25">
      <c r="A578">
        <v>576</v>
      </c>
      <c r="B578" t="s">
        <v>2214</v>
      </c>
      <c r="C578" t="s">
        <v>1771</v>
      </c>
      <c r="D578" t="s">
        <v>1701</v>
      </c>
      <c r="E578">
        <v>29</v>
      </c>
      <c r="F578">
        <v>1</v>
      </c>
      <c r="G578">
        <v>6</v>
      </c>
      <c r="H578">
        <v>7</v>
      </c>
      <c r="I578" t="s">
        <v>1973</v>
      </c>
    </row>
    <row r="579" spans="1:9" x14ac:dyDescent="0.25">
      <c r="A579">
        <v>577</v>
      </c>
      <c r="B579" t="s">
        <v>2215</v>
      </c>
      <c r="C579" t="s">
        <v>1726</v>
      </c>
      <c r="D579" t="s">
        <v>1706</v>
      </c>
      <c r="E579">
        <v>15</v>
      </c>
      <c r="F579">
        <v>4</v>
      </c>
      <c r="G579">
        <v>3</v>
      </c>
      <c r="H579">
        <v>7</v>
      </c>
      <c r="I579" t="s">
        <v>1834</v>
      </c>
    </row>
    <row r="580" spans="1:9" x14ac:dyDescent="0.25">
      <c r="A580">
        <v>578</v>
      </c>
      <c r="B580" t="s">
        <v>2216</v>
      </c>
      <c r="C580" t="s">
        <v>1751</v>
      </c>
      <c r="D580" t="s">
        <v>1719</v>
      </c>
      <c r="E580">
        <v>29</v>
      </c>
      <c r="F580">
        <v>0</v>
      </c>
      <c r="G580">
        <v>7</v>
      </c>
      <c r="H580">
        <v>7</v>
      </c>
      <c r="I580" t="s">
        <v>1973</v>
      </c>
    </row>
    <row r="581" spans="1:9" x14ac:dyDescent="0.25">
      <c r="A581">
        <v>579</v>
      </c>
      <c r="B581" t="s">
        <v>2217</v>
      </c>
      <c r="C581" t="s">
        <v>1726</v>
      </c>
      <c r="D581" t="s">
        <v>1719</v>
      </c>
      <c r="E581">
        <v>41</v>
      </c>
      <c r="F581">
        <v>5</v>
      </c>
      <c r="G581">
        <v>2</v>
      </c>
      <c r="H581">
        <v>7</v>
      </c>
      <c r="I581" t="s">
        <v>2060</v>
      </c>
    </row>
    <row r="582" spans="1:9" x14ac:dyDescent="0.25">
      <c r="A582">
        <v>580</v>
      </c>
      <c r="B582" t="s">
        <v>2218</v>
      </c>
      <c r="C582" t="s">
        <v>1703</v>
      </c>
      <c r="D582" t="s">
        <v>1706</v>
      </c>
      <c r="E582">
        <v>27</v>
      </c>
      <c r="F582">
        <v>3</v>
      </c>
      <c r="G582">
        <v>4</v>
      </c>
      <c r="H582">
        <v>7</v>
      </c>
      <c r="I582" t="s">
        <v>1969</v>
      </c>
    </row>
    <row r="583" spans="1:9" x14ac:dyDescent="0.25">
      <c r="A583">
        <v>581</v>
      </c>
      <c r="B583" t="s">
        <v>2219</v>
      </c>
      <c r="C583" t="s">
        <v>1703</v>
      </c>
      <c r="D583" t="s">
        <v>1719</v>
      </c>
      <c r="E583">
        <v>55</v>
      </c>
      <c r="F583">
        <v>1</v>
      </c>
      <c r="G583">
        <v>6</v>
      </c>
      <c r="H583">
        <v>7</v>
      </c>
      <c r="I583" t="s">
        <v>2151</v>
      </c>
    </row>
    <row r="584" spans="1:9" x14ac:dyDescent="0.25">
      <c r="A584">
        <v>582</v>
      </c>
      <c r="B584" t="s">
        <v>2220</v>
      </c>
      <c r="C584" t="s">
        <v>1732</v>
      </c>
      <c r="D584" t="s">
        <v>1719</v>
      </c>
      <c r="E584">
        <v>25</v>
      </c>
      <c r="F584">
        <v>1</v>
      </c>
      <c r="G584">
        <v>6</v>
      </c>
      <c r="H584">
        <v>7</v>
      </c>
      <c r="I584" t="s">
        <v>1950</v>
      </c>
    </row>
    <row r="585" spans="1:9" x14ac:dyDescent="0.25">
      <c r="A585">
        <v>583</v>
      </c>
      <c r="B585" t="s">
        <v>2221</v>
      </c>
      <c r="C585" t="s">
        <v>1700</v>
      </c>
      <c r="D585" t="s">
        <v>1711</v>
      </c>
      <c r="E585">
        <v>42</v>
      </c>
      <c r="F585">
        <v>4</v>
      </c>
      <c r="G585">
        <v>3</v>
      </c>
      <c r="H585">
        <v>7</v>
      </c>
      <c r="I585" t="s">
        <v>2060</v>
      </c>
    </row>
    <row r="586" spans="1:9" x14ac:dyDescent="0.25">
      <c r="A586">
        <v>584</v>
      </c>
      <c r="B586" t="s">
        <v>2222</v>
      </c>
      <c r="C586" t="s">
        <v>1736</v>
      </c>
      <c r="D586" t="s">
        <v>1719</v>
      </c>
      <c r="E586">
        <v>27</v>
      </c>
      <c r="F586">
        <v>1</v>
      </c>
      <c r="G586">
        <v>6</v>
      </c>
      <c r="H586">
        <v>7</v>
      </c>
      <c r="I586" t="s">
        <v>1969</v>
      </c>
    </row>
    <row r="587" spans="1:9" x14ac:dyDescent="0.25">
      <c r="A587">
        <v>585</v>
      </c>
      <c r="B587" t="s">
        <v>2223</v>
      </c>
      <c r="C587" t="s">
        <v>1726</v>
      </c>
      <c r="D587" t="s">
        <v>1711</v>
      </c>
      <c r="E587">
        <v>18</v>
      </c>
      <c r="F587">
        <v>1</v>
      </c>
      <c r="G587">
        <v>6</v>
      </c>
      <c r="H587">
        <v>7</v>
      </c>
      <c r="I587" t="s">
        <v>1869</v>
      </c>
    </row>
    <row r="588" spans="1:9" x14ac:dyDescent="0.25">
      <c r="A588">
        <v>586</v>
      </c>
      <c r="B588" t="s">
        <v>2224</v>
      </c>
      <c r="C588" t="s">
        <v>1772</v>
      </c>
      <c r="D588" t="s">
        <v>1719</v>
      </c>
      <c r="E588">
        <v>38</v>
      </c>
      <c r="F588">
        <v>2</v>
      </c>
      <c r="G588">
        <v>5</v>
      </c>
      <c r="H588">
        <v>7</v>
      </c>
      <c r="I588" t="s">
        <v>2064</v>
      </c>
    </row>
    <row r="589" spans="1:9" x14ac:dyDescent="0.25">
      <c r="A589">
        <v>587</v>
      </c>
      <c r="B589" t="s">
        <v>2225</v>
      </c>
      <c r="C589" t="s">
        <v>1724</v>
      </c>
      <c r="D589" t="s">
        <v>1701</v>
      </c>
      <c r="E589">
        <v>43</v>
      </c>
      <c r="F589">
        <v>6</v>
      </c>
      <c r="G589">
        <v>1</v>
      </c>
      <c r="H589">
        <v>7</v>
      </c>
      <c r="I589" t="s">
        <v>2078</v>
      </c>
    </row>
    <row r="590" spans="1:9" x14ac:dyDescent="0.25">
      <c r="A590">
        <v>588</v>
      </c>
      <c r="B590" t="s">
        <v>2226</v>
      </c>
      <c r="C590" t="s">
        <v>1735</v>
      </c>
      <c r="D590" t="s">
        <v>1719</v>
      </c>
      <c r="E590">
        <v>39</v>
      </c>
      <c r="F590">
        <v>2</v>
      </c>
      <c r="G590">
        <v>5</v>
      </c>
      <c r="H590">
        <v>7</v>
      </c>
      <c r="I590" t="s">
        <v>2064</v>
      </c>
    </row>
    <row r="591" spans="1:9" x14ac:dyDescent="0.25">
      <c r="A591">
        <v>589</v>
      </c>
      <c r="B591" t="s">
        <v>2227</v>
      </c>
      <c r="C591" t="s">
        <v>1774</v>
      </c>
      <c r="D591" t="s">
        <v>1701</v>
      </c>
      <c r="E591">
        <v>65</v>
      </c>
      <c r="F591">
        <v>3</v>
      </c>
      <c r="G591">
        <v>4</v>
      </c>
      <c r="H591">
        <v>7</v>
      </c>
      <c r="I591" t="s">
        <v>2160</v>
      </c>
    </row>
    <row r="592" spans="1:9" x14ac:dyDescent="0.25">
      <c r="A592">
        <v>590</v>
      </c>
      <c r="B592" t="s">
        <v>2228</v>
      </c>
      <c r="C592" t="s">
        <v>1705</v>
      </c>
      <c r="D592" t="s">
        <v>1711</v>
      </c>
      <c r="E592">
        <v>33</v>
      </c>
      <c r="F592">
        <v>4</v>
      </c>
      <c r="G592">
        <v>3</v>
      </c>
      <c r="H592">
        <v>7</v>
      </c>
      <c r="I592" t="s">
        <v>2012</v>
      </c>
    </row>
    <row r="593" spans="1:9" x14ac:dyDescent="0.25">
      <c r="A593">
        <v>591</v>
      </c>
      <c r="B593" t="s">
        <v>2229</v>
      </c>
      <c r="C593" t="s">
        <v>1772</v>
      </c>
      <c r="D593" t="s">
        <v>1706</v>
      </c>
      <c r="E593">
        <v>43</v>
      </c>
      <c r="F593">
        <v>4</v>
      </c>
      <c r="G593">
        <v>3</v>
      </c>
      <c r="H593">
        <v>7</v>
      </c>
      <c r="I593" t="s">
        <v>2078</v>
      </c>
    </row>
    <row r="594" spans="1:9" x14ac:dyDescent="0.25">
      <c r="A594">
        <v>592</v>
      </c>
      <c r="B594" t="s">
        <v>2230</v>
      </c>
      <c r="C594" t="s">
        <v>1708</v>
      </c>
      <c r="D594" t="s">
        <v>1711</v>
      </c>
      <c r="E594">
        <v>21</v>
      </c>
      <c r="F594">
        <v>3</v>
      </c>
      <c r="G594">
        <v>3</v>
      </c>
      <c r="H594">
        <v>6</v>
      </c>
      <c r="I594" t="s">
        <v>1938</v>
      </c>
    </row>
    <row r="595" spans="1:9" x14ac:dyDescent="0.25">
      <c r="A595">
        <v>593</v>
      </c>
      <c r="B595" t="s">
        <v>2231</v>
      </c>
      <c r="C595" t="s">
        <v>1751</v>
      </c>
      <c r="D595" t="s">
        <v>1719</v>
      </c>
      <c r="E595">
        <v>12</v>
      </c>
      <c r="F595">
        <v>1</v>
      </c>
      <c r="G595">
        <v>5</v>
      </c>
      <c r="H595">
        <v>6</v>
      </c>
      <c r="I595" t="s">
        <v>1819</v>
      </c>
    </row>
    <row r="596" spans="1:9" x14ac:dyDescent="0.25">
      <c r="A596">
        <v>594</v>
      </c>
      <c r="B596" t="s">
        <v>2232</v>
      </c>
      <c r="C596" t="s">
        <v>1763</v>
      </c>
      <c r="D596" t="s">
        <v>1719</v>
      </c>
      <c r="E596">
        <v>66</v>
      </c>
      <c r="F596">
        <v>1</v>
      </c>
      <c r="G596">
        <v>5</v>
      </c>
      <c r="H596">
        <v>6</v>
      </c>
      <c r="I596" t="s">
        <v>2204</v>
      </c>
    </row>
    <row r="597" spans="1:9" x14ac:dyDescent="0.25">
      <c r="A597">
        <v>595</v>
      </c>
      <c r="B597" t="s">
        <v>2233</v>
      </c>
      <c r="C597" t="s">
        <v>1700</v>
      </c>
      <c r="D597" t="s">
        <v>1719</v>
      </c>
      <c r="E597">
        <v>40</v>
      </c>
      <c r="F597">
        <v>2</v>
      </c>
      <c r="G597">
        <v>4</v>
      </c>
      <c r="H597">
        <v>6</v>
      </c>
      <c r="I597" t="s">
        <v>2107</v>
      </c>
    </row>
    <row r="598" spans="1:9" x14ac:dyDescent="0.25">
      <c r="A598">
        <v>596</v>
      </c>
      <c r="B598" t="s">
        <v>2234</v>
      </c>
      <c r="C598" t="s">
        <v>1772</v>
      </c>
      <c r="D598" t="s">
        <v>1719</v>
      </c>
      <c r="E598">
        <v>29</v>
      </c>
      <c r="F598">
        <v>0</v>
      </c>
      <c r="G598">
        <v>6</v>
      </c>
      <c r="H598">
        <v>6</v>
      </c>
      <c r="I598" t="s">
        <v>2012</v>
      </c>
    </row>
    <row r="599" spans="1:9" x14ac:dyDescent="0.25">
      <c r="A599">
        <v>597</v>
      </c>
      <c r="B599" t="s">
        <v>2235</v>
      </c>
      <c r="C599" t="s">
        <v>1724</v>
      </c>
      <c r="D599" t="s">
        <v>1719</v>
      </c>
      <c r="E599">
        <v>27</v>
      </c>
      <c r="F599">
        <v>2</v>
      </c>
      <c r="G599">
        <v>4</v>
      </c>
      <c r="H599">
        <v>6</v>
      </c>
      <c r="I599" t="s">
        <v>1993</v>
      </c>
    </row>
    <row r="600" spans="1:9" x14ac:dyDescent="0.25">
      <c r="A600">
        <v>598</v>
      </c>
      <c r="B600" t="s">
        <v>2236</v>
      </c>
      <c r="C600" t="s">
        <v>1779</v>
      </c>
      <c r="D600" t="s">
        <v>1719</v>
      </c>
      <c r="E600">
        <v>30</v>
      </c>
      <c r="F600">
        <v>1</v>
      </c>
      <c r="G600">
        <v>5</v>
      </c>
      <c r="H600">
        <v>6</v>
      </c>
      <c r="I600" t="s">
        <v>2029</v>
      </c>
    </row>
    <row r="601" spans="1:9" x14ac:dyDescent="0.25">
      <c r="A601">
        <v>599</v>
      </c>
      <c r="B601" t="s">
        <v>2237</v>
      </c>
      <c r="C601" t="s">
        <v>1772</v>
      </c>
      <c r="D601" t="s">
        <v>1719</v>
      </c>
      <c r="E601">
        <v>51</v>
      </c>
      <c r="F601">
        <v>1</v>
      </c>
      <c r="G601">
        <v>5</v>
      </c>
      <c r="H601">
        <v>6</v>
      </c>
      <c r="I601" t="s">
        <v>2136</v>
      </c>
    </row>
    <row r="602" spans="1:9" x14ac:dyDescent="0.25">
      <c r="A602">
        <v>600</v>
      </c>
      <c r="B602" t="s">
        <v>2238</v>
      </c>
      <c r="C602" t="s">
        <v>1751</v>
      </c>
      <c r="D602" t="s">
        <v>1711</v>
      </c>
      <c r="E602">
        <v>59</v>
      </c>
      <c r="F602">
        <v>5</v>
      </c>
      <c r="G602">
        <v>1</v>
      </c>
      <c r="H602">
        <v>6</v>
      </c>
      <c r="I602" t="s">
        <v>2188</v>
      </c>
    </row>
    <row r="603" spans="1:9" x14ac:dyDescent="0.25">
      <c r="A603">
        <v>601</v>
      </c>
      <c r="B603" t="s">
        <v>2239</v>
      </c>
      <c r="C603" t="s">
        <v>1741</v>
      </c>
      <c r="D603" t="s">
        <v>1711</v>
      </c>
      <c r="E603">
        <v>25</v>
      </c>
      <c r="F603">
        <v>2</v>
      </c>
      <c r="G603">
        <v>4</v>
      </c>
      <c r="H603">
        <v>6</v>
      </c>
      <c r="I603" t="s">
        <v>1973</v>
      </c>
    </row>
    <row r="604" spans="1:9" x14ac:dyDescent="0.25">
      <c r="A604">
        <v>602</v>
      </c>
      <c r="B604" t="s">
        <v>2240</v>
      </c>
      <c r="C604" t="s">
        <v>1713</v>
      </c>
      <c r="D604" t="s">
        <v>1706</v>
      </c>
      <c r="E604">
        <v>64</v>
      </c>
      <c r="F604">
        <v>3</v>
      </c>
      <c r="G604">
        <v>3</v>
      </c>
      <c r="H604">
        <v>6</v>
      </c>
      <c r="I604" t="s">
        <v>2204</v>
      </c>
    </row>
    <row r="605" spans="1:9" x14ac:dyDescent="0.25">
      <c r="A605">
        <v>603</v>
      </c>
      <c r="B605" t="s">
        <v>2241</v>
      </c>
      <c r="C605" t="s">
        <v>1779</v>
      </c>
      <c r="D605" t="s">
        <v>1719</v>
      </c>
      <c r="E605">
        <v>26</v>
      </c>
      <c r="F605">
        <v>1</v>
      </c>
      <c r="G605">
        <v>5</v>
      </c>
      <c r="H605">
        <v>6</v>
      </c>
      <c r="I605" t="s">
        <v>1982</v>
      </c>
    </row>
    <row r="606" spans="1:9" x14ac:dyDescent="0.25">
      <c r="A606">
        <v>604</v>
      </c>
      <c r="B606" t="s">
        <v>2242</v>
      </c>
      <c r="C606" t="s">
        <v>1745</v>
      </c>
      <c r="D606" t="s">
        <v>1719</v>
      </c>
      <c r="E606">
        <v>45</v>
      </c>
      <c r="F606">
        <v>0</v>
      </c>
      <c r="G606">
        <v>6</v>
      </c>
      <c r="H606">
        <v>6</v>
      </c>
      <c r="I606" t="s">
        <v>2151</v>
      </c>
    </row>
    <row r="607" spans="1:9" x14ac:dyDescent="0.25">
      <c r="A607">
        <v>605</v>
      </c>
      <c r="B607" t="s">
        <v>2243</v>
      </c>
      <c r="C607" t="s">
        <v>1726</v>
      </c>
      <c r="D607" t="s">
        <v>1701</v>
      </c>
      <c r="E607">
        <v>17</v>
      </c>
      <c r="F607">
        <v>3</v>
      </c>
      <c r="G607">
        <v>3</v>
      </c>
      <c r="H607">
        <v>6</v>
      </c>
      <c r="I607" t="s">
        <v>1887</v>
      </c>
    </row>
    <row r="608" spans="1:9" x14ac:dyDescent="0.25">
      <c r="A608">
        <v>606</v>
      </c>
      <c r="B608" t="s">
        <v>2244</v>
      </c>
      <c r="C608" t="s">
        <v>1748</v>
      </c>
      <c r="D608" t="s">
        <v>1711</v>
      </c>
      <c r="E608">
        <v>47</v>
      </c>
      <c r="F608">
        <v>4</v>
      </c>
      <c r="G608">
        <v>2</v>
      </c>
      <c r="H608">
        <v>6</v>
      </c>
      <c r="I608" t="s">
        <v>2151</v>
      </c>
    </row>
    <row r="609" spans="1:9" x14ac:dyDescent="0.25">
      <c r="A609">
        <v>607</v>
      </c>
      <c r="B609" t="s">
        <v>2245</v>
      </c>
      <c r="C609" t="s">
        <v>1729</v>
      </c>
      <c r="D609" t="s">
        <v>1719</v>
      </c>
      <c r="E609">
        <v>41</v>
      </c>
      <c r="F609">
        <v>1</v>
      </c>
      <c r="G609">
        <v>5</v>
      </c>
      <c r="H609">
        <v>6</v>
      </c>
      <c r="I609" t="s">
        <v>2107</v>
      </c>
    </row>
    <row r="610" spans="1:9" x14ac:dyDescent="0.25">
      <c r="A610">
        <v>608</v>
      </c>
      <c r="B610" t="s">
        <v>2246</v>
      </c>
      <c r="C610" t="s">
        <v>1745</v>
      </c>
      <c r="D610" t="s">
        <v>1719</v>
      </c>
      <c r="E610">
        <v>43</v>
      </c>
      <c r="F610">
        <v>2</v>
      </c>
      <c r="G610">
        <v>4</v>
      </c>
      <c r="H610">
        <v>6</v>
      </c>
      <c r="I610" t="s">
        <v>2141</v>
      </c>
    </row>
    <row r="611" spans="1:9" x14ac:dyDescent="0.25">
      <c r="A611">
        <v>609</v>
      </c>
      <c r="B611" t="s">
        <v>2247</v>
      </c>
      <c r="C611" t="s">
        <v>1721</v>
      </c>
      <c r="D611" t="s">
        <v>1719</v>
      </c>
      <c r="E611">
        <v>56</v>
      </c>
      <c r="F611">
        <v>0</v>
      </c>
      <c r="G611">
        <v>6</v>
      </c>
      <c r="H611">
        <v>6</v>
      </c>
      <c r="I611" t="s">
        <v>2160</v>
      </c>
    </row>
    <row r="612" spans="1:9" x14ac:dyDescent="0.25">
      <c r="A612">
        <v>610</v>
      </c>
      <c r="B612" t="s">
        <v>2248</v>
      </c>
      <c r="C612" t="s">
        <v>1739</v>
      </c>
      <c r="D612" t="s">
        <v>1706</v>
      </c>
      <c r="E612">
        <v>26</v>
      </c>
      <c r="F612">
        <v>1</v>
      </c>
      <c r="G612">
        <v>5</v>
      </c>
      <c r="H612">
        <v>6</v>
      </c>
      <c r="I612" t="s">
        <v>1982</v>
      </c>
    </row>
    <row r="613" spans="1:9" x14ac:dyDescent="0.25">
      <c r="A613">
        <v>611</v>
      </c>
      <c r="B613" t="s">
        <v>2249</v>
      </c>
      <c r="C613" t="s">
        <v>1763</v>
      </c>
      <c r="D613" t="s">
        <v>1711</v>
      </c>
      <c r="E613">
        <v>30</v>
      </c>
      <c r="F613">
        <v>4</v>
      </c>
      <c r="G613">
        <v>2</v>
      </c>
      <c r="H613">
        <v>6</v>
      </c>
      <c r="I613" t="s">
        <v>2029</v>
      </c>
    </row>
    <row r="614" spans="1:9" x14ac:dyDescent="0.25">
      <c r="A614">
        <v>612</v>
      </c>
      <c r="B614" t="s">
        <v>2250</v>
      </c>
      <c r="C614" t="s">
        <v>1718</v>
      </c>
      <c r="D614" t="s">
        <v>1706</v>
      </c>
      <c r="E614">
        <v>34</v>
      </c>
      <c r="F614">
        <v>3</v>
      </c>
      <c r="G614">
        <v>3</v>
      </c>
      <c r="H614">
        <v>6</v>
      </c>
      <c r="I614" t="s">
        <v>2064</v>
      </c>
    </row>
    <row r="615" spans="1:9" x14ac:dyDescent="0.25">
      <c r="A615">
        <v>613</v>
      </c>
      <c r="B615" t="s">
        <v>2251</v>
      </c>
      <c r="C615" t="s">
        <v>1710</v>
      </c>
      <c r="D615" t="s">
        <v>1719</v>
      </c>
      <c r="E615">
        <v>36</v>
      </c>
      <c r="F615">
        <v>0</v>
      </c>
      <c r="G615">
        <v>5</v>
      </c>
      <c r="H615">
        <v>5</v>
      </c>
      <c r="I615" t="s">
        <v>2141</v>
      </c>
    </row>
    <row r="616" spans="1:9" x14ac:dyDescent="0.25">
      <c r="A616">
        <v>614</v>
      </c>
      <c r="B616" t="s">
        <v>2252</v>
      </c>
      <c r="C616" t="s">
        <v>1726</v>
      </c>
      <c r="D616" t="s">
        <v>1719</v>
      </c>
      <c r="E616">
        <v>16</v>
      </c>
      <c r="F616">
        <v>1</v>
      </c>
      <c r="G616">
        <v>4</v>
      </c>
      <c r="H616">
        <v>5</v>
      </c>
      <c r="I616" t="s">
        <v>1916</v>
      </c>
    </row>
    <row r="617" spans="1:9" x14ac:dyDescent="0.25">
      <c r="A617">
        <v>615</v>
      </c>
      <c r="B617" t="s">
        <v>2253</v>
      </c>
      <c r="C617" t="s">
        <v>1752</v>
      </c>
      <c r="D617" t="s">
        <v>1706</v>
      </c>
      <c r="E617">
        <v>26</v>
      </c>
      <c r="F617">
        <v>1</v>
      </c>
      <c r="G617">
        <v>4</v>
      </c>
      <c r="H617">
        <v>5</v>
      </c>
      <c r="I617" t="s">
        <v>2049</v>
      </c>
    </row>
    <row r="618" spans="1:9" x14ac:dyDescent="0.25">
      <c r="A618">
        <v>616</v>
      </c>
      <c r="B618" t="s">
        <v>2254</v>
      </c>
      <c r="C618" t="s">
        <v>1738</v>
      </c>
      <c r="D618" t="s">
        <v>1706</v>
      </c>
      <c r="E618">
        <v>31</v>
      </c>
      <c r="F618">
        <v>1</v>
      </c>
      <c r="G618">
        <v>4</v>
      </c>
      <c r="H618">
        <v>5</v>
      </c>
      <c r="I618" t="s">
        <v>2078</v>
      </c>
    </row>
    <row r="619" spans="1:9" x14ac:dyDescent="0.25">
      <c r="A619">
        <v>617</v>
      </c>
      <c r="B619" t="s">
        <v>2255</v>
      </c>
      <c r="C619" t="s">
        <v>1708</v>
      </c>
      <c r="D619" t="s">
        <v>1719</v>
      </c>
      <c r="E619">
        <v>18</v>
      </c>
      <c r="F619">
        <v>1</v>
      </c>
      <c r="G619">
        <v>4</v>
      </c>
      <c r="H619">
        <v>5</v>
      </c>
      <c r="I619" t="s">
        <v>1950</v>
      </c>
    </row>
    <row r="620" spans="1:9" x14ac:dyDescent="0.25">
      <c r="A620">
        <v>618</v>
      </c>
      <c r="B620" t="s">
        <v>2256</v>
      </c>
      <c r="C620" t="s">
        <v>1732</v>
      </c>
      <c r="D620" t="s">
        <v>1701</v>
      </c>
      <c r="E620">
        <v>24</v>
      </c>
      <c r="F620">
        <v>0</v>
      </c>
      <c r="G620">
        <v>5</v>
      </c>
      <c r="H620">
        <v>5</v>
      </c>
      <c r="I620" t="s">
        <v>2012</v>
      </c>
    </row>
    <row r="621" spans="1:9" x14ac:dyDescent="0.25">
      <c r="A621">
        <v>619</v>
      </c>
      <c r="B621" t="s">
        <v>2257</v>
      </c>
      <c r="C621" t="s">
        <v>1715</v>
      </c>
      <c r="D621" t="s">
        <v>1711</v>
      </c>
      <c r="E621">
        <v>20</v>
      </c>
      <c r="F621">
        <v>2</v>
      </c>
      <c r="G621">
        <v>3</v>
      </c>
      <c r="H621">
        <v>5</v>
      </c>
      <c r="I621" t="s">
        <v>1991</v>
      </c>
    </row>
    <row r="622" spans="1:9" x14ac:dyDescent="0.25">
      <c r="A622">
        <v>620</v>
      </c>
      <c r="B622" t="s">
        <v>2258</v>
      </c>
      <c r="C622" t="s">
        <v>1710</v>
      </c>
      <c r="D622" t="s">
        <v>1706</v>
      </c>
      <c r="E622">
        <v>58</v>
      </c>
      <c r="F622">
        <v>2</v>
      </c>
      <c r="G622">
        <v>3</v>
      </c>
      <c r="H622">
        <v>5</v>
      </c>
      <c r="I622" t="s">
        <v>2204</v>
      </c>
    </row>
    <row r="623" spans="1:9" x14ac:dyDescent="0.25">
      <c r="A623">
        <v>621</v>
      </c>
      <c r="B623" t="s">
        <v>2259</v>
      </c>
      <c r="C623" t="s">
        <v>1710</v>
      </c>
      <c r="D623" t="s">
        <v>1701</v>
      </c>
      <c r="E623">
        <v>29</v>
      </c>
      <c r="F623">
        <v>2</v>
      </c>
      <c r="G623">
        <v>3</v>
      </c>
      <c r="H623">
        <v>5</v>
      </c>
      <c r="I623" t="s">
        <v>2060</v>
      </c>
    </row>
    <row r="624" spans="1:9" x14ac:dyDescent="0.25">
      <c r="A624">
        <v>622</v>
      </c>
      <c r="B624" t="s">
        <v>2260</v>
      </c>
      <c r="C624" t="s">
        <v>1779</v>
      </c>
      <c r="D624" t="s">
        <v>1706</v>
      </c>
      <c r="E624">
        <v>9</v>
      </c>
      <c r="F624">
        <v>4</v>
      </c>
      <c r="G624">
        <v>1</v>
      </c>
      <c r="H624">
        <v>5</v>
      </c>
      <c r="I624" t="s">
        <v>1796</v>
      </c>
    </row>
    <row r="625" spans="1:9" x14ac:dyDescent="0.25">
      <c r="A625">
        <v>623</v>
      </c>
      <c r="B625" t="s">
        <v>2261</v>
      </c>
      <c r="C625" t="s">
        <v>1763</v>
      </c>
      <c r="D625" t="s">
        <v>1719</v>
      </c>
      <c r="E625">
        <v>47</v>
      </c>
      <c r="F625">
        <v>2</v>
      </c>
      <c r="G625">
        <v>3</v>
      </c>
      <c r="H625">
        <v>5</v>
      </c>
      <c r="I625" t="s">
        <v>2160</v>
      </c>
    </row>
    <row r="626" spans="1:9" x14ac:dyDescent="0.25">
      <c r="A626">
        <v>624</v>
      </c>
      <c r="B626" t="s">
        <v>2262</v>
      </c>
      <c r="C626" t="s">
        <v>1774</v>
      </c>
      <c r="D626" t="s">
        <v>1711</v>
      </c>
      <c r="E626">
        <v>21</v>
      </c>
      <c r="F626">
        <v>3</v>
      </c>
      <c r="G626">
        <v>2</v>
      </c>
      <c r="H626">
        <v>5</v>
      </c>
      <c r="I626" t="s">
        <v>1973</v>
      </c>
    </row>
    <row r="627" spans="1:9" x14ac:dyDescent="0.25">
      <c r="A627">
        <v>625</v>
      </c>
      <c r="B627" t="s">
        <v>2263</v>
      </c>
      <c r="C627" t="s">
        <v>1715</v>
      </c>
      <c r="D627" t="s">
        <v>1719</v>
      </c>
      <c r="E627">
        <v>11</v>
      </c>
      <c r="F627">
        <v>2</v>
      </c>
      <c r="G627">
        <v>3</v>
      </c>
      <c r="H627">
        <v>5</v>
      </c>
      <c r="I627" t="s">
        <v>1839</v>
      </c>
    </row>
    <row r="628" spans="1:9" x14ac:dyDescent="0.25">
      <c r="A628">
        <v>626</v>
      </c>
      <c r="B628" t="s">
        <v>2264</v>
      </c>
      <c r="C628" t="s">
        <v>1705</v>
      </c>
      <c r="D628" t="s">
        <v>1719</v>
      </c>
      <c r="E628">
        <v>38</v>
      </c>
      <c r="F628">
        <v>2</v>
      </c>
      <c r="G628">
        <v>3</v>
      </c>
      <c r="H628">
        <v>5</v>
      </c>
      <c r="I628" t="s">
        <v>2151</v>
      </c>
    </row>
    <row r="629" spans="1:9" x14ac:dyDescent="0.25">
      <c r="A629">
        <v>627</v>
      </c>
      <c r="B629" t="s">
        <v>2265</v>
      </c>
      <c r="C629" t="s">
        <v>1779</v>
      </c>
      <c r="D629" t="s">
        <v>1701</v>
      </c>
      <c r="E629">
        <v>57</v>
      </c>
      <c r="F629">
        <v>0</v>
      </c>
      <c r="G629">
        <v>5</v>
      </c>
      <c r="H629">
        <v>5</v>
      </c>
      <c r="I629" t="s">
        <v>2204</v>
      </c>
    </row>
    <row r="630" spans="1:9" x14ac:dyDescent="0.25">
      <c r="A630">
        <v>628</v>
      </c>
      <c r="B630" t="s">
        <v>2266</v>
      </c>
      <c r="C630" t="s">
        <v>1738</v>
      </c>
      <c r="D630" t="s">
        <v>1719</v>
      </c>
      <c r="E630">
        <v>16</v>
      </c>
      <c r="F630">
        <v>0</v>
      </c>
      <c r="G630">
        <v>5</v>
      </c>
      <c r="H630">
        <v>5</v>
      </c>
      <c r="I630" t="s">
        <v>1916</v>
      </c>
    </row>
    <row r="631" spans="1:9" x14ac:dyDescent="0.25">
      <c r="A631">
        <v>629</v>
      </c>
      <c r="B631" t="s">
        <v>2267</v>
      </c>
      <c r="C631" t="s">
        <v>1774</v>
      </c>
      <c r="D631" t="s">
        <v>1719</v>
      </c>
      <c r="E631">
        <v>33</v>
      </c>
      <c r="F631">
        <v>0</v>
      </c>
      <c r="G631">
        <v>5</v>
      </c>
      <c r="H631">
        <v>5</v>
      </c>
      <c r="I631" t="s">
        <v>2107</v>
      </c>
    </row>
    <row r="632" spans="1:9" x14ac:dyDescent="0.25">
      <c r="A632">
        <v>630</v>
      </c>
      <c r="B632" t="s">
        <v>2268</v>
      </c>
      <c r="C632" t="s">
        <v>1745</v>
      </c>
      <c r="D632" t="s">
        <v>1701</v>
      </c>
      <c r="E632">
        <v>19</v>
      </c>
      <c r="F632">
        <v>1</v>
      </c>
      <c r="G632">
        <v>4</v>
      </c>
      <c r="H632">
        <v>5</v>
      </c>
      <c r="I632" t="s">
        <v>1969</v>
      </c>
    </row>
    <row r="633" spans="1:9" x14ac:dyDescent="0.25">
      <c r="A633">
        <v>631</v>
      </c>
      <c r="B633" t="s">
        <v>2269</v>
      </c>
      <c r="C633" t="s">
        <v>1708</v>
      </c>
      <c r="D633" t="s">
        <v>1719</v>
      </c>
      <c r="E633">
        <v>18</v>
      </c>
      <c r="F633">
        <v>1</v>
      </c>
      <c r="G633">
        <v>4</v>
      </c>
      <c r="H633">
        <v>5</v>
      </c>
      <c r="I633" t="s">
        <v>1950</v>
      </c>
    </row>
    <row r="634" spans="1:9" x14ac:dyDescent="0.25">
      <c r="A634">
        <v>632</v>
      </c>
      <c r="B634" t="s">
        <v>2270</v>
      </c>
      <c r="C634" t="s">
        <v>1779</v>
      </c>
      <c r="D634" t="s">
        <v>1706</v>
      </c>
      <c r="E634">
        <v>14</v>
      </c>
      <c r="F634">
        <v>1</v>
      </c>
      <c r="G634">
        <v>3</v>
      </c>
      <c r="H634">
        <v>4</v>
      </c>
      <c r="I634" t="s">
        <v>1938</v>
      </c>
    </row>
    <row r="635" spans="1:9" x14ac:dyDescent="0.25">
      <c r="A635">
        <v>633</v>
      </c>
      <c r="B635" t="s">
        <v>2271</v>
      </c>
      <c r="C635" t="s">
        <v>1718</v>
      </c>
      <c r="D635" t="s">
        <v>1701</v>
      </c>
      <c r="E635">
        <v>11</v>
      </c>
      <c r="F635">
        <v>2</v>
      </c>
      <c r="G635">
        <v>2</v>
      </c>
      <c r="H635">
        <v>4</v>
      </c>
      <c r="I635" t="s">
        <v>1890</v>
      </c>
    </row>
    <row r="636" spans="1:9" x14ac:dyDescent="0.25">
      <c r="A636">
        <v>634</v>
      </c>
      <c r="B636" t="s">
        <v>2272</v>
      </c>
      <c r="C636" t="s">
        <v>1721</v>
      </c>
      <c r="D636" t="s">
        <v>1719</v>
      </c>
      <c r="E636">
        <v>38</v>
      </c>
      <c r="F636">
        <v>1</v>
      </c>
      <c r="G636">
        <v>3</v>
      </c>
      <c r="H636">
        <v>4</v>
      </c>
      <c r="I636" t="s">
        <v>2160</v>
      </c>
    </row>
    <row r="637" spans="1:9" x14ac:dyDescent="0.25">
      <c r="A637">
        <v>635</v>
      </c>
      <c r="B637" t="s">
        <v>2273</v>
      </c>
      <c r="C637" t="s">
        <v>1741</v>
      </c>
      <c r="D637" t="s">
        <v>1719</v>
      </c>
      <c r="E637">
        <v>49</v>
      </c>
      <c r="F637">
        <v>2</v>
      </c>
      <c r="G637">
        <v>2</v>
      </c>
      <c r="H637">
        <v>4</v>
      </c>
      <c r="I637" t="s">
        <v>2274</v>
      </c>
    </row>
    <row r="638" spans="1:9" x14ac:dyDescent="0.25">
      <c r="A638">
        <v>636</v>
      </c>
      <c r="B638" t="s">
        <v>2275</v>
      </c>
      <c r="C638" t="s">
        <v>1772</v>
      </c>
      <c r="D638" t="s">
        <v>1719</v>
      </c>
      <c r="E638">
        <v>25</v>
      </c>
      <c r="F638">
        <v>2</v>
      </c>
      <c r="G638">
        <v>2</v>
      </c>
      <c r="H638">
        <v>4</v>
      </c>
      <c r="I638" t="s">
        <v>2078</v>
      </c>
    </row>
    <row r="639" spans="1:9" x14ac:dyDescent="0.25">
      <c r="A639">
        <v>637</v>
      </c>
      <c r="B639" t="s">
        <v>2276</v>
      </c>
      <c r="C639" t="s">
        <v>1713</v>
      </c>
      <c r="D639" t="s">
        <v>1701</v>
      </c>
      <c r="E639">
        <v>11</v>
      </c>
      <c r="F639">
        <v>1</v>
      </c>
      <c r="G639">
        <v>3</v>
      </c>
      <c r="H639">
        <v>4</v>
      </c>
      <c r="I639" t="s">
        <v>1890</v>
      </c>
    </row>
    <row r="640" spans="1:9" x14ac:dyDescent="0.25">
      <c r="A640">
        <v>638</v>
      </c>
      <c r="B640" t="s">
        <v>2277</v>
      </c>
      <c r="C640" t="s">
        <v>1713</v>
      </c>
      <c r="D640" t="s">
        <v>1719</v>
      </c>
      <c r="E640">
        <v>29</v>
      </c>
      <c r="F640">
        <v>0</v>
      </c>
      <c r="G640">
        <v>4</v>
      </c>
      <c r="H640">
        <v>4</v>
      </c>
      <c r="I640" t="s">
        <v>2141</v>
      </c>
    </row>
    <row r="641" spans="1:9" x14ac:dyDescent="0.25">
      <c r="A641">
        <v>639</v>
      </c>
      <c r="B641" t="s">
        <v>2278</v>
      </c>
      <c r="C641" t="s">
        <v>1751</v>
      </c>
      <c r="D641" t="s">
        <v>1701</v>
      </c>
      <c r="E641">
        <v>59</v>
      </c>
      <c r="F641">
        <v>2</v>
      </c>
      <c r="G641">
        <v>2</v>
      </c>
      <c r="H641">
        <v>4</v>
      </c>
      <c r="I641" t="s">
        <v>2279</v>
      </c>
    </row>
    <row r="642" spans="1:9" x14ac:dyDescent="0.25">
      <c r="A642">
        <v>640</v>
      </c>
      <c r="B642" t="s">
        <v>2280</v>
      </c>
      <c r="C642" t="s">
        <v>1715</v>
      </c>
      <c r="D642" t="s">
        <v>1711</v>
      </c>
      <c r="E642">
        <v>51</v>
      </c>
      <c r="F642">
        <v>2</v>
      </c>
      <c r="G642">
        <v>2</v>
      </c>
      <c r="H642">
        <v>4</v>
      </c>
      <c r="I642" t="s">
        <v>2274</v>
      </c>
    </row>
    <row r="643" spans="1:9" x14ac:dyDescent="0.25">
      <c r="A643">
        <v>641</v>
      </c>
      <c r="B643" t="s">
        <v>2281</v>
      </c>
      <c r="C643" t="s">
        <v>1713</v>
      </c>
      <c r="D643" t="s">
        <v>1706</v>
      </c>
      <c r="E643">
        <v>18</v>
      </c>
      <c r="F643">
        <v>2</v>
      </c>
      <c r="G643">
        <v>2</v>
      </c>
      <c r="H643">
        <v>4</v>
      </c>
      <c r="I643" t="s">
        <v>1993</v>
      </c>
    </row>
    <row r="644" spans="1:9" x14ac:dyDescent="0.25">
      <c r="A644">
        <v>642</v>
      </c>
      <c r="B644" t="s">
        <v>2282</v>
      </c>
      <c r="C644" t="s">
        <v>1732</v>
      </c>
      <c r="D644" t="s">
        <v>1701</v>
      </c>
      <c r="E644">
        <v>43</v>
      </c>
      <c r="F644">
        <v>2</v>
      </c>
      <c r="G644">
        <v>2</v>
      </c>
      <c r="H644">
        <v>4</v>
      </c>
      <c r="I644" t="s">
        <v>2204</v>
      </c>
    </row>
    <row r="645" spans="1:9" x14ac:dyDescent="0.25">
      <c r="A645">
        <v>643</v>
      </c>
      <c r="B645" t="s">
        <v>2283</v>
      </c>
      <c r="C645" t="s">
        <v>1751</v>
      </c>
      <c r="D645" t="s">
        <v>1711</v>
      </c>
      <c r="E645">
        <v>24</v>
      </c>
      <c r="F645">
        <v>2</v>
      </c>
      <c r="G645">
        <v>2</v>
      </c>
      <c r="H645">
        <v>4</v>
      </c>
      <c r="I645" t="s">
        <v>2060</v>
      </c>
    </row>
    <row r="646" spans="1:9" x14ac:dyDescent="0.25">
      <c r="A646">
        <v>644</v>
      </c>
      <c r="B646" t="s">
        <v>2284</v>
      </c>
      <c r="C646" t="s">
        <v>1700</v>
      </c>
      <c r="D646" t="s">
        <v>1701</v>
      </c>
      <c r="E646">
        <v>22</v>
      </c>
      <c r="F646">
        <v>1</v>
      </c>
      <c r="G646">
        <v>3</v>
      </c>
      <c r="H646">
        <v>4</v>
      </c>
      <c r="I646" t="s">
        <v>2064</v>
      </c>
    </row>
    <row r="647" spans="1:9" x14ac:dyDescent="0.25">
      <c r="A647">
        <v>645</v>
      </c>
      <c r="B647" t="s">
        <v>2285</v>
      </c>
      <c r="C647" t="s">
        <v>1763</v>
      </c>
      <c r="D647" t="s">
        <v>1701</v>
      </c>
      <c r="E647">
        <v>46</v>
      </c>
      <c r="F647">
        <v>0</v>
      </c>
      <c r="G647">
        <v>4</v>
      </c>
      <c r="H647">
        <v>4</v>
      </c>
      <c r="I647" t="s">
        <v>2204</v>
      </c>
    </row>
    <row r="648" spans="1:9" x14ac:dyDescent="0.25">
      <c r="A648">
        <v>646</v>
      </c>
      <c r="B648" t="s">
        <v>2286</v>
      </c>
      <c r="C648" t="s">
        <v>1732</v>
      </c>
      <c r="D648" t="s">
        <v>1706</v>
      </c>
      <c r="E648">
        <v>40</v>
      </c>
      <c r="F648">
        <v>2</v>
      </c>
      <c r="G648">
        <v>2</v>
      </c>
      <c r="H648">
        <v>4</v>
      </c>
      <c r="I648" t="s">
        <v>2188</v>
      </c>
    </row>
    <row r="649" spans="1:9" x14ac:dyDescent="0.25">
      <c r="A649">
        <v>647</v>
      </c>
      <c r="B649" t="s">
        <v>2287</v>
      </c>
      <c r="C649" t="s">
        <v>1771</v>
      </c>
      <c r="D649" t="s">
        <v>1719</v>
      </c>
      <c r="E649">
        <v>39</v>
      </c>
      <c r="F649">
        <v>0</v>
      </c>
      <c r="G649">
        <v>4</v>
      </c>
      <c r="H649">
        <v>4</v>
      </c>
      <c r="I649" t="s">
        <v>2188</v>
      </c>
    </row>
    <row r="650" spans="1:9" x14ac:dyDescent="0.25">
      <c r="A650">
        <v>648</v>
      </c>
      <c r="B650" t="s">
        <v>2288</v>
      </c>
      <c r="C650" t="s">
        <v>1772</v>
      </c>
      <c r="D650" t="s">
        <v>1701</v>
      </c>
      <c r="E650">
        <v>12</v>
      </c>
      <c r="F650">
        <v>1</v>
      </c>
      <c r="G650">
        <v>3</v>
      </c>
      <c r="H650">
        <v>4</v>
      </c>
      <c r="I650" t="s">
        <v>1910</v>
      </c>
    </row>
    <row r="651" spans="1:9" x14ac:dyDescent="0.25">
      <c r="A651">
        <v>649</v>
      </c>
      <c r="B651" t="s">
        <v>2289</v>
      </c>
      <c r="C651" t="s">
        <v>1763</v>
      </c>
      <c r="D651" t="s">
        <v>1706</v>
      </c>
      <c r="E651">
        <v>14</v>
      </c>
      <c r="F651">
        <v>3</v>
      </c>
      <c r="G651">
        <v>1</v>
      </c>
      <c r="H651">
        <v>4</v>
      </c>
      <c r="I651" t="s">
        <v>1938</v>
      </c>
    </row>
    <row r="652" spans="1:9" x14ac:dyDescent="0.25">
      <c r="A652">
        <v>650</v>
      </c>
      <c r="B652" t="s">
        <v>2290</v>
      </c>
      <c r="C652" t="s">
        <v>1771</v>
      </c>
      <c r="D652" t="s">
        <v>1711</v>
      </c>
      <c r="E652">
        <v>50</v>
      </c>
      <c r="F652">
        <v>2</v>
      </c>
      <c r="G652">
        <v>2</v>
      </c>
      <c r="H652">
        <v>4</v>
      </c>
      <c r="I652" t="s">
        <v>2274</v>
      </c>
    </row>
    <row r="653" spans="1:9" x14ac:dyDescent="0.25">
      <c r="A653">
        <v>651</v>
      </c>
      <c r="B653" t="s">
        <v>2291</v>
      </c>
      <c r="C653" t="s">
        <v>1718</v>
      </c>
      <c r="D653" t="s">
        <v>1706</v>
      </c>
      <c r="E653">
        <v>19</v>
      </c>
      <c r="F653">
        <v>1</v>
      </c>
      <c r="G653">
        <v>3</v>
      </c>
      <c r="H653">
        <v>4</v>
      </c>
      <c r="I653" t="s">
        <v>2012</v>
      </c>
    </row>
    <row r="654" spans="1:9" x14ac:dyDescent="0.25">
      <c r="A654">
        <v>652</v>
      </c>
      <c r="B654" t="s">
        <v>2292</v>
      </c>
      <c r="C654" t="s">
        <v>1700</v>
      </c>
      <c r="D654" t="s">
        <v>1706</v>
      </c>
      <c r="E654">
        <v>14</v>
      </c>
      <c r="F654">
        <v>2</v>
      </c>
      <c r="G654">
        <v>2</v>
      </c>
      <c r="H654">
        <v>4</v>
      </c>
      <c r="I654" t="s">
        <v>1938</v>
      </c>
    </row>
    <row r="655" spans="1:9" x14ac:dyDescent="0.25">
      <c r="A655">
        <v>653</v>
      </c>
      <c r="B655" t="s">
        <v>2293</v>
      </c>
      <c r="C655" t="s">
        <v>1738</v>
      </c>
      <c r="D655" t="s">
        <v>1711</v>
      </c>
      <c r="E655">
        <v>14</v>
      </c>
      <c r="F655">
        <v>2</v>
      </c>
      <c r="G655">
        <v>2</v>
      </c>
      <c r="H655">
        <v>4</v>
      </c>
      <c r="I655" t="s">
        <v>1938</v>
      </c>
    </row>
    <row r="656" spans="1:9" x14ac:dyDescent="0.25">
      <c r="A656">
        <v>654</v>
      </c>
      <c r="B656" t="s">
        <v>2294</v>
      </c>
      <c r="C656" t="s">
        <v>1715</v>
      </c>
      <c r="D656" t="s">
        <v>1719</v>
      </c>
      <c r="E656">
        <v>42</v>
      </c>
      <c r="F656">
        <v>2</v>
      </c>
      <c r="G656">
        <v>2</v>
      </c>
      <c r="H656">
        <v>4</v>
      </c>
      <c r="I656" t="s">
        <v>2188</v>
      </c>
    </row>
    <row r="657" spans="1:9" x14ac:dyDescent="0.25">
      <c r="A657">
        <v>655</v>
      </c>
      <c r="B657" t="s">
        <v>2295</v>
      </c>
      <c r="C657" t="s">
        <v>1729</v>
      </c>
      <c r="D657" t="s">
        <v>1706</v>
      </c>
      <c r="E657">
        <v>53</v>
      </c>
      <c r="F657">
        <v>1</v>
      </c>
      <c r="G657">
        <v>3</v>
      </c>
      <c r="H657">
        <v>4</v>
      </c>
      <c r="I657" t="s">
        <v>2274</v>
      </c>
    </row>
    <row r="658" spans="1:9" x14ac:dyDescent="0.25">
      <c r="A658">
        <v>656</v>
      </c>
      <c r="B658" t="s">
        <v>2296</v>
      </c>
      <c r="C658" t="s">
        <v>1705</v>
      </c>
      <c r="D658" t="s">
        <v>1711</v>
      </c>
      <c r="E658">
        <v>12</v>
      </c>
      <c r="F658">
        <v>1</v>
      </c>
      <c r="G658">
        <v>3</v>
      </c>
      <c r="H658">
        <v>4</v>
      </c>
      <c r="I658" t="s">
        <v>1910</v>
      </c>
    </row>
    <row r="659" spans="1:9" x14ac:dyDescent="0.25">
      <c r="A659">
        <v>657</v>
      </c>
      <c r="B659" t="s">
        <v>2297</v>
      </c>
      <c r="C659" t="s">
        <v>1703</v>
      </c>
      <c r="D659" t="s">
        <v>1719</v>
      </c>
      <c r="E659">
        <v>12</v>
      </c>
      <c r="F659">
        <v>1</v>
      </c>
      <c r="G659">
        <v>3</v>
      </c>
      <c r="H659">
        <v>4</v>
      </c>
      <c r="I659" t="s">
        <v>1910</v>
      </c>
    </row>
    <row r="660" spans="1:9" x14ac:dyDescent="0.25">
      <c r="A660">
        <v>658</v>
      </c>
      <c r="B660" t="s">
        <v>2298</v>
      </c>
      <c r="C660" t="s">
        <v>1713</v>
      </c>
      <c r="D660" t="s">
        <v>1701</v>
      </c>
      <c r="E660">
        <v>39</v>
      </c>
      <c r="F660">
        <v>2</v>
      </c>
      <c r="G660">
        <v>2</v>
      </c>
      <c r="H660">
        <v>4</v>
      </c>
      <c r="I660" t="s">
        <v>2188</v>
      </c>
    </row>
    <row r="661" spans="1:9" x14ac:dyDescent="0.25">
      <c r="A661">
        <v>659</v>
      </c>
      <c r="B661" t="s">
        <v>2299</v>
      </c>
      <c r="C661" t="s">
        <v>1752</v>
      </c>
      <c r="D661" t="s">
        <v>1701</v>
      </c>
      <c r="E661">
        <v>37</v>
      </c>
      <c r="F661">
        <v>1</v>
      </c>
      <c r="G661">
        <v>3</v>
      </c>
      <c r="H661">
        <v>4</v>
      </c>
      <c r="I661" t="s">
        <v>2160</v>
      </c>
    </row>
    <row r="662" spans="1:9" x14ac:dyDescent="0.25">
      <c r="A662">
        <v>660</v>
      </c>
      <c r="B662" t="s">
        <v>2300</v>
      </c>
      <c r="C662" t="s">
        <v>1713</v>
      </c>
      <c r="D662" t="s">
        <v>1719</v>
      </c>
      <c r="E662">
        <v>34</v>
      </c>
      <c r="F662">
        <v>0</v>
      </c>
      <c r="G662">
        <v>4</v>
      </c>
      <c r="H662">
        <v>4</v>
      </c>
      <c r="I662" t="s">
        <v>2136</v>
      </c>
    </row>
    <row r="663" spans="1:9" x14ac:dyDescent="0.25">
      <c r="A663">
        <v>661</v>
      </c>
      <c r="B663" t="s">
        <v>2301</v>
      </c>
      <c r="C663" t="s">
        <v>1748</v>
      </c>
      <c r="D663" t="s">
        <v>1719</v>
      </c>
      <c r="E663">
        <v>28</v>
      </c>
      <c r="F663">
        <v>0</v>
      </c>
      <c r="G663">
        <v>4</v>
      </c>
      <c r="H663">
        <v>4</v>
      </c>
      <c r="I663" t="s">
        <v>2141</v>
      </c>
    </row>
    <row r="664" spans="1:9" x14ac:dyDescent="0.25">
      <c r="A664">
        <v>662</v>
      </c>
      <c r="B664" t="s">
        <v>2302</v>
      </c>
      <c r="C664" t="s">
        <v>1715</v>
      </c>
      <c r="D664" t="s">
        <v>1706</v>
      </c>
      <c r="E664">
        <v>64</v>
      </c>
      <c r="F664">
        <v>3</v>
      </c>
      <c r="G664">
        <v>1</v>
      </c>
      <c r="H664">
        <v>4</v>
      </c>
      <c r="I664" t="s">
        <v>2303</v>
      </c>
    </row>
    <row r="665" spans="1:9" x14ac:dyDescent="0.25">
      <c r="A665">
        <v>663</v>
      </c>
      <c r="B665" t="s">
        <v>2304</v>
      </c>
      <c r="C665" t="s">
        <v>1763</v>
      </c>
      <c r="D665" t="s">
        <v>1706</v>
      </c>
      <c r="E665">
        <v>32</v>
      </c>
      <c r="F665">
        <v>2</v>
      </c>
      <c r="G665">
        <v>2</v>
      </c>
      <c r="H665">
        <v>4</v>
      </c>
      <c r="I665" t="s">
        <v>2151</v>
      </c>
    </row>
    <row r="666" spans="1:9" x14ac:dyDescent="0.25">
      <c r="A666">
        <v>664</v>
      </c>
      <c r="B666" t="s">
        <v>2305</v>
      </c>
      <c r="C666" t="s">
        <v>1732</v>
      </c>
      <c r="D666" t="s">
        <v>1701</v>
      </c>
      <c r="E666">
        <v>21</v>
      </c>
      <c r="F666">
        <v>2</v>
      </c>
      <c r="G666">
        <v>1</v>
      </c>
      <c r="H666">
        <v>3</v>
      </c>
      <c r="I666" t="s">
        <v>2141</v>
      </c>
    </row>
    <row r="667" spans="1:9" x14ac:dyDescent="0.25">
      <c r="A667">
        <v>665</v>
      </c>
      <c r="B667" t="s">
        <v>2306</v>
      </c>
      <c r="C667" t="s">
        <v>1724</v>
      </c>
      <c r="D667" t="s">
        <v>1701</v>
      </c>
      <c r="E667">
        <v>27</v>
      </c>
      <c r="F667">
        <v>2</v>
      </c>
      <c r="G667">
        <v>1</v>
      </c>
      <c r="H667">
        <v>3</v>
      </c>
      <c r="I667" t="s">
        <v>2160</v>
      </c>
    </row>
    <row r="668" spans="1:9" x14ac:dyDescent="0.25">
      <c r="A668">
        <v>666</v>
      </c>
      <c r="B668" t="s">
        <v>2307</v>
      </c>
      <c r="C668" t="s">
        <v>1721</v>
      </c>
      <c r="D668" t="s">
        <v>1711</v>
      </c>
      <c r="E668">
        <v>7</v>
      </c>
      <c r="F668">
        <v>1</v>
      </c>
      <c r="G668">
        <v>2</v>
      </c>
      <c r="H668">
        <v>3</v>
      </c>
      <c r="I668" t="s">
        <v>1844</v>
      </c>
    </row>
    <row r="669" spans="1:9" x14ac:dyDescent="0.25">
      <c r="A669">
        <v>667</v>
      </c>
      <c r="B669" t="s">
        <v>2308</v>
      </c>
      <c r="C669" t="s">
        <v>1779</v>
      </c>
      <c r="D669" t="s">
        <v>1719</v>
      </c>
      <c r="E669">
        <v>36</v>
      </c>
      <c r="F669">
        <v>0</v>
      </c>
      <c r="G669">
        <v>3</v>
      </c>
      <c r="H669">
        <v>3</v>
      </c>
      <c r="I669" t="s">
        <v>2274</v>
      </c>
    </row>
    <row r="670" spans="1:9" x14ac:dyDescent="0.25">
      <c r="A670">
        <v>668</v>
      </c>
      <c r="B670" t="s">
        <v>2309</v>
      </c>
      <c r="C670" t="s">
        <v>1771</v>
      </c>
      <c r="D670" t="s">
        <v>1701</v>
      </c>
      <c r="E670">
        <v>24</v>
      </c>
      <c r="F670">
        <v>2</v>
      </c>
      <c r="G670">
        <v>1</v>
      </c>
      <c r="H670">
        <v>3</v>
      </c>
      <c r="I670" t="s">
        <v>2151</v>
      </c>
    </row>
    <row r="671" spans="1:9" x14ac:dyDescent="0.25">
      <c r="A671">
        <v>669</v>
      </c>
      <c r="B671" t="s">
        <v>2310</v>
      </c>
      <c r="C671" t="s">
        <v>1713</v>
      </c>
      <c r="D671" t="s">
        <v>1711</v>
      </c>
      <c r="E671">
        <v>19</v>
      </c>
      <c r="F671">
        <v>2</v>
      </c>
      <c r="G671">
        <v>1</v>
      </c>
      <c r="H671">
        <v>3</v>
      </c>
      <c r="I671" t="s">
        <v>2078</v>
      </c>
    </row>
    <row r="672" spans="1:9" x14ac:dyDescent="0.25">
      <c r="A672">
        <v>670</v>
      </c>
      <c r="B672" t="s">
        <v>2311</v>
      </c>
      <c r="C672" t="s">
        <v>1772</v>
      </c>
      <c r="D672" t="s">
        <v>1719</v>
      </c>
      <c r="E672">
        <v>11</v>
      </c>
      <c r="F672">
        <v>0</v>
      </c>
      <c r="G672">
        <v>3</v>
      </c>
      <c r="H672">
        <v>3</v>
      </c>
      <c r="I672" t="s">
        <v>1963</v>
      </c>
    </row>
    <row r="673" spans="1:9" x14ac:dyDescent="0.25">
      <c r="A673">
        <v>671</v>
      </c>
      <c r="B673" t="s">
        <v>2312</v>
      </c>
      <c r="C673" t="s">
        <v>1768</v>
      </c>
      <c r="D673" t="s">
        <v>1706</v>
      </c>
      <c r="E673">
        <v>7</v>
      </c>
      <c r="F673">
        <v>3</v>
      </c>
      <c r="G673">
        <v>0</v>
      </c>
      <c r="H673">
        <v>3</v>
      </c>
      <c r="I673" t="s">
        <v>1844</v>
      </c>
    </row>
    <row r="674" spans="1:9" x14ac:dyDescent="0.25">
      <c r="A674">
        <v>672</v>
      </c>
      <c r="B674" t="s">
        <v>2313</v>
      </c>
      <c r="C674" t="s">
        <v>1738</v>
      </c>
      <c r="D674" t="s">
        <v>1719</v>
      </c>
      <c r="E674">
        <v>38</v>
      </c>
      <c r="F674">
        <v>0</v>
      </c>
      <c r="G674">
        <v>3</v>
      </c>
      <c r="H674">
        <v>3</v>
      </c>
      <c r="I674" t="s">
        <v>2274</v>
      </c>
    </row>
    <row r="675" spans="1:9" x14ac:dyDescent="0.25">
      <c r="A675">
        <v>673</v>
      </c>
      <c r="B675" t="s">
        <v>2314</v>
      </c>
      <c r="C675" t="s">
        <v>1705</v>
      </c>
      <c r="D675" t="s">
        <v>1706</v>
      </c>
      <c r="E675">
        <v>50</v>
      </c>
      <c r="F675">
        <v>2</v>
      </c>
      <c r="G675">
        <v>1</v>
      </c>
      <c r="H675">
        <v>3</v>
      </c>
      <c r="I675" t="s">
        <v>2303</v>
      </c>
    </row>
    <row r="676" spans="1:9" x14ac:dyDescent="0.25">
      <c r="A676">
        <v>674</v>
      </c>
      <c r="B676" t="s">
        <v>2315</v>
      </c>
      <c r="C676" t="s">
        <v>1713</v>
      </c>
      <c r="D676" t="s">
        <v>1711</v>
      </c>
      <c r="E676">
        <v>26</v>
      </c>
      <c r="F676">
        <v>3</v>
      </c>
      <c r="G676">
        <v>0</v>
      </c>
      <c r="H676">
        <v>3</v>
      </c>
      <c r="I676" t="s">
        <v>2136</v>
      </c>
    </row>
    <row r="677" spans="1:9" x14ac:dyDescent="0.25">
      <c r="A677">
        <v>675</v>
      </c>
      <c r="B677" t="s">
        <v>2316</v>
      </c>
      <c r="C677" t="s">
        <v>1705</v>
      </c>
      <c r="D677" t="s">
        <v>1719</v>
      </c>
      <c r="E677">
        <v>22</v>
      </c>
      <c r="F677">
        <v>1</v>
      </c>
      <c r="G677">
        <v>2</v>
      </c>
      <c r="H677">
        <v>3</v>
      </c>
      <c r="I677" t="s">
        <v>2141</v>
      </c>
    </row>
    <row r="678" spans="1:9" x14ac:dyDescent="0.25">
      <c r="A678">
        <v>676</v>
      </c>
      <c r="B678" t="s">
        <v>2317</v>
      </c>
      <c r="C678" t="s">
        <v>1726</v>
      </c>
      <c r="D678" t="s">
        <v>1719</v>
      </c>
      <c r="E678">
        <v>40</v>
      </c>
      <c r="F678">
        <v>0</v>
      </c>
      <c r="G678">
        <v>3</v>
      </c>
      <c r="H678">
        <v>3</v>
      </c>
      <c r="I678" t="s">
        <v>2274</v>
      </c>
    </row>
    <row r="679" spans="1:9" x14ac:dyDescent="0.25">
      <c r="A679">
        <v>677</v>
      </c>
      <c r="B679" t="s">
        <v>2318</v>
      </c>
      <c r="C679" t="s">
        <v>1779</v>
      </c>
      <c r="D679" t="s">
        <v>1706</v>
      </c>
      <c r="E679">
        <v>14</v>
      </c>
      <c r="F679">
        <v>3</v>
      </c>
      <c r="G679">
        <v>0</v>
      </c>
      <c r="H679">
        <v>3</v>
      </c>
      <c r="I679" t="s">
        <v>2012</v>
      </c>
    </row>
    <row r="680" spans="1:9" x14ac:dyDescent="0.25">
      <c r="A680">
        <v>678</v>
      </c>
      <c r="B680" t="s">
        <v>2319</v>
      </c>
      <c r="C680" t="s">
        <v>1729</v>
      </c>
      <c r="D680" t="s">
        <v>1719</v>
      </c>
      <c r="E680">
        <v>70</v>
      </c>
      <c r="F680">
        <v>1</v>
      </c>
      <c r="G680">
        <v>2</v>
      </c>
      <c r="H680">
        <v>3</v>
      </c>
      <c r="I680" t="s">
        <v>2320</v>
      </c>
    </row>
    <row r="681" spans="1:9" x14ac:dyDescent="0.25">
      <c r="A681">
        <v>679</v>
      </c>
      <c r="B681" t="s">
        <v>2321</v>
      </c>
      <c r="C681" t="s">
        <v>1703</v>
      </c>
      <c r="D681" t="s">
        <v>1706</v>
      </c>
      <c r="E681">
        <v>10</v>
      </c>
      <c r="F681">
        <v>3</v>
      </c>
      <c r="G681">
        <v>0</v>
      </c>
      <c r="H681">
        <v>3</v>
      </c>
      <c r="I681" t="s">
        <v>1912</v>
      </c>
    </row>
    <row r="682" spans="1:9" x14ac:dyDescent="0.25">
      <c r="A682">
        <v>680</v>
      </c>
      <c r="B682" t="s">
        <v>2322</v>
      </c>
      <c r="C682" t="s">
        <v>1768</v>
      </c>
      <c r="D682" t="s">
        <v>1701</v>
      </c>
      <c r="E682">
        <v>24</v>
      </c>
      <c r="F682">
        <v>2</v>
      </c>
      <c r="G682">
        <v>1</v>
      </c>
      <c r="H682">
        <v>3</v>
      </c>
      <c r="I682" t="s">
        <v>2151</v>
      </c>
    </row>
    <row r="683" spans="1:9" x14ac:dyDescent="0.25">
      <c r="A683">
        <v>681</v>
      </c>
      <c r="B683" t="s">
        <v>2323</v>
      </c>
      <c r="C683" t="s">
        <v>1771</v>
      </c>
      <c r="D683" t="s">
        <v>1706</v>
      </c>
      <c r="E683">
        <v>21</v>
      </c>
      <c r="F683">
        <v>0</v>
      </c>
      <c r="G683">
        <v>3</v>
      </c>
      <c r="H683">
        <v>3</v>
      </c>
      <c r="I683" t="s">
        <v>2141</v>
      </c>
    </row>
    <row r="684" spans="1:9" x14ac:dyDescent="0.25">
      <c r="A684">
        <v>682</v>
      </c>
      <c r="B684" t="s">
        <v>2324</v>
      </c>
      <c r="C684" t="s">
        <v>1724</v>
      </c>
      <c r="D684" t="s">
        <v>1719</v>
      </c>
      <c r="E684">
        <v>14</v>
      </c>
      <c r="F684">
        <v>1</v>
      </c>
      <c r="G684">
        <v>2</v>
      </c>
      <c r="H684">
        <v>3</v>
      </c>
      <c r="I684" t="s">
        <v>2012</v>
      </c>
    </row>
    <row r="685" spans="1:9" x14ac:dyDescent="0.25">
      <c r="A685">
        <v>683</v>
      </c>
      <c r="B685" t="s">
        <v>2325</v>
      </c>
      <c r="C685" t="s">
        <v>1713</v>
      </c>
      <c r="D685" t="s">
        <v>1706</v>
      </c>
      <c r="E685">
        <v>18</v>
      </c>
      <c r="F685">
        <v>0</v>
      </c>
      <c r="G685">
        <v>3</v>
      </c>
      <c r="H685">
        <v>3</v>
      </c>
      <c r="I685" t="s">
        <v>2060</v>
      </c>
    </row>
    <row r="686" spans="1:9" x14ac:dyDescent="0.25">
      <c r="A686">
        <v>684</v>
      </c>
      <c r="B686" t="s">
        <v>2326</v>
      </c>
      <c r="C686" t="s">
        <v>1752</v>
      </c>
      <c r="D686" t="s">
        <v>1719</v>
      </c>
      <c r="E686">
        <v>21</v>
      </c>
      <c r="F686">
        <v>0</v>
      </c>
      <c r="G686">
        <v>3</v>
      </c>
      <c r="H686">
        <v>3</v>
      </c>
      <c r="I686" t="s">
        <v>2141</v>
      </c>
    </row>
    <row r="687" spans="1:9" x14ac:dyDescent="0.25">
      <c r="A687">
        <v>685</v>
      </c>
      <c r="B687" t="s">
        <v>2327</v>
      </c>
      <c r="C687" t="s">
        <v>1772</v>
      </c>
      <c r="D687" t="s">
        <v>1706</v>
      </c>
      <c r="E687">
        <v>14</v>
      </c>
      <c r="F687">
        <v>2</v>
      </c>
      <c r="G687">
        <v>1</v>
      </c>
      <c r="H687">
        <v>3</v>
      </c>
      <c r="I687" t="s">
        <v>2012</v>
      </c>
    </row>
    <row r="688" spans="1:9" x14ac:dyDescent="0.25">
      <c r="A688">
        <v>686</v>
      </c>
      <c r="B688" t="s">
        <v>2328</v>
      </c>
      <c r="C688" t="s">
        <v>1735</v>
      </c>
      <c r="D688" t="s">
        <v>1719</v>
      </c>
      <c r="E688">
        <v>13</v>
      </c>
      <c r="F688">
        <v>0</v>
      </c>
      <c r="G688">
        <v>3</v>
      </c>
      <c r="H688">
        <v>3</v>
      </c>
      <c r="I688" t="s">
        <v>1982</v>
      </c>
    </row>
    <row r="689" spans="1:9" x14ac:dyDescent="0.25">
      <c r="A689">
        <v>687</v>
      </c>
      <c r="B689" t="s">
        <v>2329</v>
      </c>
      <c r="C689" t="s">
        <v>1746</v>
      </c>
      <c r="D689" t="s">
        <v>1719</v>
      </c>
      <c r="E689">
        <v>22</v>
      </c>
      <c r="F689">
        <v>1</v>
      </c>
      <c r="G689">
        <v>2</v>
      </c>
      <c r="H689">
        <v>3</v>
      </c>
      <c r="I689" t="s">
        <v>2141</v>
      </c>
    </row>
    <row r="690" spans="1:9" x14ac:dyDescent="0.25">
      <c r="A690">
        <v>688</v>
      </c>
      <c r="B690" t="s">
        <v>2330</v>
      </c>
      <c r="C690" t="s">
        <v>1746</v>
      </c>
      <c r="D690" t="s">
        <v>1701</v>
      </c>
      <c r="E690">
        <v>9</v>
      </c>
      <c r="F690">
        <v>1</v>
      </c>
      <c r="G690">
        <v>2</v>
      </c>
      <c r="H690">
        <v>3</v>
      </c>
      <c r="I690" t="s">
        <v>1910</v>
      </c>
    </row>
    <row r="691" spans="1:9" x14ac:dyDescent="0.25">
      <c r="A691">
        <v>689</v>
      </c>
      <c r="B691" t="s">
        <v>2331</v>
      </c>
      <c r="C691" t="s">
        <v>1724</v>
      </c>
      <c r="D691" t="s">
        <v>1706</v>
      </c>
      <c r="E691">
        <v>51</v>
      </c>
      <c r="F691">
        <v>0</v>
      </c>
      <c r="G691">
        <v>3</v>
      </c>
      <c r="H691">
        <v>3</v>
      </c>
      <c r="I691" t="s">
        <v>2303</v>
      </c>
    </row>
    <row r="692" spans="1:9" x14ac:dyDescent="0.25">
      <c r="A692">
        <v>690</v>
      </c>
      <c r="B692" t="s">
        <v>2332</v>
      </c>
      <c r="C692" t="s">
        <v>1738</v>
      </c>
      <c r="D692" t="s">
        <v>1711</v>
      </c>
      <c r="E692">
        <v>3</v>
      </c>
      <c r="F692">
        <v>0</v>
      </c>
      <c r="G692">
        <v>2</v>
      </c>
      <c r="H692">
        <v>2</v>
      </c>
      <c r="I692" t="s">
        <v>1777</v>
      </c>
    </row>
    <row r="693" spans="1:9" x14ac:dyDescent="0.25">
      <c r="A693">
        <v>691</v>
      </c>
      <c r="B693" t="s">
        <v>2333</v>
      </c>
      <c r="C693" t="s">
        <v>1757</v>
      </c>
      <c r="D693" t="s">
        <v>1719</v>
      </c>
      <c r="E693">
        <v>11</v>
      </c>
      <c r="F693">
        <v>1</v>
      </c>
      <c r="G693">
        <v>1</v>
      </c>
      <c r="H693">
        <v>2</v>
      </c>
      <c r="I693" t="s">
        <v>2064</v>
      </c>
    </row>
    <row r="694" spans="1:9" x14ac:dyDescent="0.25">
      <c r="A694">
        <v>692</v>
      </c>
      <c r="B694" t="s">
        <v>2334</v>
      </c>
      <c r="C694" t="s">
        <v>1741</v>
      </c>
      <c r="D694" t="s">
        <v>1711</v>
      </c>
      <c r="E694">
        <v>12</v>
      </c>
      <c r="F694">
        <v>0</v>
      </c>
      <c r="G694">
        <v>2</v>
      </c>
      <c r="H694">
        <v>2</v>
      </c>
      <c r="I694" t="s">
        <v>2060</v>
      </c>
    </row>
    <row r="695" spans="1:9" x14ac:dyDescent="0.25">
      <c r="A695">
        <v>693</v>
      </c>
      <c r="B695" t="s">
        <v>2335</v>
      </c>
      <c r="C695" t="s">
        <v>1757</v>
      </c>
      <c r="D695" t="s">
        <v>1711</v>
      </c>
      <c r="E695">
        <v>16</v>
      </c>
      <c r="F695">
        <v>0</v>
      </c>
      <c r="G695">
        <v>2</v>
      </c>
      <c r="H695">
        <v>2</v>
      </c>
      <c r="I695" t="s">
        <v>2151</v>
      </c>
    </row>
    <row r="696" spans="1:9" x14ac:dyDescent="0.25">
      <c r="A696">
        <v>694</v>
      </c>
      <c r="B696" t="s">
        <v>2336</v>
      </c>
      <c r="C696" t="s">
        <v>1710</v>
      </c>
      <c r="D696" t="s">
        <v>1711</v>
      </c>
      <c r="E696">
        <v>11</v>
      </c>
      <c r="F696">
        <v>0</v>
      </c>
      <c r="G696">
        <v>2</v>
      </c>
      <c r="H696">
        <v>2</v>
      </c>
      <c r="I696" t="s">
        <v>2064</v>
      </c>
    </row>
    <row r="697" spans="1:9" x14ac:dyDescent="0.25">
      <c r="A697">
        <v>695</v>
      </c>
      <c r="B697" t="s">
        <v>2337</v>
      </c>
      <c r="C697" t="s">
        <v>1745</v>
      </c>
      <c r="D697" t="s">
        <v>1701</v>
      </c>
      <c r="E697">
        <v>8</v>
      </c>
      <c r="F697">
        <v>0</v>
      </c>
      <c r="G697">
        <v>2</v>
      </c>
      <c r="H697">
        <v>2</v>
      </c>
      <c r="I697" t="s">
        <v>1991</v>
      </c>
    </row>
    <row r="698" spans="1:9" x14ac:dyDescent="0.25">
      <c r="A698">
        <v>696</v>
      </c>
      <c r="B698" t="s">
        <v>2338</v>
      </c>
      <c r="C698" t="s">
        <v>1741</v>
      </c>
      <c r="D698" t="s">
        <v>1719</v>
      </c>
      <c r="E698">
        <v>26</v>
      </c>
      <c r="F698">
        <v>1</v>
      </c>
      <c r="G698">
        <v>1</v>
      </c>
      <c r="H698">
        <v>2</v>
      </c>
      <c r="I698" t="s">
        <v>2274</v>
      </c>
    </row>
    <row r="699" spans="1:9" x14ac:dyDescent="0.25">
      <c r="A699">
        <v>697</v>
      </c>
      <c r="B699" t="s">
        <v>2339</v>
      </c>
      <c r="C699" t="s">
        <v>1703</v>
      </c>
      <c r="D699" t="s">
        <v>2340</v>
      </c>
      <c r="E699">
        <v>49</v>
      </c>
      <c r="F699">
        <v>0</v>
      </c>
      <c r="G699">
        <v>2</v>
      </c>
      <c r="H699">
        <v>2</v>
      </c>
      <c r="I699" t="s">
        <v>2320</v>
      </c>
    </row>
    <row r="700" spans="1:9" x14ac:dyDescent="0.25">
      <c r="A700">
        <v>698</v>
      </c>
      <c r="B700" t="s">
        <v>2341</v>
      </c>
      <c r="C700" t="s">
        <v>1726</v>
      </c>
      <c r="D700" t="s">
        <v>1701</v>
      </c>
      <c r="E700">
        <v>10</v>
      </c>
      <c r="F700">
        <v>2</v>
      </c>
      <c r="G700">
        <v>0</v>
      </c>
      <c r="H700">
        <v>2</v>
      </c>
      <c r="I700" t="s">
        <v>2029</v>
      </c>
    </row>
    <row r="701" spans="1:9" x14ac:dyDescent="0.25">
      <c r="A701">
        <v>699</v>
      </c>
      <c r="B701" t="s">
        <v>2342</v>
      </c>
      <c r="C701" t="s">
        <v>1741</v>
      </c>
      <c r="D701" t="s">
        <v>1701</v>
      </c>
      <c r="E701">
        <v>6</v>
      </c>
      <c r="F701">
        <v>0</v>
      </c>
      <c r="G701">
        <v>2</v>
      </c>
      <c r="H701">
        <v>2</v>
      </c>
      <c r="I701" t="s">
        <v>1910</v>
      </c>
    </row>
    <row r="702" spans="1:9" x14ac:dyDescent="0.25">
      <c r="A702">
        <v>700</v>
      </c>
      <c r="B702" t="s">
        <v>2343</v>
      </c>
      <c r="C702" t="s">
        <v>1715</v>
      </c>
      <c r="D702" t="s">
        <v>1719</v>
      </c>
      <c r="E702">
        <v>18</v>
      </c>
      <c r="F702">
        <v>0</v>
      </c>
      <c r="G702">
        <v>2</v>
      </c>
      <c r="H702">
        <v>2</v>
      </c>
      <c r="I702" t="s">
        <v>2160</v>
      </c>
    </row>
    <row r="703" spans="1:9" x14ac:dyDescent="0.25">
      <c r="A703">
        <v>701</v>
      </c>
      <c r="B703" t="s">
        <v>2344</v>
      </c>
      <c r="C703" t="s">
        <v>1745</v>
      </c>
      <c r="D703" t="s">
        <v>1719</v>
      </c>
      <c r="E703">
        <v>27</v>
      </c>
      <c r="F703">
        <v>0</v>
      </c>
      <c r="G703">
        <v>2</v>
      </c>
      <c r="H703">
        <v>2</v>
      </c>
      <c r="I703" t="s">
        <v>2279</v>
      </c>
    </row>
    <row r="704" spans="1:9" x14ac:dyDescent="0.25">
      <c r="A704">
        <v>702</v>
      </c>
      <c r="B704" t="s">
        <v>2345</v>
      </c>
      <c r="C704" t="s">
        <v>1779</v>
      </c>
      <c r="D704" t="s">
        <v>1701</v>
      </c>
      <c r="E704">
        <v>14</v>
      </c>
      <c r="F704">
        <v>0</v>
      </c>
      <c r="G704">
        <v>2</v>
      </c>
      <c r="H704">
        <v>2</v>
      </c>
      <c r="I704" t="s">
        <v>2141</v>
      </c>
    </row>
    <row r="705" spans="1:9" x14ac:dyDescent="0.25">
      <c r="A705">
        <v>703</v>
      </c>
      <c r="B705" t="s">
        <v>2346</v>
      </c>
      <c r="C705" t="s">
        <v>1732</v>
      </c>
      <c r="D705" t="s">
        <v>1711</v>
      </c>
      <c r="E705">
        <v>5</v>
      </c>
      <c r="F705">
        <v>1</v>
      </c>
      <c r="G705">
        <v>1</v>
      </c>
      <c r="H705">
        <v>2</v>
      </c>
      <c r="I705" t="s">
        <v>1860</v>
      </c>
    </row>
    <row r="706" spans="1:9" x14ac:dyDescent="0.25">
      <c r="A706">
        <v>704</v>
      </c>
      <c r="B706" t="s">
        <v>2347</v>
      </c>
      <c r="C706" t="s">
        <v>1713</v>
      </c>
      <c r="D706" t="s">
        <v>2340</v>
      </c>
      <c r="E706">
        <v>50</v>
      </c>
      <c r="F706">
        <v>0</v>
      </c>
      <c r="G706">
        <v>2</v>
      </c>
      <c r="H706">
        <v>2</v>
      </c>
      <c r="I706" t="s">
        <v>2320</v>
      </c>
    </row>
    <row r="707" spans="1:9" x14ac:dyDescent="0.25">
      <c r="A707">
        <v>705</v>
      </c>
      <c r="B707" t="s">
        <v>2348</v>
      </c>
      <c r="C707" t="s">
        <v>1738</v>
      </c>
      <c r="D707" t="s">
        <v>2340</v>
      </c>
      <c r="E707">
        <v>19</v>
      </c>
      <c r="F707">
        <v>0</v>
      </c>
      <c r="G707">
        <v>2</v>
      </c>
      <c r="H707">
        <v>2</v>
      </c>
      <c r="I707" t="s">
        <v>2160</v>
      </c>
    </row>
    <row r="708" spans="1:9" x14ac:dyDescent="0.25">
      <c r="A708">
        <v>706</v>
      </c>
      <c r="B708" t="s">
        <v>2349</v>
      </c>
      <c r="C708" t="s">
        <v>1710</v>
      </c>
      <c r="D708" t="s">
        <v>2340</v>
      </c>
      <c r="E708">
        <v>65</v>
      </c>
      <c r="F708">
        <v>0</v>
      </c>
      <c r="G708">
        <v>2</v>
      </c>
      <c r="H708">
        <v>2</v>
      </c>
      <c r="I708" t="s">
        <v>2350</v>
      </c>
    </row>
    <row r="709" spans="1:9" x14ac:dyDescent="0.25">
      <c r="A709">
        <v>707</v>
      </c>
      <c r="B709" t="s">
        <v>2351</v>
      </c>
      <c r="C709" t="s">
        <v>1774</v>
      </c>
      <c r="D709" t="s">
        <v>2340</v>
      </c>
      <c r="E709">
        <v>50</v>
      </c>
      <c r="F709">
        <v>0</v>
      </c>
      <c r="G709">
        <v>2</v>
      </c>
      <c r="H709">
        <v>2</v>
      </c>
      <c r="I709" t="s">
        <v>2320</v>
      </c>
    </row>
    <row r="710" spans="1:9" x14ac:dyDescent="0.25">
      <c r="A710">
        <v>708</v>
      </c>
      <c r="B710" t="s">
        <v>2352</v>
      </c>
      <c r="C710" t="s">
        <v>1721</v>
      </c>
      <c r="D710" t="s">
        <v>1719</v>
      </c>
      <c r="E710">
        <v>9</v>
      </c>
      <c r="F710">
        <v>0</v>
      </c>
      <c r="G710">
        <v>2</v>
      </c>
      <c r="H710">
        <v>2</v>
      </c>
      <c r="I710" t="s">
        <v>1993</v>
      </c>
    </row>
    <row r="711" spans="1:9" x14ac:dyDescent="0.25">
      <c r="A711">
        <v>709</v>
      </c>
      <c r="B711" t="s">
        <v>2353</v>
      </c>
      <c r="C711" t="s">
        <v>1768</v>
      </c>
      <c r="D711" t="s">
        <v>1701</v>
      </c>
      <c r="E711">
        <v>3</v>
      </c>
      <c r="F711">
        <v>0</v>
      </c>
      <c r="G711">
        <v>2</v>
      </c>
      <c r="H711">
        <v>2</v>
      </c>
      <c r="I711" t="s">
        <v>1777</v>
      </c>
    </row>
    <row r="712" spans="1:9" x14ac:dyDescent="0.25">
      <c r="A712">
        <v>710</v>
      </c>
      <c r="B712" t="s">
        <v>2354</v>
      </c>
      <c r="C712" t="s">
        <v>1768</v>
      </c>
      <c r="D712" t="s">
        <v>1711</v>
      </c>
      <c r="E712">
        <v>13</v>
      </c>
      <c r="F712">
        <v>2</v>
      </c>
      <c r="G712">
        <v>0</v>
      </c>
      <c r="H712">
        <v>2</v>
      </c>
      <c r="I712" t="s">
        <v>2107</v>
      </c>
    </row>
    <row r="713" spans="1:9" x14ac:dyDescent="0.25">
      <c r="A713">
        <v>711</v>
      </c>
      <c r="B713" t="s">
        <v>2355</v>
      </c>
      <c r="C713" t="s">
        <v>1710</v>
      </c>
      <c r="D713" t="s">
        <v>1711</v>
      </c>
      <c r="E713">
        <v>19</v>
      </c>
      <c r="F713">
        <v>1</v>
      </c>
      <c r="G713">
        <v>1</v>
      </c>
      <c r="H713">
        <v>2</v>
      </c>
      <c r="I713" t="s">
        <v>2160</v>
      </c>
    </row>
    <row r="714" spans="1:9" x14ac:dyDescent="0.25">
      <c r="A714">
        <v>712</v>
      </c>
      <c r="B714" t="s">
        <v>2356</v>
      </c>
      <c r="C714" t="s">
        <v>1763</v>
      </c>
      <c r="D714" t="s">
        <v>1711</v>
      </c>
      <c r="E714">
        <v>42</v>
      </c>
      <c r="F714">
        <v>0</v>
      </c>
      <c r="G714">
        <v>2</v>
      </c>
      <c r="H714">
        <v>2</v>
      </c>
      <c r="I714" t="s">
        <v>2357</v>
      </c>
    </row>
    <row r="715" spans="1:9" x14ac:dyDescent="0.25">
      <c r="A715">
        <v>713</v>
      </c>
      <c r="B715" t="s">
        <v>2358</v>
      </c>
      <c r="C715" t="s">
        <v>1772</v>
      </c>
      <c r="D715" t="s">
        <v>1701</v>
      </c>
      <c r="E715">
        <v>23</v>
      </c>
      <c r="F715">
        <v>1</v>
      </c>
      <c r="G715">
        <v>1</v>
      </c>
      <c r="H715">
        <v>2</v>
      </c>
      <c r="I715" t="s">
        <v>2204</v>
      </c>
    </row>
    <row r="716" spans="1:9" x14ac:dyDescent="0.25">
      <c r="A716">
        <v>714</v>
      </c>
      <c r="B716" t="s">
        <v>2359</v>
      </c>
      <c r="C716" t="s">
        <v>1752</v>
      </c>
      <c r="D716" t="s">
        <v>1719</v>
      </c>
      <c r="E716">
        <v>24</v>
      </c>
      <c r="F716">
        <v>1</v>
      </c>
      <c r="G716">
        <v>1</v>
      </c>
      <c r="H716">
        <v>2</v>
      </c>
      <c r="I716" t="s">
        <v>2274</v>
      </c>
    </row>
    <row r="717" spans="1:9" x14ac:dyDescent="0.25">
      <c r="A717">
        <v>715</v>
      </c>
      <c r="B717" t="s">
        <v>2360</v>
      </c>
      <c r="C717" t="s">
        <v>1757</v>
      </c>
      <c r="D717" t="s">
        <v>1711</v>
      </c>
      <c r="E717">
        <v>11</v>
      </c>
      <c r="F717">
        <v>1</v>
      </c>
      <c r="G717">
        <v>1</v>
      </c>
      <c r="H717">
        <v>2</v>
      </c>
      <c r="I717" t="s">
        <v>2064</v>
      </c>
    </row>
    <row r="718" spans="1:9" x14ac:dyDescent="0.25">
      <c r="A718">
        <v>716</v>
      </c>
      <c r="B718" t="s">
        <v>2361</v>
      </c>
      <c r="C718" t="s">
        <v>1713</v>
      </c>
      <c r="D718" t="s">
        <v>1701</v>
      </c>
      <c r="E718">
        <v>10</v>
      </c>
      <c r="F718">
        <v>1</v>
      </c>
      <c r="G718">
        <v>1</v>
      </c>
      <c r="H718">
        <v>2</v>
      </c>
      <c r="I718" t="s">
        <v>2029</v>
      </c>
    </row>
    <row r="719" spans="1:9" x14ac:dyDescent="0.25">
      <c r="A719">
        <v>717</v>
      </c>
      <c r="B719" t="s">
        <v>2362</v>
      </c>
      <c r="C719" t="s">
        <v>1741</v>
      </c>
      <c r="D719" t="s">
        <v>1711</v>
      </c>
      <c r="E719">
        <v>36</v>
      </c>
      <c r="F719">
        <v>0</v>
      </c>
      <c r="G719">
        <v>2</v>
      </c>
      <c r="H719">
        <v>2</v>
      </c>
      <c r="I719" t="s">
        <v>2303</v>
      </c>
    </row>
    <row r="720" spans="1:9" x14ac:dyDescent="0.25">
      <c r="A720">
        <v>718</v>
      </c>
      <c r="B720" t="s">
        <v>2363</v>
      </c>
      <c r="C720" t="s">
        <v>1715</v>
      </c>
      <c r="D720" t="s">
        <v>1719</v>
      </c>
      <c r="E720">
        <v>5</v>
      </c>
      <c r="F720">
        <v>0</v>
      </c>
      <c r="G720">
        <v>2</v>
      </c>
      <c r="H720">
        <v>2</v>
      </c>
      <c r="I720" t="s">
        <v>1860</v>
      </c>
    </row>
    <row r="721" spans="1:9" x14ac:dyDescent="0.25">
      <c r="A721">
        <v>719</v>
      </c>
      <c r="B721" t="s">
        <v>2364</v>
      </c>
      <c r="C721" t="s">
        <v>1703</v>
      </c>
      <c r="D721" t="s">
        <v>1711</v>
      </c>
      <c r="E721">
        <v>13</v>
      </c>
      <c r="F721">
        <v>0</v>
      </c>
      <c r="G721">
        <v>2</v>
      </c>
      <c r="H721">
        <v>2</v>
      </c>
      <c r="I721" t="s">
        <v>2107</v>
      </c>
    </row>
    <row r="722" spans="1:9" x14ac:dyDescent="0.25">
      <c r="A722">
        <v>720</v>
      </c>
      <c r="B722" t="s">
        <v>2365</v>
      </c>
      <c r="C722" t="s">
        <v>1724</v>
      </c>
      <c r="D722" t="s">
        <v>1701</v>
      </c>
      <c r="E722">
        <v>30</v>
      </c>
      <c r="F722">
        <v>1</v>
      </c>
      <c r="G722">
        <v>1</v>
      </c>
      <c r="H722">
        <v>2</v>
      </c>
      <c r="I722" t="s">
        <v>2279</v>
      </c>
    </row>
    <row r="723" spans="1:9" x14ac:dyDescent="0.25">
      <c r="A723">
        <v>721</v>
      </c>
      <c r="B723" t="s">
        <v>2366</v>
      </c>
      <c r="C723" t="s">
        <v>1746</v>
      </c>
      <c r="D723" t="s">
        <v>1711</v>
      </c>
      <c r="E723">
        <v>10</v>
      </c>
      <c r="F723">
        <v>1</v>
      </c>
      <c r="G723">
        <v>1</v>
      </c>
      <c r="H723">
        <v>2</v>
      </c>
      <c r="I723" t="s">
        <v>2029</v>
      </c>
    </row>
    <row r="724" spans="1:9" x14ac:dyDescent="0.25">
      <c r="A724">
        <v>722</v>
      </c>
      <c r="B724" t="s">
        <v>2367</v>
      </c>
      <c r="C724" t="s">
        <v>1752</v>
      </c>
      <c r="D724" t="s">
        <v>1701</v>
      </c>
      <c r="E724">
        <v>26</v>
      </c>
      <c r="F724">
        <v>2</v>
      </c>
      <c r="G724">
        <v>0</v>
      </c>
      <c r="H724">
        <v>2</v>
      </c>
      <c r="I724" t="s">
        <v>2274</v>
      </c>
    </row>
    <row r="725" spans="1:9" x14ac:dyDescent="0.25">
      <c r="A725">
        <v>723</v>
      </c>
      <c r="B725" t="s">
        <v>2368</v>
      </c>
      <c r="C725" t="s">
        <v>1718</v>
      </c>
      <c r="D725" t="s">
        <v>1719</v>
      </c>
      <c r="E725">
        <v>4</v>
      </c>
      <c r="F725">
        <v>1</v>
      </c>
      <c r="G725">
        <v>1</v>
      </c>
      <c r="H725">
        <v>2</v>
      </c>
      <c r="I725" t="s">
        <v>1819</v>
      </c>
    </row>
    <row r="726" spans="1:9" x14ac:dyDescent="0.25">
      <c r="A726">
        <v>724</v>
      </c>
      <c r="B726" t="s">
        <v>2369</v>
      </c>
      <c r="C726" t="s">
        <v>1700</v>
      </c>
      <c r="D726" t="s">
        <v>1719</v>
      </c>
      <c r="E726">
        <v>4</v>
      </c>
      <c r="F726">
        <v>0</v>
      </c>
      <c r="G726">
        <v>2</v>
      </c>
      <c r="H726">
        <v>2</v>
      </c>
      <c r="I726" t="s">
        <v>1819</v>
      </c>
    </row>
    <row r="727" spans="1:9" x14ac:dyDescent="0.25">
      <c r="A727">
        <v>725</v>
      </c>
      <c r="B727" t="s">
        <v>2370</v>
      </c>
      <c r="C727" t="s">
        <v>1748</v>
      </c>
      <c r="D727" t="s">
        <v>1711</v>
      </c>
      <c r="E727">
        <v>10</v>
      </c>
      <c r="F727">
        <v>1</v>
      </c>
      <c r="G727">
        <v>1</v>
      </c>
      <c r="H727">
        <v>2</v>
      </c>
      <c r="I727" t="s">
        <v>2029</v>
      </c>
    </row>
    <row r="728" spans="1:9" x14ac:dyDescent="0.25">
      <c r="A728">
        <v>726</v>
      </c>
      <c r="B728" t="s">
        <v>2371</v>
      </c>
      <c r="C728" t="s">
        <v>1726</v>
      </c>
      <c r="D728" t="s">
        <v>1701</v>
      </c>
      <c r="E728">
        <v>9</v>
      </c>
      <c r="F728">
        <v>0</v>
      </c>
      <c r="G728">
        <v>2</v>
      </c>
      <c r="H728">
        <v>2</v>
      </c>
      <c r="I728" t="s">
        <v>1993</v>
      </c>
    </row>
    <row r="729" spans="1:9" x14ac:dyDescent="0.25">
      <c r="A729">
        <v>727</v>
      </c>
      <c r="B729" t="s">
        <v>2372</v>
      </c>
      <c r="C729" t="s">
        <v>1751</v>
      </c>
      <c r="D729" t="s">
        <v>1711</v>
      </c>
      <c r="E729">
        <v>15</v>
      </c>
      <c r="F729">
        <v>1</v>
      </c>
      <c r="G729">
        <v>1</v>
      </c>
      <c r="H729">
        <v>2</v>
      </c>
      <c r="I729" t="s">
        <v>2151</v>
      </c>
    </row>
    <row r="730" spans="1:9" x14ac:dyDescent="0.25">
      <c r="A730">
        <v>728</v>
      </c>
      <c r="B730" t="s">
        <v>2373</v>
      </c>
      <c r="C730" t="s">
        <v>1721</v>
      </c>
      <c r="D730" t="s">
        <v>1706</v>
      </c>
      <c r="E730">
        <v>9</v>
      </c>
      <c r="F730">
        <v>0</v>
      </c>
      <c r="G730">
        <v>2</v>
      </c>
      <c r="H730">
        <v>2</v>
      </c>
      <c r="I730" t="s">
        <v>1993</v>
      </c>
    </row>
    <row r="731" spans="1:9" x14ac:dyDescent="0.25">
      <c r="A731">
        <v>729</v>
      </c>
      <c r="B731" t="s">
        <v>2374</v>
      </c>
      <c r="C731" t="s">
        <v>1774</v>
      </c>
      <c r="D731" t="s">
        <v>1719</v>
      </c>
      <c r="E731">
        <v>27</v>
      </c>
      <c r="F731">
        <v>0</v>
      </c>
      <c r="G731">
        <v>1</v>
      </c>
      <c r="H731">
        <v>1</v>
      </c>
      <c r="I731" t="s">
        <v>2320</v>
      </c>
    </row>
    <row r="732" spans="1:9" x14ac:dyDescent="0.25">
      <c r="A732">
        <v>730</v>
      </c>
      <c r="B732" t="s">
        <v>2375</v>
      </c>
      <c r="C732" t="s">
        <v>1745</v>
      </c>
      <c r="D732" t="s">
        <v>1711</v>
      </c>
      <c r="E732">
        <v>2</v>
      </c>
      <c r="F732">
        <v>0</v>
      </c>
      <c r="G732">
        <v>1</v>
      </c>
      <c r="H732">
        <v>1</v>
      </c>
      <c r="I732" t="s">
        <v>1819</v>
      </c>
    </row>
    <row r="733" spans="1:9" x14ac:dyDescent="0.25">
      <c r="A733">
        <v>731</v>
      </c>
      <c r="B733" t="s">
        <v>2376</v>
      </c>
      <c r="C733" t="s">
        <v>1774</v>
      </c>
      <c r="D733" t="s">
        <v>1701</v>
      </c>
      <c r="E733">
        <v>4</v>
      </c>
      <c r="F733">
        <v>0</v>
      </c>
      <c r="G733">
        <v>1</v>
      </c>
      <c r="H733">
        <v>1</v>
      </c>
      <c r="I733" t="s">
        <v>1991</v>
      </c>
    </row>
    <row r="734" spans="1:9" x14ac:dyDescent="0.25">
      <c r="A734">
        <v>732</v>
      </c>
      <c r="B734" t="s">
        <v>2377</v>
      </c>
      <c r="C734" t="s">
        <v>1751</v>
      </c>
      <c r="D734" t="s">
        <v>2340</v>
      </c>
      <c r="E734">
        <v>4</v>
      </c>
      <c r="F734">
        <v>0</v>
      </c>
      <c r="G734">
        <v>1</v>
      </c>
      <c r="H734">
        <v>1</v>
      </c>
      <c r="I734" t="s">
        <v>1991</v>
      </c>
    </row>
    <row r="735" spans="1:9" x14ac:dyDescent="0.25">
      <c r="A735">
        <v>733</v>
      </c>
      <c r="B735" t="s">
        <v>2378</v>
      </c>
      <c r="C735" t="s">
        <v>1705</v>
      </c>
      <c r="D735" t="s">
        <v>1711</v>
      </c>
      <c r="E735">
        <v>29</v>
      </c>
      <c r="F735">
        <v>1</v>
      </c>
      <c r="G735">
        <v>0</v>
      </c>
      <c r="H735">
        <v>1</v>
      </c>
      <c r="I735" t="s">
        <v>2350</v>
      </c>
    </row>
    <row r="736" spans="1:9" x14ac:dyDescent="0.25">
      <c r="A736">
        <v>734</v>
      </c>
      <c r="B736" t="s">
        <v>2379</v>
      </c>
      <c r="C736" t="s">
        <v>1779</v>
      </c>
      <c r="D736" t="s">
        <v>1706</v>
      </c>
      <c r="E736">
        <v>3</v>
      </c>
      <c r="F736">
        <v>0</v>
      </c>
      <c r="G736">
        <v>1</v>
      </c>
      <c r="H736">
        <v>1</v>
      </c>
      <c r="I736" t="s">
        <v>1910</v>
      </c>
    </row>
    <row r="737" spans="1:9" x14ac:dyDescent="0.25">
      <c r="A737">
        <v>735</v>
      </c>
      <c r="B737" t="s">
        <v>2380</v>
      </c>
      <c r="C737" t="s">
        <v>1752</v>
      </c>
      <c r="D737" t="s">
        <v>1701</v>
      </c>
      <c r="E737">
        <v>7</v>
      </c>
      <c r="F737">
        <v>0</v>
      </c>
      <c r="G737">
        <v>1</v>
      </c>
      <c r="H737">
        <v>1</v>
      </c>
      <c r="I737" t="s">
        <v>2141</v>
      </c>
    </row>
    <row r="738" spans="1:9" x14ac:dyDescent="0.25">
      <c r="A738">
        <v>736</v>
      </c>
      <c r="B738" t="s">
        <v>2381</v>
      </c>
      <c r="C738" t="s">
        <v>1713</v>
      </c>
      <c r="D738" t="s">
        <v>2340</v>
      </c>
      <c r="E738">
        <v>60</v>
      </c>
      <c r="F738">
        <v>0</v>
      </c>
      <c r="G738">
        <v>1</v>
      </c>
      <c r="H738">
        <v>1</v>
      </c>
      <c r="I738" t="s">
        <v>2382</v>
      </c>
    </row>
    <row r="739" spans="1:9" x14ac:dyDescent="0.25">
      <c r="A739">
        <v>737</v>
      </c>
      <c r="B739" t="s">
        <v>2383</v>
      </c>
      <c r="C739" t="s">
        <v>1763</v>
      </c>
      <c r="D739" t="s">
        <v>2340</v>
      </c>
      <c r="E739">
        <v>59</v>
      </c>
      <c r="F739">
        <v>0</v>
      </c>
      <c r="G739">
        <v>1</v>
      </c>
      <c r="H739">
        <v>1</v>
      </c>
      <c r="I739" t="s">
        <v>2382</v>
      </c>
    </row>
    <row r="740" spans="1:9" x14ac:dyDescent="0.25">
      <c r="A740">
        <v>738</v>
      </c>
      <c r="B740" t="s">
        <v>2384</v>
      </c>
      <c r="C740" t="s">
        <v>1745</v>
      </c>
      <c r="D740" t="s">
        <v>2340</v>
      </c>
      <c r="E740">
        <v>4</v>
      </c>
      <c r="F740">
        <v>0</v>
      </c>
      <c r="G740">
        <v>1</v>
      </c>
      <c r="H740">
        <v>1</v>
      </c>
      <c r="I740" t="s">
        <v>1991</v>
      </c>
    </row>
    <row r="741" spans="1:9" x14ac:dyDescent="0.25">
      <c r="A741">
        <v>739</v>
      </c>
      <c r="B741" t="s">
        <v>2385</v>
      </c>
      <c r="C741" t="s">
        <v>1739</v>
      </c>
      <c r="D741" t="s">
        <v>2340</v>
      </c>
      <c r="E741">
        <v>28</v>
      </c>
      <c r="F741">
        <v>0</v>
      </c>
      <c r="G741">
        <v>1</v>
      </c>
      <c r="H741">
        <v>1</v>
      </c>
      <c r="I741" t="s">
        <v>2320</v>
      </c>
    </row>
    <row r="742" spans="1:9" x14ac:dyDescent="0.25">
      <c r="A742">
        <v>740</v>
      </c>
      <c r="B742" t="s">
        <v>2386</v>
      </c>
      <c r="C742" t="s">
        <v>1748</v>
      </c>
      <c r="D742" t="s">
        <v>2340</v>
      </c>
      <c r="E742">
        <v>58</v>
      </c>
      <c r="F742">
        <v>0</v>
      </c>
      <c r="G742">
        <v>1</v>
      </c>
      <c r="H742">
        <v>1</v>
      </c>
      <c r="I742" t="s">
        <v>2382</v>
      </c>
    </row>
    <row r="743" spans="1:9" x14ac:dyDescent="0.25">
      <c r="A743">
        <v>741</v>
      </c>
      <c r="B743" t="s">
        <v>2387</v>
      </c>
      <c r="C743" t="s">
        <v>1736</v>
      </c>
      <c r="D743" t="s">
        <v>1711</v>
      </c>
      <c r="E743">
        <v>2</v>
      </c>
      <c r="F743">
        <v>0</v>
      </c>
      <c r="G743">
        <v>1</v>
      </c>
      <c r="H743">
        <v>1</v>
      </c>
      <c r="I743" t="s">
        <v>1819</v>
      </c>
    </row>
    <row r="744" spans="1:9" x14ac:dyDescent="0.25">
      <c r="A744">
        <v>742</v>
      </c>
      <c r="B744" t="s">
        <v>2388</v>
      </c>
      <c r="C744" t="s">
        <v>1726</v>
      </c>
      <c r="D744" t="s">
        <v>2340</v>
      </c>
      <c r="E744">
        <v>59</v>
      </c>
      <c r="F744">
        <v>0</v>
      </c>
      <c r="G744">
        <v>1</v>
      </c>
      <c r="H744">
        <v>1</v>
      </c>
      <c r="I744" t="s">
        <v>2382</v>
      </c>
    </row>
    <row r="745" spans="1:9" x14ac:dyDescent="0.25">
      <c r="A745">
        <v>743</v>
      </c>
      <c r="B745" t="s">
        <v>2389</v>
      </c>
      <c r="C745" t="s">
        <v>1724</v>
      </c>
      <c r="D745" t="s">
        <v>2340</v>
      </c>
      <c r="E745">
        <v>52</v>
      </c>
      <c r="F745">
        <v>0</v>
      </c>
      <c r="G745">
        <v>1</v>
      </c>
      <c r="H745">
        <v>1</v>
      </c>
      <c r="I745" t="s">
        <v>2382</v>
      </c>
    </row>
    <row r="746" spans="1:9" x14ac:dyDescent="0.25">
      <c r="A746">
        <v>744</v>
      </c>
      <c r="B746" t="s">
        <v>2390</v>
      </c>
      <c r="C746" t="s">
        <v>1771</v>
      </c>
      <c r="D746" t="s">
        <v>2340</v>
      </c>
      <c r="E746">
        <v>40</v>
      </c>
      <c r="F746">
        <v>0</v>
      </c>
      <c r="G746">
        <v>1</v>
      </c>
      <c r="H746">
        <v>1</v>
      </c>
      <c r="I746" t="s">
        <v>2350</v>
      </c>
    </row>
    <row r="747" spans="1:9" x14ac:dyDescent="0.25">
      <c r="A747">
        <v>745</v>
      </c>
      <c r="B747" t="s">
        <v>2391</v>
      </c>
      <c r="C747" t="s">
        <v>1763</v>
      </c>
      <c r="D747" t="s">
        <v>1711</v>
      </c>
      <c r="E747">
        <v>4</v>
      </c>
      <c r="F747">
        <v>0</v>
      </c>
      <c r="G747">
        <v>1</v>
      </c>
      <c r="H747">
        <v>1</v>
      </c>
      <c r="I747" t="s">
        <v>1991</v>
      </c>
    </row>
    <row r="748" spans="1:9" x14ac:dyDescent="0.25">
      <c r="A748">
        <v>746</v>
      </c>
      <c r="B748" t="s">
        <v>2392</v>
      </c>
      <c r="C748" t="s">
        <v>1735</v>
      </c>
      <c r="D748" t="s">
        <v>2340</v>
      </c>
      <c r="E748">
        <v>18</v>
      </c>
      <c r="F748">
        <v>0</v>
      </c>
      <c r="G748">
        <v>1</v>
      </c>
      <c r="H748">
        <v>1</v>
      </c>
      <c r="I748" t="s">
        <v>2303</v>
      </c>
    </row>
    <row r="749" spans="1:9" x14ac:dyDescent="0.25">
      <c r="A749">
        <v>747</v>
      </c>
      <c r="B749" t="s">
        <v>2393</v>
      </c>
      <c r="C749" t="s">
        <v>1703</v>
      </c>
      <c r="D749" t="s">
        <v>1719</v>
      </c>
      <c r="E749">
        <v>7</v>
      </c>
      <c r="F749">
        <v>0</v>
      </c>
      <c r="G749">
        <v>1</v>
      </c>
      <c r="H749">
        <v>1</v>
      </c>
      <c r="I749" t="s">
        <v>2141</v>
      </c>
    </row>
    <row r="750" spans="1:9" x14ac:dyDescent="0.25">
      <c r="A750">
        <v>748</v>
      </c>
      <c r="B750" t="s">
        <v>2394</v>
      </c>
      <c r="C750" t="s">
        <v>1735</v>
      </c>
      <c r="D750" t="s">
        <v>1719</v>
      </c>
      <c r="E750">
        <v>17</v>
      </c>
      <c r="F750">
        <v>1</v>
      </c>
      <c r="G750">
        <v>0</v>
      </c>
      <c r="H750">
        <v>1</v>
      </c>
      <c r="I750" t="s">
        <v>2303</v>
      </c>
    </row>
    <row r="751" spans="1:9" x14ac:dyDescent="0.25">
      <c r="A751">
        <v>749</v>
      </c>
      <c r="B751" t="s">
        <v>2395</v>
      </c>
      <c r="C751" t="s">
        <v>1732</v>
      </c>
      <c r="D751" t="s">
        <v>1706</v>
      </c>
      <c r="E751">
        <v>8</v>
      </c>
      <c r="F751">
        <v>1</v>
      </c>
      <c r="G751">
        <v>0</v>
      </c>
      <c r="H751">
        <v>1</v>
      </c>
      <c r="I751" t="s">
        <v>2151</v>
      </c>
    </row>
    <row r="752" spans="1:9" x14ac:dyDescent="0.25">
      <c r="A752">
        <v>750</v>
      </c>
      <c r="B752" t="s">
        <v>2396</v>
      </c>
      <c r="C752" t="s">
        <v>1774</v>
      </c>
      <c r="D752" t="s">
        <v>1701</v>
      </c>
      <c r="E752">
        <v>1</v>
      </c>
      <c r="F752">
        <v>1</v>
      </c>
      <c r="G752">
        <v>0</v>
      </c>
      <c r="H752">
        <v>1</v>
      </c>
      <c r="I752" t="s">
        <v>2397</v>
      </c>
    </row>
    <row r="753" spans="1:9" x14ac:dyDescent="0.25">
      <c r="A753">
        <v>751</v>
      </c>
      <c r="B753" t="s">
        <v>2398</v>
      </c>
      <c r="C753" t="s">
        <v>1779</v>
      </c>
      <c r="D753" t="s">
        <v>2340</v>
      </c>
      <c r="E753">
        <v>54</v>
      </c>
      <c r="F753">
        <v>0</v>
      </c>
      <c r="G753">
        <v>1</v>
      </c>
      <c r="H753">
        <v>1</v>
      </c>
      <c r="I753" t="s">
        <v>2382</v>
      </c>
    </row>
    <row r="754" spans="1:9" x14ac:dyDescent="0.25">
      <c r="A754">
        <v>752</v>
      </c>
      <c r="B754" t="s">
        <v>2399</v>
      </c>
      <c r="C754" t="s">
        <v>1772</v>
      </c>
      <c r="D754" t="s">
        <v>2340</v>
      </c>
      <c r="E754">
        <v>26</v>
      </c>
      <c r="F754">
        <v>0</v>
      </c>
      <c r="G754">
        <v>1</v>
      </c>
      <c r="H754">
        <v>1</v>
      </c>
      <c r="I754" t="s">
        <v>2320</v>
      </c>
    </row>
    <row r="755" spans="1:9" x14ac:dyDescent="0.25">
      <c r="A755">
        <v>753</v>
      </c>
      <c r="B755" t="s">
        <v>2400</v>
      </c>
      <c r="C755" t="s">
        <v>1718</v>
      </c>
      <c r="D755" t="s">
        <v>1701</v>
      </c>
      <c r="E755">
        <v>3</v>
      </c>
      <c r="F755">
        <v>1</v>
      </c>
      <c r="G755">
        <v>0</v>
      </c>
      <c r="H755">
        <v>1</v>
      </c>
      <c r="I755" t="s">
        <v>1910</v>
      </c>
    </row>
    <row r="756" spans="1:9" x14ac:dyDescent="0.25">
      <c r="A756">
        <v>754</v>
      </c>
      <c r="B756" t="s">
        <v>2401</v>
      </c>
      <c r="C756" t="s">
        <v>1738</v>
      </c>
      <c r="D756" t="s">
        <v>2340</v>
      </c>
      <c r="E756">
        <v>62</v>
      </c>
      <c r="F756">
        <v>0</v>
      </c>
      <c r="G756">
        <v>1</v>
      </c>
      <c r="H756">
        <v>1</v>
      </c>
      <c r="I756" t="s">
        <v>2382</v>
      </c>
    </row>
    <row r="757" spans="1:9" x14ac:dyDescent="0.25">
      <c r="A757">
        <v>755</v>
      </c>
      <c r="B757" t="s">
        <v>2402</v>
      </c>
      <c r="C757" t="s">
        <v>1751</v>
      </c>
      <c r="D757" t="s">
        <v>2340</v>
      </c>
      <c r="E757">
        <v>21</v>
      </c>
      <c r="F757">
        <v>0</v>
      </c>
      <c r="G757">
        <v>1</v>
      </c>
      <c r="H757">
        <v>1</v>
      </c>
      <c r="I757" t="s">
        <v>2357</v>
      </c>
    </row>
    <row r="758" spans="1:9" x14ac:dyDescent="0.25">
      <c r="A758">
        <v>756</v>
      </c>
      <c r="B758" t="s">
        <v>2403</v>
      </c>
      <c r="C758" t="s">
        <v>1771</v>
      </c>
      <c r="D758" t="s">
        <v>1719</v>
      </c>
      <c r="E758">
        <v>3</v>
      </c>
      <c r="F758">
        <v>0</v>
      </c>
      <c r="G758">
        <v>1</v>
      </c>
      <c r="H758">
        <v>1</v>
      </c>
      <c r="I758" t="s">
        <v>1910</v>
      </c>
    </row>
    <row r="759" spans="1:9" x14ac:dyDescent="0.25">
      <c r="A759">
        <v>757</v>
      </c>
      <c r="B759" t="s">
        <v>2404</v>
      </c>
      <c r="C759" t="s">
        <v>1721</v>
      </c>
      <c r="D759" t="s">
        <v>2340</v>
      </c>
      <c r="E759">
        <v>61</v>
      </c>
      <c r="F759">
        <v>0</v>
      </c>
      <c r="G759">
        <v>1</v>
      </c>
      <c r="H759">
        <v>1</v>
      </c>
      <c r="I759" t="s">
        <v>2382</v>
      </c>
    </row>
    <row r="760" spans="1:9" x14ac:dyDescent="0.25">
      <c r="A760">
        <v>758</v>
      </c>
      <c r="B760" t="s">
        <v>2405</v>
      </c>
      <c r="C760" t="s">
        <v>1721</v>
      </c>
      <c r="D760" t="s">
        <v>1711</v>
      </c>
      <c r="E760">
        <v>1</v>
      </c>
      <c r="F760">
        <v>1</v>
      </c>
      <c r="G760">
        <v>0</v>
      </c>
      <c r="H760">
        <v>1</v>
      </c>
      <c r="I760" t="s">
        <v>2397</v>
      </c>
    </row>
    <row r="761" spans="1:9" x14ac:dyDescent="0.25">
      <c r="A761">
        <v>759</v>
      </c>
      <c r="B761" t="s">
        <v>2406</v>
      </c>
      <c r="C761" t="s">
        <v>1738</v>
      </c>
      <c r="D761" t="s">
        <v>1706</v>
      </c>
      <c r="E761">
        <v>3</v>
      </c>
      <c r="F761">
        <v>1</v>
      </c>
      <c r="G761">
        <v>0</v>
      </c>
      <c r="H761">
        <v>1</v>
      </c>
      <c r="I761" t="s">
        <v>1910</v>
      </c>
    </row>
    <row r="762" spans="1:9" x14ac:dyDescent="0.25">
      <c r="A762">
        <v>760</v>
      </c>
      <c r="B762" t="s">
        <v>2407</v>
      </c>
      <c r="C762" t="s">
        <v>1718</v>
      </c>
      <c r="D762" t="s">
        <v>1706</v>
      </c>
      <c r="E762">
        <v>3</v>
      </c>
      <c r="F762">
        <v>0</v>
      </c>
      <c r="G762">
        <v>1</v>
      </c>
      <c r="H762">
        <v>1</v>
      </c>
      <c r="I762" t="s">
        <v>1910</v>
      </c>
    </row>
    <row r="763" spans="1:9" x14ac:dyDescent="0.25">
      <c r="A763">
        <v>761</v>
      </c>
      <c r="B763" t="s">
        <v>2408</v>
      </c>
      <c r="C763" t="s">
        <v>1774</v>
      </c>
      <c r="D763" t="s">
        <v>1711</v>
      </c>
      <c r="E763">
        <v>5</v>
      </c>
      <c r="F763">
        <v>0</v>
      </c>
      <c r="G763">
        <v>1</v>
      </c>
      <c r="H763">
        <v>1</v>
      </c>
      <c r="I763" t="s">
        <v>2029</v>
      </c>
    </row>
    <row r="764" spans="1:9" x14ac:dyDescent="0.25">
      <c r="A764">
        <v>762</v>
      </c>
      <c r="B764" t="s">
        <v>2409</v>
      </c>
      <c r="C764" t="s">
        <v>1745</v>
      </c>
      <c r="D764" t="s">
        <v>2340</v>
      </c>
      <c r="E764">
        <v>61</v>
      </c>
      <c r="F764">
        <v>0</v>
      </c>
      <c r="G764">
        <v>1</v>
      </c>
      <c r="H764">
        <v>1</v>
      </c>
      <c r="I764" t="s">
        <v>2382</v>
      </c>
    </row>
    <row r="765" spans="1:9" x14ac:dyDescent="0.25">
      <c r="A765">
        <v>763</v>
      </c>
      <c r="B765" t="s">
        <v>2410</v>
      </c>
      <c r="C765" t="s">
        <v>1739</v>
      </c>
      <c r="D765" t="s">
        <v>2340</v>
      </c>
      <c r="E765">
        <v>51</v>
      </c>
      <c r="F765">
        <v>0</v>
      </c>
      <c r="G765">
        <v>1</v>
      </c>
      <c r="H765">
        <v>1</v>
      </c>
      <c r="I765" t="s">
        <v>2382</v>
      </c>
    </row>
    <row r="766" spans="1:9" x14ac:dyDescent="0.25">
      <c r="A766">
        <v>764</v>
      </c>
      <c r="B766" t="s">
        <v>2411</v>
      </c>
      <c r="C766" t="s">
        <v>1745</v>
      </c>
      <c r="D766" t="s">
        <v>1711</v>
      </c>
      <c r="E766">
        <v>2</v>
      </c>
      <c r="F766">
        <v>1</v>
      </c>
      <c r="G766">
        <v>0</v>
      </c>
      <c r="H766">
        <v>1</v>
      </c>
      <c r="I766" t="s">
        <v>1819</v>
      </c>
    </row>
    <row r="767" spans="1:9" x14ac:dyDescent="0.25">
      <c r="A767">
        <v>765</v>
      </c>
      <c r="B767" t="s">
        <v>2412</v>
      </c>
      <c r="C767" t="s">
        <v>1748</v>
      </c>
      <c r="D767" t="s">
        <v>1701</v>
      </c>
      <c r="E767">
        <v>13</v>
      </c>
      <c r="F767">
        <v>1</v>
      </c>
      <c r="G767">
        <v>0</v>
      </c>
      <c r="H767">
        <v>1</v>
      </c>
      <c r="I767" t="s">
        <v>2274</v>
      </c>
    </row>
    <row r="768" spans="1:9" x14ac:dyDescent="0.25">
      <c r="A768">
        <v>766</v>
      </c>
      <c r="B768" t="s">
        <v>2413</v>
      </c>
      <c r="C768" t="s">
        <v>1703</v>
      </c>
      <c r="D768" t="s">
        <v>1701</v>
      </c>
      <c r="E768">
        <v>2</v>
      </c>
      <c r="F768">
        <v>0</v>
      </c>
      <c r="G768">
        <v>1</v>
      </c>
      <c r="H768">
        <v>1</v>
      </c>
      <c r="I768" t="s">
        <v>1819</v>
      </c>
    </row>
    <row r="769" spans="1:9" x14ac:dyDescent="0.25">
      <c r="A769">
        <v>767</v>
      </c>
      <c r="B769" t="s">
        <v>2414</v>
      </c>
      <c r="C769" t="s">
        <v>1763</v>
      </c>
      <c r="D769" t="s">
        <v>1701</v>
      </c>
      <c r="E769">
        <v>11</v>
      </c>
      <c r="F769">
        <v>0</v>
      </c>
      <c r="G769">
        <v>1</v>
      </c>
      <c r="H769">
        <v>1</v>
      </c>
      <c r="I769" t="s">
        <v>2204</v>
      </c>
    </row>
    <row r="770" spans="1:9" x14ac:dyDescent="0.25">
      <c r="A770">
        <v>768</v>
      </c>
      <c r="B770" t="s">
        <v>2415</v>
      </c>
      <c r="C770" t="s">
        <v>1746</v>
      </c>
      <c r="D770" t="s">
        <v>1719</v>
      </c>
      <c r="E770">
        <v>2</v>
      </c>
      <c r="F770">
        <v>0</v>
      </c>
      <c r="G770">
        <v>1</v>
      </c>
      <c r="H770">
        <v>1</v>
      </c>
      <c r="I770" t="s">
        <v>1819</v>
      </c>
    </row>
    <row r="771" spans="1:9" x14ac:dyDescent="0.25">
      <c r="A771">
        <v>769</v>
      </c>
      <c r="B771" t="s">
        <v>2416</v>
      </c>
      <c r="C771" t="s">
        <v>1732</v>
      </c>
      <c r="D771" t="s">
        <v>2340</v>
      </c>
      <c r="E771">
        <v>66</v>
      </c>
      <c r="F771">
        <v>0</v>
      </c>
      <c r="G771">
        <v>1</v>
      </c>
      <c r="H771">
        <v>1</v>
      </c>
      <c r="I771" t="s">
        <v>2382</v>
      </c>
    </row>
    <row r="772" spans="1:9" x14ac:dyDescent="0.25">
      <c r="A772">
        <v>770</v>
      </c>
      <c r="B772" t="s">
        <v>2417</v>
      </c>
      <c r="C772" t="s">
        <v>1736</v>
      </c>
      <c r="D772" t="s">
        <v>1719</v>
      </c>
      <c r="E772">
        <v>6</v>
      </c>
      <c r="F772">
        <v>1</v>
      </c>
      <c r="G772">
        <v>0</v>
      </c>
      <c r="H772">
        <v>1</v>
      </c>
      <c r="I772" t="s">
        <v>2060</v>
      </c>
    </row>
    <row r="773" spans="1:9" x14ac:dyDescent="0.25">
      <c r="A773">
        <v>771</v>
      </c>
      <c r="B773" t="s">
        <v>2418</v>
      </c>
      <c r="C773" t="s">
        <v>1710</v>
      </c>
      <c r="D773" t="s">
        <v>2340</v>
      </c>
      <c r="E773">
        <v>16</v>
      </c>
      <c r="F773">
        <v>0</v>
      </c>
      <c r="G773">
        <v>1</v>
      </c>
      <c r="H773">
        <v>1</v>
      </c>
      <c r="I773" t="s">
        <v>2303</v>
      </c>
    </row>
    <row r="774" spans="1:9" x14ac:dyDescent="0.25">
      <c r="A774">
        <v>772</v>
      </c>
      <c r="B774" t="s">
        <v>2419</v>
      </c>
      <c r="C774" t="s">
        <v>1772</v>
      </c>
      <c r="D774" t="s">
        <v>1719</v>
      </c>
      <c r="E774">
        <v>9</v>
      </c>
      <c r="F774">
        <v>1</v>
      </c>
      <c r="G774">
        <v>0</v>
      </c>
      <c r="H774">
        <v>1</v>
      </c>
      <c r="I774" t="s">
        <v>2160</v>
      </c>
    </row>
    <row r="775" spans="1:9" x14ac:dyDescent="0.25">
      <c r="A775">
        <v>773</v>
      </c>
      <c r="B775" t="s">
        <v>2420</v>
      </c>
      <c r="C775" t="s">
        <v>1736</v>
      </c>
      <c r="D775" t="s">
        <v>1711</v>
      </c>
      <c r="E775">
        <v>11</v>
      </c>
      <c r="F775">
        <v>1</v>
      </c>
      <c r="G775">
        <v>0</v>
      </c>
      <c r="H775">
        <v>1</v>
      </c>
      <c r="I775" t="s">
        <v>2204</v>
      </c>
    </row>
    <row r="776" spans="1:9" x14ac:dyDescent="0.25">
      <c r="A776">
        <v>774</v>
      </c>
      <c r="B776" t="s">
        <v>2421</v>
      </c>
      <c r="C776" t="s">
        <v>1768</v>
      </c>
      <c r="D776" t="s">
        <v>1701</v>
      </c>
      <c r="E776">
        <v>4</v>
      </c>
      <c r="F776">
        <v>0</v>
      </c>
      <c r="G776">
        <v>1</v>
      </c>
      <c r="H776">
        <v>1</v>
      </c>
      <c r="I776" t="s">
        <v>1991</v>
      </c>
    </row>
    <row r="777" spans="1:9" x14ac:dyDescent="0.25">
      <c r="A777">
        <v>775</v>
      </c>
      <c r="B777" t="s">
        <v>2422</v>
      </c>
      <c r="C777" t="s">
        <v>1768</v>
      </c>
      <c r="D777" t="s">
        <v>1719</v>
      </c>
      <c r="E777">
        <v>24</v>
      </c>
      <c r="F777">
        <v>0</v>
      </c>
      <c r="G777">
        <v>1</v>
      </c>
      <c r="H777">
        <v>1</v>
      </c>
      <c r="I777" t="s">
        <v>2320</v>
      </c>
    </row>
    <row r="778" spans="1:9" x14ac:dyDescent="0.25">
      <c r="A778">
        <v>776</v>
      </c>
      <c r="B778" t="s">
        <v>2423</v>
      </c>
      <c r="C778" t="s">
        <v>1772</v>
      </c>
      <c r="D778" t="s">
        <v>1711</v>
      </c>
      <c r="E778">
        <v>10</v>
      </c>
      <c r="F778">
        <v>0</v>
      </c>
      <c r="G778">
        <v>1</v>
      </c>
      <c r="H778">
        <v>1</v>
      </c>
      <c r="I778" t="s">
        <v>2188</v>
      </c>
    </row>
    <row r="779" spans="1:9" x14ac:dyDescent="0.25">
      <c r="A779">
        <v>777</v>
      </c>
      <c r="B779" t="s">
        <v>2424</v>
      </c>
      <c r="C779" t="s">
        <v>1763</v>
      </c>
      <c r="D779" t="s">
        <v>1711</v>
      </c>
      <c r="E779">
        <v>2</v>
      </c>
      <c r="F779">
        <v>0</v>
      </c>
      <c r="G779">
        <v>1</v>
      </c>
      <c r="H779">
        <v>1</v>
      </c>
      <c r="I779" t="s">
        <v>1819</v>
      </c>
    </row>
    <row r="780" spans="1:9" x14ac:dyDescent="0.25">
      <c r="A780">
        <v>778</v>
      </c>
      <c r="B780" t="s">
        <v>2425</v>
      </c>
      <c r="C780" t="s">
        <v>1710</v>
      </c>
      <c r="D780" t="s">
        <v>1719</v>
      </c>
      <c r="E780">
        <v>17</v>
      </c>
      <c r="F780">
        <v>0</v>
      </c>
      <c r="G780">
        <v>1</v>
      </c>
      <c r="H780">
        <v>1</v>
      </c>
      <c r="I780" t="s">
        <v>2303</v>
      </c>
    </row>
    <row r="781" spans="1:9" x14ac:dyDescent="0.25">
      <c r="A781">
        <v>779</v>
      </c>
      <c r="B781" t="s">
        <v>2426</v>
      </c>
      <c r="C781" t="s">
        <v>1721</v>
      </c>
      <c r="D781" t="s">
        <v>1701</v>
      </c>
      <c r="E781">
        <v>3</v>
      </c>
      <c r="F781">
        <v>1</v>
      </c>
      <c r="G781">
        <v>0</v>
      </c>
      <c r="H781">
        <v>1</v>
      </c>
      <c r="I781" t="s">
        <v>1910</v>
      </c>
    </row>
    <row r="782" spans="1:9" x14ac:dyDescent="0.25">
      <c r="A782">
        <v>780</v>
      </c>
      <c r="B782" t="s">
        <v>2427</v>
      </c>
      <c r="C782" t="s">
        <v>1735</v>
      </c>
      <c r="D782" t="s">
        <v>1701</v>
      </c>
      <c r="E782">
        <v>5</v>
      </c>
      <c r="F782">
        <v>0</v>
      </c>
      <c r="G782">
        <v>1</v>
      </c>
      <c r="H782">
        <v>1</v>
      </c>
      <c r="I782" t="s">
        <v>2029</v>
      </c>
    </row>
    <row r="783" spans="1:9" x14ac:dyDescent="0.25">
      <c r="A783">
        <v>781</v>
      </c>
      <c r="B783" t="s">
        <v>2428</v>
      </c>
      <c r="C783" t="s">
        <v>1700</v>
      </c>
      <c r="D783" t="s">
        <v>1711</v>
      </c>
      <c r="E783">
        <v>10</v>
      </c>
      <c r="F783">
        <v>1</v>
      </c>
      <c r="G783">
        <v>0</v>
      </c>
      <c r="H783">
        <v>1</v>
      </c>
      <c r="I783" t="s">
        <v>2188</v>
      </c>
    </row>
    <row r="784" spans="1:9" x14ac:dyDescent="0.25">
      <c r="A784">
        <v>782</v>
      </c>
      <c r="B784" t="s">
        <v>2429</v>
      </c>
      <c r="C784" t="s">
        <v>1763</v>
      </c>
      <c r="D784" t="s">
        <v>1706</v>
      </c>
      <c r="E784">
        <v>4</v>
      </c>
      <c r="F784">
        <v>0</v>
      </c>
      <c r="G784">
        <v>1</v>
      </c>
      <c r="H784">
        <v>1</v>
      </c>
      <c r="I784" t="s">
        <v>1991</v>
      </c>
    </row>
    <row r="785" spans="1:9" x14ac:dyDescent="0.25">
      <c r="A785">
        <v>783</v>
      </c>
      <c r="B785" t="s">
        <v>2430</v>
      </c>
      <c r="C785" t="s">
        <v>1729</v>
      </c>
      <c r="D785" t="s">
        <v>2340</v>
      </c>
      <c r="E785">
        <v>40</v>
      </c>
      <c r="F785">
        <v>0</v>
      </c>
      <c r="G785">
        <v>1</v>
      </c>
      <c r="H785">
        <v>1</v>
      </c>
      <c r="I785" t="s">
        <v>2350</v>
      </c>
    </row>
    <row r="786" spans="1:9" x14ac:dyDescent="0.25">
      <c r="A786">
        <v>784</v>
      </c>
      <c r="B786" t="s">
        <v>2431</v>
      </c>
      <c r="C786" t="s">
        <v>1705</v>
      </c>
      <c r="D786" t="s">
        <v>1711</v>
      </c>
      <c r="E786">
        <v>46</v>
      </c>
      <c r="F786">
        <v>0</v>
      </c>
      <c r="G786">
        <v>1</v>
      </c>
      <c r="H786">
        <v>1</v>
      </c>
      <c r="I786" t="s">
        <v>2382</v>
      </c>
    </row>
    <row r="787" spans="1:9" x14ac:dyDescent="0.25">
      <c r="A787">
        <v>785</v>
      </c>
      <c r="B787" t="s">
        <v>2432</v>
      </c>
      <c r="C787" t="s">
        <v>1774</v>
      </c>
      <c r="D787" t="s">
        <v>1701</v>
      </c>
      <c r="E787">
        <v>6</v>
      </c>
      <c r="F787">
        <v>1</v>
      </c>
      <c r="G787">
        <v>0</v>
      </c>
      <c r="H787">
        <v>1</v>
      </c>
      <c r="I787" t="s">
        <v>2060</v>
      </c>
    </row>
    <row r="788" spans="1:9" x14ac:dyDescent="0.25">
      <c r="A788">
        <v>786</v>
      </c>
      <c r="B788" t="s">
        <v>2433</v>
      </c>
      <c r="C788" t="s">
        <v>1710</v>
      </c>
      <c r="D788" t="s">
        <v>1701</v>
      </c>
      <c r="E788">
        <v>8</v>
      </c>
      <c r="F788">
        <v>0</v>
      </c>
      <c r="G788">
        <v>1</v>
      </c>
      <c r="H788">
        <v>1</v>
      </c>
      <c r="I788" t="s">
        <v>2151</v>
      </c>
    </row>
    <row r="789" spans="1:9" x14ac:dyDescent="0.25">
      <c r="A789">
        <v>787</v>
      </c>
      <c r="B789" t="s">
        <v>2434</v>
      </c>
      <c r="C789" t="s">
        <v>1774</v>
      </c>
      <c r="D789" t="s">
        <v>2340</v>
      </c>
      <c r="E789">
        <v>24</v>
      </c>
      <c r="F789">
        <v>0</v>
      </c>
      <c r="G789">
        <v>1</v>
      </c>
      <c r="H789">
        <v>1</v>
      </c>
      <c r="I789" t="s">
        <v>2320</v>
      </c>
    </row>
    <row r="790" spans="1:9" x14ac:dyDescent="0.25">
      <c r="A790">
        <v>788</v>
      </c>
      <c r="B790" t="s">
        <v>2435</v>
      </c>
      <c r="C790" t="s">
        <v>1724</v>
      </c>
      <c r="D790" t="s">
        <v>1706</v>
      </c>
      <c r="E790">
        <v>5</v>
      </c>
      <c r="F790">
        <v>0</v>
      </c>
      <c r="G790">
        <v>1</v>
      </c>
      <c r="H790">
        <v>1</v>
      </c>
      <c r="I790" t="s">
        <v>2029</v>
      </c>
    </row>
    <row r="791" spans="1:9" x14ac:dyDescent="0.25">
      <c r="A791">
        <v>789</v>
      </c>
      <c r="B791" t="s">
        <v>2436</v>
      </c>
      <c r="C791" t="s">
        <v>1757</v>
      </c>
      <c r="D791" t="s">
        <v>2340</v>
      </c>
      <c r="E791">
        <v>30</v>
      </c>
      <c r="F791">
        <v>0</v>
      </c>
      <c r="G791">
        <v>1</v>
      </c>
      <c r="H791">
        <v>1</v>
      </c>
      <c r="I791" t="s">
        <v>2350</v>
      </c>
    </row>
    <row r="792" spans="1:9" x14ac:dyDescent="0.25">
      <c r="A792">
        <v>790</v>
      </c>
      <c r="B792" t="s">
        <v>126</v>
      </c>
      <c r="C792" t="s">
        <v>1768</v>
      </c>
      <c r="D792" t="s">
        <v>1701</v>
      </c>
      <c r="E792">
        <v>7</v>
      </c>
      <c r="F792">
        <v>0</v>
      </c>
      <c r="G792">
        <v>1</v>
      </c>
      <c r="H792">
        <v>1</v>
      </c>
      <c r="I792" t="s">
        <v>2141</v>
      </c>
    </row>
    <row r="793" spans="1:9" x14ac:dyDescent="0.25">
      <c r="A793">
        <v>791</v>
      </c>
      <c r="B793" t="s">
        <v>2437</v>
      </c>
      <c r="C793" t="s">
        <v>1745</v>
      </c>
      <c r="D793" t="s">
        <v>1711</v>
      </c>
      <c r="E793">
        <v>11</v>
      </c>
      <c r="F793">
        <v>1</v>
      </c>
      <c r="G793">
        <v>0</v>
      </c>
      <c r="H793">
        <v>1</v>
      </c>
      <c r="I793" t="s">
        <v>2204</v>
      </c>
    </row>
    <row r="794" spans="1:9" x14ac:dyDescent="0.25">
      <c r="A794">
        <v>792</v>
      </c>
      <c r="B794" t="s">
        <v>2438</v>
      </c>
      <c r="C794" t="s">
        <v>1779</v>
      </c>
      <c r="D794" t="s">
        <v>1706</v>
      </c>
      <c r="E794">
        <v>10</v>
      </c>
      <c r="F794">
        <v>0</v>
      </c>
      <c r="G794">
        <v>1</v>
      </c>
      <c r="H794">
        <v>1</v>
      </c>
      <c r="I794" t="s">
        <v>2188</v>
      </c>
    </row>
    <row r="795" spans="1:9" x14ac:dyDescent="0.25">
      <c r="A795">
        <v>793</v>
      </c>
      <c r="B795" t="s">
        <v>2439</v>
      </c>
      <c r="C795" t="s">
        <v>1763</v>
      </c>
      <c r="D795" t="s">
        <v>1706</v>
      </c>
      <c r="E795">
        <v>10</v>
      </c>
      <c r="F795">
        <v>0</v>
      </c>
      <c r="G795">
        <v>1</v>
      </c>
      <c r="H795">
        <v>1</v>
      </c>
      <c r="I795" t="s">
        <v>2188</v>
      </c>
    </row>
    <row r="796" spans="1:9" x14ac:dyDescent="0.25">
      <c r="A796">
        <v>794</v>
      </c>
      <c r="B796" t="s">
        <v>2440</v>
      </c>
      <c r="C796" t="s">
        <v>1751</v>
      </c>
      <c r="D796" t="s">
        <v>1719</v>
      </c>
      <c r="E796">
        <v>6</v>
      </c>
      <c r="F796">
        <v>0</v>
      </c>
      <c r="G796">
        <v>1</v>
      </c>
      <c r="H796">
        <v>1</v>
      </c>
      <c r="I796" t="s">
        <v>2060</v>
      </c>
    </row>
    <row r="797" spans="1:9" x14ac:dyDescent="0.25">
      <c r="A797">
        <v>795</v>
      </c>
      <c r="B797" t="s">
        <v>2441</v>
      </c>
      <c r="C797" t="s">
        <v>1735</v>
      </c>
      <c r="D797" t="s">
        <v>1706</v>
      </c>
      <c r="E797">
        <v>13</v>
      </c>
      <c r="F797">
        <v>0</v>
      </c>
      <c r="G797">
        <v>1</v>
      </c>
      <c r="H797">
        <v>1</v>
      </c>
      <c r="I797" t="s">
        <v>2274</v>
      </c>
    </row>
    <row r="798" spans="1:9" x14ac:dyDescent="0.25">
      <c r="A798">
        <v>796</v>
      </c>
      <c r="B798" t="s">
        <v>2442</v>
      </c>
      <c r="C798" t="s">
        <v>1748</v>
      </c>
      <c r="D798" t="s">
        <v>1706</v>
      </c>
      <c r="E798">
        <v>3</v>
      </c>
      <c r="F798">
        <v>1</v>
      </c>
      <c r="G798">
        <v>0</v>
      </c>
      <c r="H798">
        <v>1</v>
      </c>
      <c r="I798" t="s">
        <v>1910</v>
      </c>
    </row>
    <row r="799" spans="1:9" x14ac:dyDescent="0.25">
      <c r="A799">
        <v>797</v>
      </c>
      <c r="B799" t="s">
        <v>2443</v>
      </c>
      <c r="C799" t="s">
        <v>1705</v>
      </c>
      <c r="D799" t="s">
        <v>2340</v>
      </c>
      <c r="E799">
        <v>55</v>
      </c>
      <c r="F799">
        <v>0</v>
      </c>
      <c r="G799">
        <v>1</v>
      </c>
      <c r="H799">
        <v>1</v>
      </c>
      <c r="I799" t="s">
        <v>2382</v>
      </c>
    </row>
    <row r="800" spans="1:9" x14ac:dyDescent="0.25">
      <c r="A800">
        <v>798</v>
      </c>
      <c r="B800" t="s">
        <v>2444</v>
      </c>
      <c r="C800" t="s">
        <v>1757</v>
      </c>
      <c r="D800" t="s">
        <v>2340</v>
      </c>
      <c r="E800">
        <v>57</v>
      </c>
      <c r="F800">
        <v>0</v>
      </c>
      <c r="G800">
        <v>1</v>
      </c>
      <c r="H800">
        <v>1</v>
      </c>
      <c r="I800" t="s">
        <v>2382</v>
      </c>
    </row>
    <row r="801" spans="1:9" x14ac:dyDescent="0.25">
      <c r="A801">
        <v>799</v>
      </c>
      <c r="B801" t="s">
        <v>2445</v>
      </c>
      <c r="C801" t="s">
        <v>1721</v>
      </c>
      <c r="D801" t="s">
        <v>2340</v>
      </c>
      <c r="E801">
        <v>30</v>
      </c>
      <c r="F801">
        <v>0</v>
      </c>
      <c r="G801">
        <v>1</v>
      </c>
      <c r="H801">
        <v>1</v>
      </c>
      <c r="I801" t="s">
        <v>2350</v>
      </c>
    </row>
    <row r="802" spans="1:9" x14ac:dyDescent="0.25">
      <c r="A802">
        <v>800</v>
      </c>
      <c r="B802" t="s">
        <v>2446</v>
      </c>
      <c r="C802" t="s">
        <v>1732</v>
      </c>
      <c r="D802" t="s">
        <v>1719</v>
      </c>
      <c r="E802">
        <v>11</v>
      </c>
      <c r="F802">
        <v>0</v>
      </c>
      <c r="G802">
        <v>1</v>
      </c>
      <c r="H802">
        <v>1</v>
      </c>
      <c r="I802" t="s">
        <v>2204</v>
      </c>
    </row>
    <row r="803" spans="1:9" x14ac:dyDescent="0.25">
      <c r="A803">
        <v>801</v>
      </c>
      <c r="B803" t="s">
        <v>2447</v>
      </c>
      <c r="C803" t="s">
        <v>1751</v>
      </c>
      <c r="D803" t="s">
        <v>1701</v>
      </c>
      <c r="E803">
        <v>9</v>
      </c>
      <c r="F803">
        <v>0</v>
      </c>
      <c r="G803">
        <v>1</v>
      </c>
      <c r="H803">
        <v>1</v>
      </c>
      <c r="I803" t="s">
        <v>2160</v>
      </c>
    </row>
    <row r="804" spans="1:9" x14ac:dyDescent="0.25">
      <c r="A804">
        <v>802</v>
      </c>
      <c r="B804" t="s">
        <v>2448</v>
      </c>
      <c r="C804" t="s">
        <v>1736</v>
      </c>
      <c r="D804" t="s">
        <v>1701</v>
      </c>
      <c r="E804">
        <v>6</v>
      </c>
      <c r="F804">
        <v>0</v>
      </c>
      <c r="G804">
        <v>1</v>
      </c>
      <c r="H804">
        <v>1</v>
      </c>
      <c r="I804" t="s">
        <v>2060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07"/>
  <sheetViews>
    <sheetView zoomScale="85" zoomScaleNormal="85" workbookViewId="0">
      <selection activeCell="C6" sqref="C6"/>
    </sheetView>
  </sheetViews>
  <sheetFormatPr baseColWidth="10" defaultRowHeight="15" x14ac:dyDescent="0.25"/>
  <cols>
    <col min="3" max="3" width="22.85546875" bestFit="1" customWidth="1"/>
  </cols>
  <sheetData>
    <row r="1" spans="1:50" x14ac:dyDescent="0.25">
      <c r="A1" t="s">
        <v>2449</v>
      </c>
      <c r="H1" t="s">
        <v>1696</v>
      </c>
      <c r="M1" t="s">
        <v>1697</v>
      </c>
      <c r="R1" t="s">
        <v>1698</v>
      </c>
      <c r="X1" t="s">
        <v>2450</v>
      </c>
      <c r="AB1" t="s">
        <v>2451</v>
      </c>
      <c r="AE1" t="s">
        <v>2452</v>
      </c>
      <c r="AH1" t="s">
        <v>2453</v>
      </c>
      <c r="AK1" t="s">
        <v>2454</v>
      </c>
      <c r="AN1" t="s">
        <v>2455</v>
      </c>
      <c r="AP1" t="s">
        <v>2456</v>
      </c>
      <c r="AR1" t="s">
        <v>2457</v>
      </c>
    </row>
    <row r="2" spans="1:50" x14ac:dyDescent="0.25">
      <c r="A2" t="s">
        <v>2458</v>
      </c>
      <c r="C2" t="s">
        <v>2459</v>
      </c>
      <c r="D2" t="s">
        <v>2460</v>
      </c>
      <c r="E2" t="s">
        <v>1694</v>
      </c>
      <c r="F2" t="s">
        <v>1695</v>
      </c>
      <c r="G2" t="s">
        <v>2340</v>
      </c>
      <c r="H2" t="s">
        <v>2461</v>
      </c>
      <c r="I2" t="s">
        <v>2462</v>
      </c>
      <c r="J2" t="s">
        <v>2463</v>
      </c>
      <c r="K2" t="s">
        <v>2464</v>
      </c>
      <c r="L2" t="s">
        <v>2465</v>
      </c>
      <c r="M2" t="s">
        <v>2466</v>
      </c>
      <c r="N2" t="s">
        <v>2467</v>
      </c>
      <c r="O2" t="s">
        <v>2468</v>
      </c>
      <c r="P2" t="s">
        <v>2469</v>
      </c>
      <c r="Q2" t="s">
        <v>2470</v>
      </c>
      <c r="R2" t="s">
        <v>2471</v>
      </c>
      <c r="S2" t="s">
        <v>2472</v>
      </c>
      <c r="T2" t="s">
        <v>2473</v>
      </c>
      <c r="U2" t="s">
        <v>2474</v>
      </c>
      <c r="V2" t="s">
        <v>2475</v>
      </c>
      <c r="W2" t="s">
        <v>2476</v>
      </c>
      <c r="X2" t="s">
        <v>2477</v>
      </c>
      <c r="Y2" t="s">
        <v>2478</v>
      </c>
      <c r="Z2" t="s">
        <v>2479</v>
      </c>
      <c r="AA2" t="s">
        <v>2480</v>
      </c>
      <c r="AB2" t="s">
        <v>2481</v>
      </c>
      <c r="AC2" t="s">
        <v>2482</v>
      </c>
      <c r="AD2" t="s">
        <v>2483</v>
      </c>
      <c r="AE2" t="s">
        <v>2484</v>
      </c>
      <c r="AF2" t="s">
        <v>2485</v>
      </c>
      <c r="AG2" t="s">
        <v>2486</v>
      </c>
      <c r="AH2" t="s">
        <v>2487</v>
      </c>
      <c r="AI2" t="s">
        <v>2488</v>
      </c>
      <c r="AJ2" t="s">
        <v>2489</v>
      </c>
      <c r="AK2" t="s">
        <v>2490</v>
      </c>
      <c r="AL2" t="s">
        <v>2491</v>
      </c>
      <c r="AM2" t="s">
        <v>2492</v>
      </c>
      <c r="AN2" t="s">
        <v>2493</v>
      </c>
      <c r="AO2" t="s">
        <v>2494</v>
      </c>
      <c r="AP2" t="s">
        <v>2495</v>
      </c>
      <c r="AQ2" t="s">
        <v>2496</v>
      </c>
      <c r="AR2" t="s">
        <v>2497</v>
      </c>
      <c r="AS2" t="s">
        <v>2498</v>
      </c>
      <c r="AT2" t="s">
        <v>2499</v>
      </c>
      <c r="AU2" t="s">
        <v>2500</v>
      </c>
      <c r="AV2" t="s">
        <v>2501</v>
      </c>
      <c r="AW2" t="s">
        <v>2502</v>
      </c>
      <c r="AX2" t="s">
        <v>2503</v>
      </c>
    </row>
    <row r="6" spans="1:50" x14ac:dyDescent="0.25">
      <c r="A6">
        <v>1</v>
      </c>
      <c r="B6" t="s">
        <v>3156</v>
      </c>
      <c r="C6" t="s">
        <v>1</v>
      </c>
      <c r="D6">
        <v>19</v>
      </c>
      <c r="E6" t="s">
        <v>2504</v>
      </c>
      <c r="F6">
        <v>82</v>
      </c>
      <c r="G6">
        <v>30</v>
      </c>
      <c r="H6">
        <v>70</v>
      </c>
      <c r="I6">
        <v>100</v>
      </c>
      <c r="J6">
        <v>26</v>
      </c>
      <c r="K6">
        <v>27</v>
      </c>
      <c r="L6">
        <v>26</v>
      </c>
      <c r="M6">
        <v>3</v>
      </c>
      <c r="N6">
        <v>1</v>
      </c>
      <c r="O6">
        <v>6</v>
      </c>
      <c r="P6">
        <v>1</v>
      </c>
      <c r="Q6">
        <v>45</v>
      </c>
      <c r="R6">
        <v>24</v>
      </c>
      <c r="S6">
        <v>1</v>
      </c>
      <c r="T6">
        <v>15</v>
      </c>
      <c r="U6">
        <v>4</v>
      </c>
      <c r="V6">
        <v>71</v>
      </c>
      <c r="W6">
        <v>27</v>
      </c>
      <c r="X6">
        <v>2</v>
      </c>
      <c r="Y6">
        <v>21</v>
      </c>
      <c r="Z6">
        <v>5</v>
      </c>
      <c r="AA6" t="s">
        <v>2505</v>
      </c>
      <c r="AB6" s="24">
        <v>0.87986111111111109</v>
      </c>
      <c r="AC6" s="24">
        <v>0.72013888888888899</v>
      </c>
      <c r="AD6" s="24">
        <v>0.12569444444444444</v>
      </c>
      <c r="AE6" s="24">
        <v>3.3333333333333333E-2</v>
      </c>
      <c r="AF6" t="s">
        <v>2506</v>
      </c>
      <c r="AG6" t="s">
        <v>2507</v>
      </c>
      <c r="AH6" t="s">
        <v>2508</v>
      </c>
      <c r="AI6" t="s">
        <v>2509</v>
      </c>
      <c r="AJ6" t="s">
        <v>2510</v>
      </c>
      <c r="AK6" t="s">
        <v>2511</v>
      </c>
      <c r="AL6" t="s">
        <v>2512</v>
      </c>
      <c r="AM6" t="s">
        <v>2513</v>
      </c>
      <c r="AN6" t="s">
        <v>2514</v>
      </c>
      <c r="AO6" t="s">
        <v>2515</v>
      </c>
      <c r="AP6" t="s">
        <v>2516</v>
      </c>
      <c r="AQ6" t="s">
        <v>2517</v>
      </c>
      <c r="AR6">
        <v>251</v>
      </c>
      <c r="AS6" t="s">
        <v>2518</v>
      </c>
      <c r="AT6">
        <v>34</v>
      </c>
      <c r="AU6">
        <v>29</v>
      </c>
      <c r="AV6">
        <v>348</v>
      </c>
      <c r="AW6">
        <v>458</v>
      </c>
      <c r="AX6" t="s">
        <v>2519</v>
      </c>
    </row>
    <row r="7" spans="1:50" x14ac:dyDescent="0.25">
      <c r="A7">
        <v>2</v>
      </c>
      <c r="B7" t="s">
        <v>3156</v>
      </c>
      <c r="C7" t="s">
        <v>3</v>
      </c>
      <c r="D7">
        <v>29</v>
      </c>
      <c r="E7" t="s">
        <v>2504</v>
      </c>
      <c r="F7">
        <v>75</v>
      </c>
      <c r="G7">
        <v>44</v>
      </c>
      <c r="H7">
        <v>45</v>
      </c>
      <c r="I7">
        <v>89</v>
      </c>
      <c r="J7">
        <v>24</v>
      </c>
      <c r="K7">
        <v>17</v>
      </c>
      <c r="L7">
        <v>30</v>
      </c>
      <c r="M7">
        <v>14</v>
      </c>
      <c r="N7">
        <v>0</v>
      </c>
      <c r="O7">
        <v>5</v>
      </c>
      <c r="P7">
        <v>1</v>
      </c>
      <c r="Q7">
        <v>34</v>
      </c>
      <c r="R7">
        <v>11</v>
      </c>
      <c r="S7">
        <v>0</v>
      </c>
      <c r="T7">
        <v>8</v>
      </c>
      <c r="U7">
        <v>2</v>
      </c>
      <c r="V7">
        <v>64</v>
      </c>
      <c r="W7">
        <v>25</v>
      </c>
      <c r="X7">
        <v>0</v>
      </c>
      <c r="Y7">
        <v>13</v>
      </c>
      <c r="Z7">
        <v>3</v>
      </c>
      <c r="AA7" t="s">
        <v>2520</v>
      </c>
      <c r="AB7" s="24">
        <v>0.82708333333333339</v>
      </c>
      <c r="AC7" s="24">
        <v>0.67291666666666661</v>
      </c>
      <c r="AD7" s="24">
        <v>0.14930555555555555</v>
      </c>
      <c r="AE7" s="24">
        <v>4.8611111111111112E-3</v>
      </c>
      <c r="AF7" t="s">
        <v>2521</v>
      </c>
      <c r="AG7" t="s">
        <v>2522</v>
      </c>
      <c r="AH7" t="s">
        <v>2523</v>
      </c>
      <c r="AI7" t="s">
        <v>2524</v>
      </c>
      <c r="AJ7" t="s">
        <v>2525</v>
      </c>
      <c r="AK7" t="s">
        <v>2526</v>
      </c>
      <c r="AL7" t="s">
        <v>2527</v>
      </c>
      <c r="AM7" t="s">
        <v>2528</v>
      </c>
      <c r="AN7" t="s">
        <v>2529</v>
      </c>
      <c r="AO7" t="s">
        <v>2530</v>
      </c>
      <c r="AP7" t="s">
        <v>2531</v>
      </c>
      <c r="AQ7" t="s">
        <v>2532</v>
      </c>
      <c r="AR7">
        <v>255</v>
      </c>
      <c r="AS7" t="s">
        <v>2533</v>
      </c>
      <c r="AT7">
        <v>80</v>
      </c>
      <c r="AU7">
        <v>27</v>
      </c>
      <c r="AV7">
        <v>842</v>
      </c>
      <c r="AW7">
        <v>906</v>
      </c>
      <c r="AX7" t="s">
        <v>2534</v>
      </c>
    </row>
    <row r="8" spans="1:50" x14ac:dyDescent="0.25">
      <c r="A8">
        <v>3</v>
      </c>
      <c r="B8" t="s">
        <v>3157</v>
      </c>
      <c r="C8" t="s">
        <v>2</v>
      </c>
      <c r="D8">
        <v>28</v>
      </c>
      <c r="E8" t="s">
        <v>2504</v>
      </c>
      <c r="F8">
        <v>82</v>
      </c>
      <c r="G8">
        <v>34</v>
      </c>
      <c r="H8">
        <v>55</v>
      </c>
      <c r="I8">
        <v>89</v>
      </c>
      <c r="J8">
        <v>32</v>
      </c>
      <c r="K8">
        <v>11</v>
      </c>
      <c r="L8">
        <v>27</v>
      </c>
      <c r="M8">
        <v>7</v>
      </c>
      <c r="N8">
        <v>0</v>
      </c>
      <c r="O8">
        <v>5</v>
      </c>
      <c r="P8">
        <v>1</v>
      </c>
      <c r="Q8">
        <v>39</v>
      </c>
      <c r="R8">
        <v>16</v>
      </c>
      <c r="S8">
        <v>0</v>
      </c>
      <c r="T8">
        <v>14</v>
      </c>
      <c r="U8">
        <v>4</v>
      </c>
      <c r="V8">
        <v>66</v>
      </c>
      <c r="W8">
        <v>23</v>
      </c>
      <c r="X8">
        <v>0</v>
      </c>
      <c r="Y8">
        <v>19</v>
      </c>
      <c r="Z8">
        <v>5</v>
      </c>
      <c r="AA8" t="s">
        <v>2535</v>
      </c>
      <c r="AB8" s="24">
        <v>0.89097222222222217</v>
      </c>
      <c r="AC8" s="24">
        <v>0.74652777777777779</v>
      </c>
      <c r="AD8" s="24">
        <v>0.14166666666666666</v>
      </c>
      <c r="AE8" s="24">
        <v>2.7777777777777779E-3</v>
      </c>
      <c r="AF8" t="s">
        <v>2536</v>
      </c>
      <c r="AG8" t="s">
        <v>2537</v>
      </c>
      <c r="AH8" t="s">
        <v>2538</v>
      </c>
      <c r="AI8" t="s">
        <v>2539</v>
      </c>
      <c r="AJ8" t="s">
        <v>2540</v>
      </c>
      <c r="AK8" t="s">
        <v>2541</v>
      </c>
      <c r="AL8" t="s">
        <v>2542</v>
      </c>
      <c r="AM8" t="s">
        <v>2543</v>
      </c>
      <c r="AN8" t="s">
        <v>2544</v>
      </c>
      <c r="AO8" t="s">
        <v>2545</v>
      </c>
      <c r="AP8" t="s">
        <v>2546</v>
      </c>
      <c r="AQ8" t="s">
        <v>2547</v>
      </c>
      <c r="AR8">
        <v>292</v>
      </c>
      <c r="AS8" t="s">
        <v>2548</v>
      </c>
      <c r="AT8">
        <v>28</v>
      </c>
      <c r="AU8">
        <v>15</v>
      </c>
      <c r="AV8">
        <v>7</v>
      </c>
      <c r="AW8">
        <v>44</v>
      </c>
      <c r="AX8" t="s">
        <v>2549</v>
      </c>
    </row>
    <row r="9" spans="1:50" x14ac:dyDescent="0.25">
      <c r="A9">
        <v>4</v>
      </c>
      <c r="B9" t="s">
        <v>3158</v>
      </c>
      <c r="C9" t="s">
        <v>2550</v>
      </c>
      <c r="D9">
        <v>29</v>
      </c>
      <c r="E9" t="s">
        <v>2504</v>
      </c>
      <c r="F9">
        <v>82</v>
      </c>
      <c r="G9">
        <v>23</v>
      </c>
      <c r="H9">
        <v>63</v>
      </c>
      <c r="I9">
        <v>86</v>
      </c>
      <c r="J9">
        <v>38</v>
      </c>
      <c r="K9">
        <v>17</v>
      </c>
      <c r="L9">
        <v>15</v>
      </c>
      <c r="M9">
        <v>8</v>
      </c>
      <c r="N9">
        <v>0</v>
      </c>
      <c r="O9">
        <v>5</v>
      </c>
      <c r="P9">
        <v>2</v>
      </c>
      <c r="Q9">
        <v>36</v>
      </c>
      <c r="R9">
        <v>27</v>
      </c>
      <c r="S9">
        <v>0</v>
      </c>
      <c r="T9">
        <v>12</v>
      </c>
      <c r="U9">
        <v>1</v>
      </c>
      <c r="V9">
        <v>51</v>
      </c>
      <c r="W9">
        <v>35</v>
      </c>
      <c r="X9">
        <v>0</v>
      </c>
      <c r="Y9">
        <v>17</v>
      </c>
      <c r="Z9">
        <v>3</v>
      </c>
      <c r="AA9" t="s">
        <v>2551</v>
      </c>
      <c r="AB9" s="24">
        <v>0.7597222222222223</v>
      </c>
      <c r="AC9" s="24">
        <v>0.60347222222222219</v>
      </c>
      <c r="AD9" s="24">
        <v>0.12638888888888888</v>
      </c>
      <c r="AE9" s="24">
        <v>2.8472222222222222E-2</v>
      </c>
      <c r="AF9" t="s">
        <v>2552</v>
      </c>
      <c r="AG9" t="s">
        <v>2553</v>
      </c>
      <c r="AH9" t="s">
        <v>2554</v>
      </c>
      <c r="AI9" t="s">
        <v>2555</v>
      </c>
      <c r="AJ9" t="s">
        <v>2556</v>
      </c>
      <c r="AK9" t="s">
        <v>2557</v>
      </c>
      <c r="AL9" t="s">
        <v>2558</v>
      </c>
      <c r="AM9" t="s">
        <v>2559</v>
      </c>
      <c r="AN9" t="s">
        <v>2560</v>
      </c>
      <c r="AO9" t="s">
        <v>2561</v>
      </c>
      <c r="AP9" t="s">
        <v>2562</v>
      </c>
      <c r="AQ9" t="s">
        <v>2563</v>
      </c>
      <c r="AR9">
        <v>162</v>
      </c>
      <c r="AS9" t="s">
        <v>2564</v>
      </c>
      <c r="AT9">
        <v>45</v>
      </c>
      <c r="AU9">
        <v>33</v>
      </c>
      <c r="AV9">
        <v>685</v>
      </c>
      <c r="AW9">
        <v>648</v>
      </c>
      <c r="AX9" t="s">
        <v>2565</v>
      </c>
    </row>
    <row r="10" spans="1:50" x14ac:dyDescent="0.25">
      <c r="A10">
        <v>5</v>
      </c>
      <c r="B10" t="s">
        <v>3159</v>
      </c>
      <c r="C10" t="s">
        <v>24</v>
      </c>
      <c r="D10">
        <v>23</v>
      </c>
      <c r="E10" t="s">
        <v>2504</v>
      </c>
      <c r="F10">
        <v>74</v>
      </c>
      <c r="G10">
        <v>40</v>
      </c>
      <c r="H10">
        <v>45</v>
      </c>
      <c r="I10">
        <v>85</v>
      </c>
      <c r="J10">
        <v>38</v>
      </c>
      <c r="K10">
        <v>13</v>
      </c>
      <c r="L10">
        <v>23</v>
      </c>
      <c r="M10">
        <v>17</v>
      </c>
      <c r="N10">
        <v>0</v>
      </c>
      <c r="O10">
        <v>7</v>
      </c>
      <c r="P10">
        <v>1</v>
      </c>
      <c r="Q10">
        <v>30</v>
      </c>
      <c r="R10">
        <v>15</v>
      </c>
      <c r="S10">
        <v>0</v>
      </c>
      <c r="T10">
        <v>9</v>
      </c>
      <c r="U10">
        <v>1</v>
      </c>
      <c r="V10">
        <v>53</v>
      </c>
      <c r="W10">
        <v>32</v>
      </c>
      <c r="X10">
        <v>0</v>
      </c>
      <c r="Y10">
        <v>16</v>
      </c>
      <c r="Z10">
        <v>2</v>
      </c>
      <c r="AA10" t="s">
        <v>2566</v>
      </c>
      <c r="AB10" s="24">
        <v>0.80902777777777779</v>
      </c>
      <c r="AC10" s="24">
        <v>0.66805555555555562</v>
      </c>
      <c r="AD10" s="24">
        <v>0.13958333333333334</v>
      </c>
      <c r="AE10" s="24">
        <v>6.9444444444444447E-4</v>
      </c>
      <c r="AF10" t="s">
        <v>2567</v>
      </c>
      <c r="AG10" t="s">
        <v>2568</v>
      </c>
      <c r="AH10" t="s">
        <v>2569</v>
      </c>
      <c r="AI10" t="s">
        <v>2536</v>
      </c>
      <c r="AJ10" t="s">
        <v>2570</v>
      </c>
      <c r="AK10" t="s">
        <v>2571</v>
      </c>
      <c r="AL10" t="s">
        <v>2572</v>
      </c>
      <c r="AM10" t="s">
        <v>2573</v>
      </c>
      <c r="AN10" t="s">
        <v>2574</v>
      </c>
      <c r="AO10" t="s">
        <v>2575</v>
      </c>
      <c r="AP10" t="s">
        <v>2576</v>
      </c>
      <c r="AQ10" t="s">
        <v>2577</v>
      </c>
      <c r="AR10">
        <v>246</v>
      </c>
      <c r="AS10" t="s">
        <v>2578</v>
      </c>
      <c r="AT10">
        <v>30</v>
      </c>
      <c r="AU10">
        <v>20</v>
      </c>
      <c r="AV10">
        <v>0</v>
      </c>
      <c r="AW10">
        <v>0</v>
      </c>
      <c r="AX10" t="s">
        <v>2579</v>
      </c>
    </row>
    <row r="11" spans="1:50" x14ac:dyDescent="0.25">
      <c r="A11">
        <v>6</v>
      </c>
      <c r="B11" t="s">
        <v>3156</v>
      </c>
      <c r="C11" t="s">
        <v>79</v>
      </c>
      <c r="D11">
        <v>28</v>
      </c>
      <c r="E11" t="s">
        <v>2504</v>
      </c>
      <c r="F11">
        <v>80</v>
      </c>
      <c r="G11">
        <v>39</v>
      </c>
      <c r="H11">
        <v>46</v>
      </c>
      <c r="I11">
        <v>85</v>
      </c>
      <c r="J11">
        <v>81</v>
      </c>
      <c r="K11">
        <v>18</v>
      </c>
      <c r="L11">
        <v>27</v>
      </c>
      <c r="M11">
        <v>9</v>
      </c>
      <c r="N11">
        <v>3</v>
      </c>
      <c r="O11">
        <v>8</v>
      </c>
      <c r="P11">
        <v>1</v>
      </c>
      <c r="Q11">
        <v>29</v>
      </c>
      <c r="R11">
        <v>15</v>
      </c>
      <c r="S11">
        <v>2</v>
      </c>
      <c r="T11">
        <v>8</v>
      </c>
      <c r="U11">
        <v>0</v>
      </c>
      <c r="V11">
        <v>56</v>
      </c>
      <c r="W11">
        <v>24</v>
      </c>
      <c r="X11">
        <v>5</v>
      </c>
      <c r="Y11">
        <v>16</v>
      </c>
      <c r="Z11">
        <v>1</v>
      </c>
      <c r="AA11" t="s">
        <v>2580</v>
      </c>
      <c r="AB11" s="24">
        <v>0.80972222222222223</v>
      </c>
      <c r="AC11" s="24">
        <v>0.61527777777777781</v>
      </c>
      <c r="AD11" s="24">
        <v>0.11180555555555556</v>
      </c>
      <c r="AE11" s="24">
        <v>7.7777777777777779E-2</v>
      </c>
      <c r="AF11" t="s">
        <v>2542</v>
      </c>
      <c r="AG11" t="s">
        <v>2581</v>
      </c>
      <c r="AH11" t="s">
        <v>2582</v>
      </c>
      <c r="AI11" t="s">
        <v>2583</v>
      </c>
      <c r="AJ11" t="s">
        <v>2584</v>
      </c>
      <c r="AK11" t="s">
        <v>2585</v>
      </c>
      <c r="AL11" t="s">
        <v>2586</v>
      </c>
      <c r="AM11" t="s">
        <v>2587</v>
      </c>
      <c r="AN11" t="s">
        <v>2588</v>
      </c>
      <c r="AO11" t="s">
        <v>2589</v>
      </c>
      <c r="AP11" t="s">
        <v>2590</v>
      </c>
      <c r="AQ11" t="s">
        <v>2591</v>
      </c>
      <c r="AR11">
        <v>226</v>
      </c>
      <c r="AS11" t="s">
        <v>2533</v>
      </c>
      <c r="AT11">
        <v>51</v>
      </c>
      <c r="AU11">
        <v>35</v>
      </c>
      <c r="AV11">
        <v>13</v>
      </c>
      <c r="AW11">
        <v>23</v>
      </c>
      <c r="AX11" t="s">
        <v>2592</v>
      </c>
    </row>
    <row r="12" spans="1:50" x14ac:dyDescent="0.25">
      <c r="A12">
        <v>7</v>
      </c>
      <c r="B12" t="s">
        <v>3156</v>
      </c>
      <c r="C12" t="s">
        <v>18</v>
      </c>
      <c r="D12">
        <v>23</v>
      </c>
      <c r="E12" t="s">
        <v>2504</v>
      </c>
      <c r="F12">
        <v>79</v>
      </c>
      <c r="G12">
        <v>32</v>
      </c>
      <c r="H12">
        <v>50</v>
      </c>
      <c r="I12">
        <v>82</v>
      </c>
      <c r="J12">
        <v>38</v>
      </c>
      <c r="K12">
        <v>18</v>
      </c>
      <c r="L12">
        <v>25</v>
      </c>
      <c r="M12">
        <v>7</v>
      </c>
      <c r="N12">
        <v>0</v>
      </c>
      <c r="O12">
        <v>5</v>
      </c>
      <c r="P12">
        <v>2</v>
      </c>
      <c r="Q12">
        <v>40</v>
      </c>
      <c r="R12">
        <v>8</v>
      </c>
      <c r="S12">
        <v>2</v>
      </c>
      <c r="T12">
        <v>7</v>
      </c>
      <c r="U12">
        <v>0</v>
      </c>
      <c r="V12">
        <v>65</v>
      </c>
      <c r="W12">
        <v>15</v>
      </c>
      <c r="X12">
        <v>2</v>
      </c>
      <c r="Y12">
        <v>12</v>
      </c>
      <c r="Z12">
        <v>2</v>
      </c>
      <c r="AA12" t="s">
        <v>2593</v>
      </c>
      <c r="AB12" s="24">
        <v>0.85625000000000007</v>
      </c>
      <c r="AC12" s="24">
        <v>0.69791666666666663</v>
      </c>
      <c r="AD12" s="24">
        <v>0.12916666666666668</v>
      </c>
      <c r="AE12" s="24">
        <v>2.8472222222222222E-2</v>
      </c>
      <c r="AF12" t="s">
        <v>2594</v>
      </c>
      <c r="AG12" t="s">
        <v>2595</v>
      </c>
      <c r="AH12" t="s">
        <v>2596</v>
      </c>
      <c r="AI12" t="s">
        <v>2597</v>
      </c>
      <c r="AJ12" t="s">
        <v>2522</v>
      </c>
      <c r="AK12" t="s">
        <v>2598</v>
      </c>
      <c r="AL12" t="s">
        <v>2599</v>
      </c>
      <c r="AM12" t="s">
        <v>2600</v>
      </c>
      <c r="AN12" t="s">
        <v>2601</v>
      </c>
      <c r="AO12" t="s">
        <v>2602</v>
      </c>
      <c r="AP12" t="s">
        <v>2603</v>
      </c>
      <c r="AQ12" t="s">
        <v>2604</v>
      </c>
      <c r="AR12">
        <v>160</v>
      </c>
      <c r="AS12" t="s">
        <v>2605</v>
      </c>
      <c r="AT12">
        <v>49</v>
      </c>
      <c r="AU12">
        <v>34</v>
      </c>
      <c r="AV12">
        <v>635</v>
      </c>
      <c r="AW12">
        <v>826</v>
      </c>
      <c r="AX12" t="s">
        <v>2606</v>
      </c>
    </row>
    <row r="13" spans="1:50" x14ac:dyDescent="0.25">
      <c r="A13">
        <v>8</v>
      </c>
      <c r="B13" t="s">
        <v>3160</v>
      </c>
      <c r="C13" t="s">
        <v>101</v>
      </c>
      <c r="D13">
        <v>21</v>
      </c>
      <c r="E13" t="s">
        <v>2504</v>
      </c>
      <c r="F13">
        <v>82</v>
      </c>
      <c r="G13">
        <v>29</v>
      </c>
      <c r="H13">
        <v>48</v>
      </c>
      <c r="I13">
        <v>77</v>
      </c>
      <c r="J13">
        <v>20</v>
      </c>
      <c r="K13">
        <v>7</v>
      </c>
      <c r="L13">
        <v>19</v>
      </c>
      <c r="M13">
        <v>10</v>
      </c>
      <c r="N13">
        <v>0</v>
      </c>
      <c r="O13">
        <v>5</v>
      </c>
      <c r="P13">
        <v>3</v>
      </c>
      <c r="Q13">
        <v>31</v>
      </c>
      <c r="R13">
        <v>17</v>
      </c>
      <c r="S13">
        <v>0</v>
      </c>
      <c r="T13">
        <v>11</v>
      </c>
      <c r="U13">
        <v>1</v>
      </c>
      <c r="V13">
        <v>50</v>
      </c>
      <c r="W13">
        <v>27</v>
      </c>
      <c r="X13">
        <v>0</v>
      </c>
      <c r="Y13">
        <v>16</v>
      </c>
      <c r="Z13">
        <v>4</v>
      </c>
      <c r="AA13" t="s">
        <v>2607</v>
      </c>
      <c r="AB13" s="24">
        <v>0.78611111111111109</v>
      </c>
      <c r="AC13" s="24">
        <v>0.64722222222222225</v>
      </c>
      <c r="AD13" s="24">
        <v>0.12013888888888889</v>
      </c>
      <c r="AE13" s="24">
        <v>1.8055555555555557E-2</v>
      </c>
      <c r="AF13" t="s">
        <v>2608</v>
      </c>
      <c r="AG13" t="s">
        <v>2609</v>
      </c>
      <c r="AH13" t="s">
        <v>2610</v>
      </c>
      <c r="AI13" t="s">
        <v>2611</v>
      </c>
      <c r="AJ13" t="s">
        <v>2612</v>
      </c>
      <c r="AK13" t="s">
        <v>2613</v>
      </c>
      <c r="AL13" t="s">
        <v>2553</v>
      </c>
      <c r="AM13" t="s">
        <v>2614</v>
      </c>
      <c r="AN13" t="s">
        <v>2615</v>
      </c>
      <c r="AO13" t="s">
        <v>2616</v>
      </c>
      <c r="AP13" t="s">
        <v>2617</v>
      </c>
      <c r="AQ13" t="s">
        <v>2618</v>
      </c>
      <c r="AR13">
        <v>172</v>
      </c>
      <c r="AS13" t="s">
        <v>2619</v>
      </c>
      <c r="AT13">
        <v>41</v>
      </c>
      <c r="AU13">
        <v>36</v>
      </c>
      <c r="AV13">
        <v>476</v>
      </c>
      <c r="AW13">
        <v>496</v>
      </c>
      <c r="AX13" t="s">
        <v>2620</v>
      </c>
    </row>
    <row r="14" spans="1:50" x14ac:dyDescent="0.25">
      <c r="A14">
        <v>9</v>
      </c>
      <c r="B14" t="s">
        <v>3156</v>
      </c>
      <c r="C14" t="s">
        <v>34</v>
      </c>
      <c r="D14">
        <v>31</v>
      </c>
      <c r="E14" t="s">
        <v>1719</v>
      </c>
      <c r="F14">
        <v>82</v>
      </c>
      <c r="G14">
        <v>29</v>
      </c>
      <c r="H14">
        <v>47</v>
      </c>
      <c r="I14">
        <v>76</v>
      </c>
      <c r="J14">
        <v>40</v>
      </c>
      <c r="K14">
        <v>19</v>
      </c>
      <c r="L14">
        <v>21</v>
      </c>
      <c r="M14">
        <v>8</v>
      </c>
      <c r="N14">
        <v>0</v>
      </c>
      <c r="O14">
        <v>6</v>
      </c>
      <c r="P14">
        <v>3</v>
      </c>
      <c r="Q14">
        <v>29</v>
      </c>
      <c r="R14">
        <v>17</v>
      </c>
      <c r="S14">
        <v>1</v>
      </c>
      <c r="T14">
        <v>11</v>
      </c>
      <c r="U14">
        <v>1</v>
      </c>
      <c r="V14">
        <v>50</v>
      </c>
      <c r="W14">
        <v>25</v>
      </c>
      <c r="X14">
        <v>1</v>
      </c>
      <c r="Y14">
        <v>17</v>
      </c>
      <c r="Z14">
        <v>4</v>
      </c>
      <c r="AA14" t="s">
        <v>2621</v>
      </c>
      <c r="AB14" s="25">
        <v>1.0354166666666667</v>
      </c>
      <c r="AC14" s="24">
        <v>0.80833333333333324</v>
      </c>
      <c r="AD14" s="24">
        <v>0.14861111111111111</v>
      </c>
      <c r="AE14" s="24">
        <v>7.0833333333333331E-2</v>
      </c>
      <c r="AF14" t="s">
        <v>2622</v>
      </c>
      <c r="AG14" t="s">
        <v>2623</v>
      </c>
      <c r="AH14" t="s">
        <v>2624</v>
      </c>
      <c r="AI14" t="s">
        <v>2625</v>
      </c>
      <c r="AJ14" t="s">
        <v>2626</v>
      </c>
      <c r="AK14" t="s">
        <v>2627</v>
      </c>
      <c r="AL14" t="s">
        <v>2628</v>
      </c>
      <c r="AM14" t="s">
        <v>2629</v>
      </c>
      <c r="AN14" t="s">
        <v>2630</v>
      </c>
      <c r="AO14" t="s">
        <v>2616</v>
      </c>
      <c r="AP14" t="s">
        <v>2631</v>
      </c>
      <c r="AQ14" t="s">
        <v>2632</v>
      </c>
      <c r="AR14">
        <v>320</v>
      </c>
      <c r="AS14" t="s">
        <v>2633</v>
      </c>
      <c r="AT14">
        <v>69</v>
      </c>
      <c r="AU14">
        <v>142</v>
      </c>
      <c r="AV14">
        <v>0</v>
      </c>
      <c r="AW14">
        <v>0</v>
      </c>
      <c r="AX14" t="s">
        <v>2579</v>
      </c>
    </row>
    <row r="15" spans="1:50" x14ac:dyDescent="0.25">
      <c r="A15">
        <v>10</v>
      </c>
      <c r="B15" t="s">
        <v>3159</v>
      </c>
      <c r="C15" t="s">
        <v>9</v>
      </c>
      <c r="D15">
        <v>25</v>
      </c>
      <c r="E15" t="s">
        <v>2504</v>
      </c>
      <c r="F15">
        <v>82</v>
      </c>
      <c r="G15">
        <v>39</v>
      </c>
      <c r="H15">
        <v>36</v>
      </c>
      <c r="I15">
        <v>75</v>
      </c>
      <c r="J15">
        <v>12</v>
      </c>
      <c r="K15">
        <v>-1</v>
      </c>
      <c r="L15">
        <v>30</v>
      </c>
      <c r="M15">
        <v>9</v>
      </c>
      <c r="N15">
        <v>0</v>
      </c>
      <c r="O15">
        <v>8</v>
      </c>
      <c r="P15">
        <v>3</v>
      </c>
      <c r="Q15">
        <v>23</v>
      </c>
      <c r="R15">
        <v>13</v>
      </c>
      <c r="S15">
        <v>0</v>
      </c>
      <c r="T15">
        <v>7</v>
      </c>
      <c r="U15">
        <v>0</v>
      </c>
      <c r="V15">
        <v>53</v>
      </c>
      <c r="W15">
        <v>22</v>
      </c>
      <c r="X15">
        <v>0</v>
      </c>
      <c r="Y15">
        <v>15</v>
      </c>
      <c r="Z15">
        <v>3</v>
      </c>
      <c r="AA15" t="s">
        <v>2634</v>
      </c>
      <c r="AB15" s="24">
        <v>0.76944444444444438</v>
      </c>
      <c r="AC15" s="24">
        <v>0.63750000000000007</v>
      </c>
      <c r="AD15" s="24">
        <v>0.12430555555555556</v>
      </c>
      <c r="AE15" s="24">
        <v>6.9444444444444441E-3</v>
      </c>
      <c r="AF15" t="s">
        <v>2635</v>
      </c>
      <c r="AG15" t="s">
        <v>2636</v>
      </c>
      <c r="AH15" t="s">
        <v>2637</v>
      </c>
      <c r="AI15" t="s">
        <v>2638</v>
      </c>
      <c r="AJ15" t="s">
        <v>2509</v>
      </c>
      <c r="AK15" t="s">
        <v>2639</v>
      </c>
      <c r="AL15" t="s">
        <v>2640</v>
      </c>
      <c r="AM15" t="s">
        <v>2641</v>
      </c>
      <c r="AN15" t="s">
        <v>2642</v>
      </c>
      <c r="AO15" t="s">
        <v>2643</v>
      </c>
      <c r="AP15" t="s">
        <v>2644</v>
      </c>
      <c r="AQ15" t="s">
        <v>2645</v>
      </c>
      <c r="AR15">
        <v>286</v>
      </c>
      <c r="AS15" t="s">
        <v>2646</v>
      </c>
      <c r="AT15">
        <v>50</v>
      </c>
      <c r="AU15">
        <v>31</v>
      </c>
      <c r="AV15">
        <v>5</v>
      </c>
      <c r="AW15">
        <v>5</v>
      </c>
      <c r="AX15" t="s">
        <v>2647</v>
      </c>
    </row>
    <row r="16" spans="1:50" x14ac:dyDescent="0.25">
      <c r="A16">
        <v>11</v>
      </c>
      <c r="B16" t="s">
        <v>3159</v>
      </c>
      <c r="C16" t="s">
        <v>19</v>
      </c>
      <c r="D16">
        <v>25</v>
      </c>
      <c r="E16" t="s">
        <v>2504</v>
      </c>
      <c r="F16">
        <v>82</v>
      </c>
      <c r="G16">
        <v>31</v>
      </c>
      <c r="H16">
        <v>43</v>
      </c>
      <c r="I16">
        <v>74</v>
      </c>
      <c r="J16">
        <v>21</v>
      </c>
      <c r="K16">
        <v>18</v>
      </c>
      <c r="L16">
        <v>22</v>
      </c>
      <c r="M16">
        <v>9</v>
      </c>
      <c r="N16">
        <v>0</v>
      </c>
      <c r="O16">
        <v>5</v>
      </c>
      <c r="P16">
        <v>1</v>
      </c>
      <c r="Q16">
        <v>35</v>
      </c>
      <c r="R16">
        <v>8</v>
      </c>
      <c r="S16">
        <v>0</v>
      </c>
      <c r="T16">
        <v>10</v>
      </c>
      <c r="U16">
        <v>3</v>
      </c>
      <c r="V16">
        <v>57</v>
      </c>
      <c r="W16">
        <v>17</v>
      </c>
      <c r="X16">
        <v>0</v>
      </c>
      <c r="Y16">
        <v>15</v>
      </c>
      <c r="Z16">
        <v>4</v>
      </c>
      <c r="AA16" t="s">
        <v>2648</v>
      </c>
      <c r="AB16" s="24">
        <v>0.81111111111111101</v>
      </c>
      <c r="AC16" s="24">
        <v>0.67847222222222225</v>
      </c>
      <c r="AD16" s="24">
        <v>0.13055555555555556</v>
      </c>
      <c r="AE16" s="24">
        <v>6.9444444444444447E-4</v>
      </c>
      <c r="AF16" t="s">
        <v>2649</v>
      </c>
      <c r="AG16" t="s">
        <v>2650</v>
      </c>
      <c r="AH16" t="s">
        <v>2651</v>
      </c>
      <c r="AI16" t="s">
        <v>2652</v>
      </c>
      <c r="AJ16" t="s">
        <v>2653</v>
      </c>
      <c r="AK16" t="s">
        <v>2654</v>
      </c>
      <c r="AL16" t="s">
        <v>2655</v>
      </c>
      <c r="AM16" t="s">
        <v>2656</v>
      </c>
      <c r="AN16" t="s">
        <v>2657</v>
      </c>
      <c r="AO16" t="s">
        <v>2658</v>
      </c>
      <c r="AP16" t="s">
        <v>2659</v>
      </c>
      <c r="AQ16" t="s">
        <v>2660</v>
      </c>
      <c r="AR16">
        <v>211</v>
      </c>
      <c r="AS16" t="s">
        <v>2661</v>
      </c>
      <c r="AT16">
        <v>23</v>
      </c>
      <c r="AU16">
        <v>14</v>
      </c>
      <c r="AV16">
        <v>2</v>
      </c>
      <c r="AW16">
        <v>8</v>
      </c>
      <c r="AX16" t="s">
        <v>2662</v>
      </c>
    </row>
    <row r="17" spans="1:50" x14ac:dyDescent="0.25">
      <c r="A17">
        <v>12</v>
      </c>
      <c r="B17" t="s">
        <v>3157</v>
      </c>
      <c r="C17" t="s">
        <v>16</v>
      </c>
      <c r="D17">
        <v>30</v>
      </c>
      <c r="E17" t="s">
        <v>2504</v>
      </c>
      <c r="F17">
        <v>82</v>
      </c>
      <c r="G17">
        <v>26</v>
      </c>
      <c r="H17">
        <v>48</v>
      </c>
      <c r="I17">
        <v>74</v>
      </c>
      <c r="J17">
        <v>47</v>
      </c>
      <c r="K17">
        <v>6</v>
      </c>
      <c r="L17">
        <v>19</v>
      </c>
      <c r="M17">
        <v>5</v>
      </c>
      <c r="N17">
        <v>2</v>
      </c>
      <c r="O17">
        <v>4</v>
      </c>
      <c r="P17">
        <v>0</v>
      </c>
      <c r="Q17">
        <v>31</v>
      </c>
      <c r="R17">
        <v>16</v>
      </c>
      <c r="S17">
        <v>1</v>
      </c>
      <c r="T17">
        <v>6</v>
      </c>
      <c r="U17">
        <v>1</v>
      </c>
      <c r="V17">
        <v>50</v>
      </c>
      <c r="W17">
        <v>21</v>
      </c>
      <c r="X17">
        <v>3</v>
      </c>
      <c r="Y17">
        <v>10</v>
      </c>
      <c r="Z17">
        <v>1</v>
      </c>
      <c r="AA17" t="s">
        <v>2663</v>
      </c>
      <c r="AB17" s="24">
        <v>0.83888888888888891</v>
      </c>
      <c r="AC17" s="24">
        <v>0.65833333333333333</v>
      </c>
      <c r="AD17" s="24">
        <v>0.12291666666666667</v>
      </c>
      <c r="AE17" s="24">
        <v>5.7638888888888885E-2</v>
      </c>
      <c r="AF17" t="s">
        <v>2664</v>
      </c>
      <c r="AG17" t="s">
        <v>2665</v>
      </c>
      <c r="AH17" t="s">
        <v>2666</v>
      </c>
      <c r="AI17" t="s">
        <v>2667</v>
      </c>
      <c r="AJ17" t="s">
        <v>2668</v>
      </c>
      <c r="AK17" t="s">
        <v>2669</v>
      </c>
      <c r="AL17" t="s">
        <v>2670</v>
      </c>
      <c r="AM17" t="s">
        <v>2671</v>
      </c>
      <c r="AN17" t="s">
        <v>2672</v>
      </c>
      <c r="AO17" t="s">
        <v>2673</v>
      </c>
      <c r="AP17" t="s">
        <v>2617</v>
      </c>
      <c r="AQ17" t="s">
        <v>2660</v>
      </c>
      <c r="AR17">
        <v>259</v>
      </c>
      <c r="AS17" t="s">
        <v>2674</v>
      </c>
      <c r="AT17">
        <v>100</v>
      </c>
      <c r="AU17">
        <v>51</v>
      </c>
      <c r="AV17">
        <v>43</v>
      </c>
      <c r="AW17">
        <v>51</v>
      </c>
      <c r="AX17" t="s">
        <v>2675</v>
      </c>
    </row>
    <row r="18" spans="1:50" x14ac:dyDescent="0.25">
      <c r="A18">
        <v>13</v>
      </c>
      <c r="B18" t="s">
        <v>3156</v>
      </c>
      <c r="C18" t="s">
        <v>14</v>
      </c>
      <c r="D18">
        <v>31</v>
      </c>
      <c r="E18" t="s">
        <v>2504</v>
      </c>
      <c r="F18">
        <v>74</v>
      </c>
      <c r="G18">
        <v>15</v>
      </c>
      <c r="H18">
        <v>58</v>
      </c>
      <c r="I18">
        <v>73</v>
      </c>
      <c r="J18">
        <v>49</v>
      </c>
      <c r="K18">
        <v>7</v>
      </c>
      <c r="L18">
        <v>7</v>
      </c>
      <c r="M18">
        <v>6</v>
      </c>
      <c r="N18">
        <v>2</v>
      </c>
      <c r="O18">
        <v>3</v>
      </c>
      <c r="P18">
        <v>0</v>
      </c>
      <c r="Q18">
        <v>43</v>
      </c>
      <c r="R18">
        <v>14</v>
      </c>
      <c r="S18">
        <v>1</v>
      </c>
      <c r="T18">
        <v>11</v>
      </c>
      <c r="U18">
        <v>1</v>
      </c>
      <c r="V18">
        <v>50</v>
      </c>
      <c r="W18">
        <v>20</v>
      </c>
      <c r="X18">
        <v>3</v>
      </c>
      <c r="Y18">
        <v>14</v>
      </c>
      <c r="Z18">
        <v>1</v>
      </c>
      <c r="AA18" t="s">
        <v>2676</v>
      </c>
      <c r="AB18" s="24">
        <v>0.87777777777777777</v>
      </c>
      <c r="AC18" s="24">
        <v>0.67986111111111114</v>
      </c>
      <c r="AD18" s="24">
        <v>0.12708333333333333</v>
      </c>
      <c r="AE18" s="24">
        <v>6.9444444444444434E-2</v>
      </c>
      <c r="AF18" t="s">
        <v>2677</v>
      </c>
      <c r="AG18" t="s">
        <v>2678</v>
      </c>
      <c r="AH18" t="s">
        <v>2679</v>
      </c>
      <c r="AI18" t="s">
        <v>2680</v>
      </c>
      <c r="AJ18" t="s">
        <v>2681</v>
      </c>
      <c r="AK18" t="s">
        <v>2682</v>
      </c>
      <c r="AL18" t="s">
        <v>2683</v>
      </c>
      <c r="AM18" t="s">
        <v>2684</v>
      </c>
      <c r="AN18" t="s">
        <v>2685</v>
      </c>
      <c r="AO18" t="s">
        <v>2686</v>
      </c>
      <c r="AP18" t="s">
        <v>2687</v>
      </c>
      <c r="AQ18" t="s">
        <v>2688</v>
      </c>
      <c r="AR18">
        <v>138</v>
      </c>
      <c r="AS18" t="s">
        <v>2689</v>
      </c>
      <c r="AT18">
        <v>99</v>
      </c>
      <c r="AU18">
        <v>88</v>
      </c>
      <c r="AV18">
        <v>509</v>
      </c>
      <c r="AW18">
        <v>503</v>
      </c>
      <c r="AX18" t="s">
        <v>2690</v>
      </c>
    </row>
    <row r="19" spans="1:50" x14ac:dyDescent="0.25">
      <c r="A19">
        <v>14</v>
      </c>
      <c r="B19" t="s">
        <v>3159</v>
      </c>
      <c r="C19" t="s">
        <v>23</v>
      </c>
      <c r="D19">
        <v>30</v>
      </c>
      <c r="E19" t="s">
        <v>2504</v>
      </c>
      <c r="F19">
        <v>62</v>
      </c>
      <c r="G19">
        <v>33</v>
      </c>
      <c r="H19">
        <v>39</v>
      </c>
      <c r="I19">
        <v>72</v>
      </c>
      <c r="J19">
        <v>77</v>
      </c>
      <c r="K19">
        <v>18</v>
      </c>
      <c r="L19">
        <v>22</v>
      </c>
      <c r="M19">
        <v>11</v>
      </c>
      <c r="N19">
        <v>0</v>
      </c>
      <c r="O19">
        <v>6</v>
      </c>
      <c r="P19">
        <v>1</v>
      </c>
      <c r="Q19">
        <v>27</v>
      </c>
      <c r="R19">
        <v>12</v>
      </c>
      <c r="S19">
        <v>0</v>
      </c>
      <c r="T19">
        <v>7</v>
      </c>
      <c r="U19">
        <v>2</v>
      </c>
      <c r="V19">
        <v>49</v>
      </c>
      <c r="W19">
        <v>23</v>
      </c>
      <c r="X19">
        <v>0</v>
      </c>
      <c r="Y19">
        <v>13</v>
      </c>
      <c r="Z19">
        <v>3</v>
      </c>
      <c r="AA19" t="s">
        <v>2691</v>
      </c>
      <c r="AB19" s="24">
        <v>0.77638888888888891</v>
      </c>
      <c r="AC19" s="24">
        <v>0.62152777777777779</v>
      </c>
      <c r="AD19" s="24">
        <v>0.15277777777777776</v>
      </c>
      <c r="AE19" s="24">
        <v>1.3888888888888889E-3</v>
      </c>
      <c r="AF19" t="s">
        <v>2692</v>
      </c>
      <c r="AG19" t="s">
        <v>2693</v>
      </c>
      <c r="AH19" t="s">
        <v>2694</v>
      </c>
      <c r="AI19" t="s">
        <v>2695</v>
      </c>
      <c r="AJ19" t="s">
        <v>2696</v>
      </c>
      <c r="AK19" t="s">
        <v>2697</v>
      </c>
      <c r="AL19" t="s">
        <v>2698</v>
      </c>
      <c r="AM19" t="s">
        <v>2699</v>
      </c>
      <c r="AN19" t="s">
        <v>2700</v>
      </c>
      <c r="AO19" t="s">
        <v>2701</v>
      </c>
      <c r="AP19" t="s">
        <v>2702</v>
      </c>
      <c r="AQ19" t="s">
        <v>2703</v>
      </c>
      <c r="AR19">
        <v>191</v>
      </c>
      <c r="AS19" t="s">
        <v>2533</v>
      </c>
      <c r="AT19">
        <v>40</v>
      </c>
      <c r="AU19">
        <v>25</v>
      </c>
      <c r="AV19">
        <v>365</v>
      </c>
      <c r="AW19">
        <v>481</v>
      </c>
      <c r="AX19" t="s">
        <v>2704</v>
      </c>
    </row>
    <row r="20" spans="1:50" x14ac:dyDescent="0.25">
      <c r="A20">
        <v>15</v>
      </c>
      <c r="B20" t="s">
        <v>3156</v>
      </c>
      <c r="C20" t="s">
        <v>4</v>
      </c>
      <c r="D20">
        <v>24</v>
      </c>
      <c r="E20" t="s">
        <v>2504</v>
      </c>
      <c r="F20">
        <v>82</v>
      </c>
      <c r="G20">
        <v>26</v>
      </c>
      <c r="H20">
        <v>46</v>
      </c>
      <c r="I20">
        <v>72</v>
      </c>
      <c r="J20">
        <v>22</v>
      </c>
      <c r="K20">
        <v>-15</v>
      </c>
      <c r="L20">
        <v>15</v>
      </c>
      <c r="M20">
        <v>11</v>
      </c>
      <c r="N20">
        <v>0</v>
      </c>
      <c r="O20">
        <v>4</v>
      </c>
      <c r="P20">
        <v>1</v>
      </c>
      <c r="Q20">
        <v>28</v>
      </c>
      <c r="R20">
        <v>18</v>
      </c>
      <c r="S20">
        <v>0</v>
      </c>
      <c r="T20">
        <v>11</v>
      </c>
      <c r="U20">
        <v>1</v>
      </c>
      <c r="V20">
        <v>43</v>
      </c>
      <c r="W20">
        <v>29</v>
      </c>
      <c r="X20">
        <v>0</v>
      </c>
      <c r="Y20">
        <v>15</v>
      </c>
      <c r="Z20">
        <v>2</v>
      </c>
      <c r="AA20" t="s">
        <v>2705</v>
      </c>
      <c r="AB20" s="24">
        <v>0.76874999999999993</v>
      </c>
      <c r="AC20" s="24">
        <v>0.63611111111111118</v>
      </c>
      <c r="AD20" s="24">
        <v>0.13125000000000001</v>
      </c>
      <c r="AE20" s="24">
        <v>6.9444444444444447E-4</v>
      </c>
      <c r="AF20" t="s">
        <v>2706</v>
      </c>
      <c r="AG20" t="s">
        <v>2707</v>
      </c>
      <c r="AH20" t="s">
        <v>2708</v>
      </c>
      <c r="AI20" t="s">
        <v>2709</v>
      </c>
      <c r="AJ20" t="s">
        <v>2710</v>
      </c>
      <c r="AK20" t="s">
        <v>2711</v>
      </c>
      <c r="AL20" t="s">
        <v>2712</v>
      </c>
      <c r="AM20" t="s">
        <v>2713</v>
      </c>
      <c r="AN20" t="s">
        <v>2714</v>
      </c>
      <c r="AO20" t="s">
        <v>2673</v>
      </c>
      <c r="AP20" t="s">
        <v>2715</v>
      </c>
      <c r="AQ20" t="s">
        <v>2716</v>
      </c>
      <c r="AR20">
        <v>301</v>
      </c>
      <c r="AS20" t="s">
        <v>2717</v>
      </c>
      <c r="AT20">
        <v>60</v>
      </c>
      <c r="AU20">
        <v>26</v>
      </c>
      <c r="AV20">
        <v>402</v>
      </c>
      <c r="AW20">
        <v>385</v>
      </c>
      <c r="AX20" t="s">
        <v>2718</v>
      </c>
    </row>
    <row r="21" spans="1:50" x14ac:dyDescent="0.25">
      <c r="A21">
        <v>16</v>
      </c>
      <c r="B21" t="s">
        <v>3158</v>
      </c>
      <c r="C21" t="s">
        <v>91</v>
      </c>
      <c r="D21">
        <v>26</v>
      </c>
      <c r="E21" t="s">
        <v>1719</v>
      </c>
      <c r="F21">
        <v>79</v>
      </c>
      <c r="G21">
        <v>16</v>
      </c>
      <c r="H21">
        <v>56</v>
      </c>
      <c r="I21">
        <v>72</v>
      </c>
      <c r="J21">
        <v>47</v>
      </c>
      <c r="K21">
        <v>3</v>
      </c>
      <c r="L21">
        <v>12</v>
      </c>
      <c r="M21">
        <v>4</v>
      </c>
      <c r="N21">
        <v>0</v>
      </c>
      <c r="O21">
        <v>5</v>
      </c>
      <c r="P21">
        <v>2</v>
      </c>
      <c r="Q21">
        <v>27</v>
      </c>
      <c r="R21">
        <v>29</v>
      </c>
      <c r="S21">
        <v>0</v>
      </c>
      <c r="T21">
        <v>11</v>
      </c>
      <c r="U21">
        <v>1</v>
      </c>
      <c r="V21">
        <v>39</v>
      </c>
      <c r="W21">
        <v>33</v>
      </c>
      <c r="X21">
        <v>0</v>
      </c>
      <c r="Y21">
        <v>16</v>
      </c>
      <c r="Z21">
        <v>3</v>
      </c>
      <c r="AA21" t="s">
        <v>2719</v>
      </c>
      <c r="AB21" s="25">
        <v>1.0201388888888889</v>
      </c>
      <c r="AC21" s="24">
        <v>0.80972222222222223</v>
      </c>
      <c r="AD21" s="24">
        <v>0.125</v>
      </c>
      <c r="AE21" s="24">
        <v>8.5416666666666655E-2</v>
      </c>
      <c r="AF21" t="s">
        <v>2720</v>
      </c>
      <c r="AG21" t="s">
        <v>2721</v>
      </c>
      <c r="AH21" t="s">
        <v>2678</v>
      </c>
      <c r="AI21" t="s">
        <v>2722</v>
      </c>
      <c r="AJ21" t="s">
        <v>2723</v>
      </c>
      <c r="AK21" t="s">
        <v>2724</v>
      </c>
      <c r="AL21" t="s">
        <v>2725</v>
      </c>
      <c r="AM21" t="s">
        <v>2726</v>
      </c>
      <c r="AN21" t="s">
        <v>2727</v>
      </c>
      <c r="AO21" t="s">
        <v>2686</v>
      </c>
      <c r="AP21" t="s">
        <v>2728</v>
      </c>
      <c r="AQ21" t="s">
        <v>2729</v>
      </c>
      <c r="AR21">
        <v>166</v>
      </c>
      <c r="AS21" t="s">
        <v>2730</v>
      </c>
      <c r="AT21">
        <v>93</v>
      </c>
      <c r="AU21">
        <v>132</v>
      </c>
      <c r="AV21">
        <v>0</v>
      </c>
      <c r="AW21">
        <v>0</v>
      </c>
      <c r="AX21" t="s">
        <v>2579</v>
      </c>
    </row>
    <row r="22" spans="1:50" x14ac:dyDescent="0.25">
      <c r="A22">
        <v>17</v>
      </c>
      <c r="B22" t="s">
        <v>3158</v>
      </c>
      <c r="C22" t="s">
        <v>8</v>
      </c>
      <c r="D22">
        <v>26</v>
      </c>
      <c r="E22" t="s">
        <v>1719</v>
      </c>
      <c r="F22">
        <v>77</v>
      </c>
      <c r="G22">
        <v>17</v>
      </c>
      <c r="H22">
        <v>54</v>
      </c>
      <c r="I22">
        <v>71</v>
      </c>
      <c r="J22">
        <v>28</v>
      </c>
      <c r="K22">
        <v>10</v>
      </c>
      <c r="L22">
        <v>13</v>
      </c>
      <c r="M22">
        <v>4</v>
      </c>
      <c r="N22">
        <v>0</v>
      </c>
      <c r="O22">
        <v>5</v>
      </c>
      <c r="P22">
        <v>1</v>
      </c>
      <c r="Q22">
        <v>29</v>
      </c>
      <c r="R22">
        <v>23</v>
      </c>
      <c r="S22">
        <v>2</v>
      </c>
      <c r="T22">
        <v>13</v>
      </c>
      <c r="U22">
        <v>2</v>
      </c>
      <c r="V22">
        <v>42</v>
      </c>
      <c r="W22">
        <v>27</v>
      </c>
      <c r="X22">
        <v>2</v>
      </c>
      <c r="Y22">
        <v>18</v>
      </c>
      <c r="Z22">
        <v>3</v>
      </c>
      <c r="AA22" t="s">
        <v>2731</v>
      </c>
      <c r="AB22" s="25">
        <v>1.1180555555555556</v>
      </c>
      <c r="AC22" s="24">
        <v>0.875</v>
      </c>
      <c r="AD22" s="24">
        <v>0.15347222222222223</v>
      </c>
      <c r="AE22" s="24">
        <v>8.9583333333333334E-2</v>
      </c>
      <c r="AF22" t="s">
        <v>2732</v>
      </c>
      <c r="AG22" t="s">
        <v>2733</v>
      </c>
      <c r="AH22" t="s">
        <v>2734</v>
      </c>
      <c r="AI22" t="s">
        <v>2735</v>
      </c>
      <c r="AJ22" t="s">
        <v>2736</v>
      </c>
      <c r="AK22" t="s">
        <v>2737</v>
      </c>
      <c r="AL22" t="s">
        <v>2738</v>
      </c>
      <c r="AM22" t="s">
        <v>2739</v>
      </c>
      <c r="AN22" t="s">
        <v>2740</v>
      </c>
      <c r="AO22" t="s">
        <v>2741</v>
      </c>
      <c r="AP22" t="s">
        <v>2742</v>
      </c>
      <c r="AQ22" t="s">
        <v>2743</v>
      </c>
      <c r="AR22">
        <v>218</v>
      </c>
      <c r="AS22" t="s">
        <v>2744</v>
      </c>
      <c r="AT22">
        <v>67</v>
      </c>
      <c r="AU22">
        <v>201</v>
      </c>
      <c r="AV22">
        <v>0</v>
      </c>
      <c r="AW22">
        <v>0</v>
      </c>
      <c r="AX22" t="s">
        <v>2579</v>
      </c>
    </row>
    <row r="23" spans="1:50" x14ac:dyDescent="0.25">
      <c r="A23">
        <v>18</v>
      </c>
      <c r="B23" t="s">
        <v>3161</v>
      </c>
      <c r="C23" t="s">
        <v>463</v>
      </c>
      <c r="D23">
        <v>20</v>
      </c>
      <c r="E23" t="s">
        <v>2504</v>
      </c>
      <c r="F23">
        <v>75</v>
      </c>
      <c r="G23">
        <v>34</v>
      </c>
      <c r="H23">
        <v>36</v>
      </c>
      <c r="I23">
        <v>70</v>
      </c>
      <c r="J23">
        <v>34</v>
      </c>
      <c r="K23">
        <v>11</v>
      </c>
      <c r="L23">
        <v>24</v>
      </c>
      <c r="M23">
        <v>10</v>
      </c>
      <c r="N23">
        <v>0</v>
      </c>
      <c r="O23">
        <v>6</v>
      </c>
      <c r="P23">
        <v>2</v>
      </c>
      <c r="Q23">
        <v>22</v>
      </c>
      <c r="R23">
        <v>14</v>
      </c>
      <c r="S23">
        <v>0</v>
      </c>
      <c r="T23">
        <v>7</v>
      </c>
      <c r="U23">
        <v>0</v>
      </c>
      <c r="V23">
        <v>46</v>
      </c>
      <c r="W23">
        <v>24</v>
      </c>
      <c r="X23">
        <v>0</v>
      </c>
      <c r="Y23">
        <v>13</v>
      </c>
      <c r="Z23">
        <v>2</v>
      </c>
      <c r="AA23" t="s">
        <v>2745</v>
      </c>
      <c r="AB23" s="24">
        <v>0.74930555555555556</v>
      </c>
      <c r="AC23" s="24">
        <v>0.63611111111111118</v>
      </c>
      <c r="AD23" s="24">
        <v>0.10902777777777778</v>
      </c>
      <c r="AE23" s="24">
        <v>0</v>
      </c>
      <c r="AF23" t="s">
        <v>2746</v>
      </c>
      <c r="AG23" t="s">
        <v>2747</v>
      </c>
      <c r="AH23" t="s">
        <v>2748</v>
      </c>
      <c r="AI23" t="s">
        <v>2749</v>
      </c>
      <c r="AJ23" t="s">
        <v>2750</v>
      </c>
      <c r="AK23" t="s">
        <v>2751</v>
      </c>
      <c r="AL23" t="s">
        <v>2752</v>
      </c>
      <c r="AM23" t="s">
        <v>2753</v>
      </c>
      <c r="AN23" t="s">
        <v>2754</v>
      </c>
      <c r="AO23" t="s">
        <v>2755</v>
      </c>
      <c r="AP23" t="s">
        <v>2756</v>
      </c>
      <c r="AQ23" t="s">
        <v>2757</v>
      </c>
      <c r="AR23">
        <v>262</v>
      </c>
      <c r="AS23" t="s">
        <v>2758</v>
      </c>
      <c r="AT23">
        <v>72</v>
      </c>
      <c r="AU23">
        <v>32</v>
      </c>
      <c r="AV23">
        <v>2</v>
      </c>
      <c r="AW23">
        <v>1</v>
      </c>
      <c r="AX23" t="s">
        <v>2759</v>
      </c>
    </row>
    <row r="24" spans="1:50" x14ac:dyDescent="0.25">
      <c r="A24">
        <v>19</v>
      </c>
      <c r="B24" t="s">
        <v>3157</v>
      </c>
      <c r="C24" t="s">
        <v>46</v>
      </c>
      <c r="D24">
        <v>29</v>
      </c>
      <c r="E24" t="s">
        <v>2504</v>
      </c>
      <c r="F24">
        <v>82</v>
      </c>
      <c r="G24">
        <v>23</v>
      </c>
      <c r="H24">
        <v>47</v>
      </c>
      <c r="I24">
        <v>70</v>
      </c>
      <c r="J24">
        <v>20</v>
      </c>
      <c r="K24">
        <v>3</v>
      </c>
      <c r="L24">
        <v>15</v>
      </c>
      <c r="M24">
        <v>8</v>
      </c>
      <c r="N24">
        <v>0</v>
      </c>
      <c r="O24">
        <v>4</v>
      </c>
      <c r="P24">
        <v>1</v>
      </c>
      <c r="Q24">
        <v>25</v>
      </c>
      <c r="R24">
        <v>22</v>
      </c>
      <c r="S24">
        <v>0</v>
      </c>
      <c r="T24">
        <v>11</v>
      </c>
      <c r="U24">
        <v>2</v>
      </c>
      <c r="V24">
        <v>40</v>
      </c>
      <c r="W24">
        <v>30</v>
      </c>
      <c r="X24">
        <v>0</v>
      </c>
      <c r="Y24">
        <v>15</v>
      </c>
      <c r="Z24">
        <v>3</v>
      </c>
      <c r="AA24" t="s">
        <v>2760</v>
      </c>
      <c r="AB24" s="24">
        <v>0.74652777777777779</v>
      </c>
      <c r="AC24" s="24">
        <v>0.59791666666666665</v>
      </c>
      <c r="AD24" s="24">
        <v>0.14722222222222223</v>
      </c>
      <c r="AE24" s="24">
        <v>6.9444444444444447E-4</v>
      </c>
      <c r="AF24" t="s">
        <v>2618</v>
      </c>
      <c r="AG24" t="s">
        <v>2761</v>
      </c>
      <c r="AH24" t="s">
        <v>2762</v>
      </c>
      <c r="AI24" t="s">
        <v>2763</v>
      </c>
      <c r="AJ24" t="s">
        <v>2764</v>
      </c>
      <c r="AK24" t="s">
        <v>2765</v>
      </c>
      <c r="AL24" t="s">
        <v>2766</v>
      </c>
      <c r="AM24" t="s">
        <v>2767</v>
      </c>
      <c r="AN24" t="s">
        <v>2768</v>
      </c>
      <c r="AO24" t="s">
        <v>2561</v>
      </c>
      <c r="AP24" t="s">
        <v>2631</v>
      </c>
      <c r="AQ24" t="s">
        <v>2516</v>
      </c>
      <c r="AR24">
        <v>229</v>
      </c>
      <c r="AS24" t="s">
        <v>2674</v>
      </c>
      <c r="AT24">
        <v>12</v>
      </c>
      <c r="AU24">
        <v>15</v>
      </c>
      <c r="AV24">
        <v>5</v>
      </c>
      <c r="AW24">
        <v>10</v>
      </c>
      <c r="AX24" t="s">
        <v>2769</v>
      </c>
    </row>
    <row r="25" spans="1:50" x14ac:dyDescent="0.25">
      <c r="A25">
        <v>20</v>
      </c>
      <c r="B25" t="s">
        <v>3157</v>
      </c>
      <c r="C25" t="s">
        <v>30</v>
      </c>
      <c r="D25">
        <v>19</v>
      </c>
      <c r="E25" t="s">
        <v>2504</v>
      </c>
      <c r="F25">
        <v>82</v>
      </c>
      <c r="G25">
        <v>40</v>
      </c>
      <c r="H25">
        <v>29</v>
      </c>
      <c r="I25">
        <v>69</v>
      </c>
      <c r="J25">
        <v>14</v>
      </c>
      <c r="K25">
        <v>2</v>
      </c>
      <c r="L25">
        <v>32</v>
      </c>
      <c r="M25">
        <v>8</v>
      </c>
      <c r="N25">
        <v>0</v>
      </c>
      <c r="O25">
        <v>8</v>
      </c>
      <c r="P25">
        <v>1</v>
      </c>
      <c r="Q25">
        <v>16</v>
      </c>
      <c r="R25">
        <v>13</v>
      </c>
      <c r="S25">
        <v>0</v>
      </c>
      <c r="T25">
        <v>5</v>
      </c>
      <c r="U25">
        <v>2</v>
      </c>
      <c r="V25">
        <v>48</v>
      </c>
      <c r="W25">
        <v>21</v>
      </c>
      <c r="X25">
        <v>0</v>
      </c>
      <c r="Y25">
        <v>13</v>
      </c>
      <c r="Z25">
        <v>3</v>
      </c>
      <c r="AA25" t="s">
        <v>2770</v>
      </c>
      <c r="AB25" s="24">
        <v>0.73402777777777783</v>
      </c>
      <c r="AC25" s="24">
        <v>0.62847222222222221</v>
      </c>
      <c r="AD25" s="24">
        <v>0.10277777777777779</v>
      </c>
      <c r="AE25" s="24">
        <v>1.3888888888888889E-3</v>
      </c>
      <c r="AF25" t="s">
        <v>2771</v>
      </c>
      <c r="AG25" t="s">
        <v>2772</v>
      </c>
      <c r="AH25" t="s">
        <v>2773</v>
      </c>
      <c r="AI25" t="s">
        <v>2774</v>
      </c>
      <c r="AJ25" t="s">
        <v>2775</v>
      </c>
      <c r="AK25" t="s">
        <v>2776</v>
      </c>
      <c r="AL25" t="s">
        <v>2777</v>
      </c>
      <c r="AM25" t="s">
        <v>2778</v>
      </c>
      <c r="AN25" t="s">
        <v>2779</v>
      </c>
      <c r="AO25" t="s">
        <v>2589</v>
      </c>
      <c r="AP25" t="s">
        <v>2616</v>
      </c>
      <c r="AQ25" t="s">
        <v>2780</v>
      </c>
      <c r="AR25">
        <v>279</v>
      </c>
      <c r="AS25" t="s">
        <v>2781</v>
      </c>
      <c r="AT25">
        <v>21</v>
      </c>
      <c r="AU25">
        <v>61</v>
      </c>
      <c r="AV25">
        <v>530</v>
      </c>
      <c r="AW25">
        <v>602</v>
      </c>
      <c r="AX25" t="s">
        <v>2782</v>
      </c>
    </row>
    <row r="26" spans="1:50" x14ac:dyDescent="0.25">
      <c r="A26">
        <v>21</v>
      </c>
      <c r="B26" t="s">
        <v>3159</v>
      </c>
      <c r="C26" t="s">
        <v>1925</v>
      </c>
      <c r="D26">
        <v>31</v>
      </c>
      <c r="E26" t="s">
        <v>2504</v>
      </c>
      <c r="F26">
        <v>82</v>
      </c>
      <c r="G26">
        <v>33</v>
      </c>
      <c r="H26">
        <v>36</v>
      </c>
      <c r="I26">
        <v>69</v>
      </c>
      <c r="J26">
        <v>50</v>
      </c>
      <c r="K26">
        <v>6</v>
      </c>
      <c r="L26">
        <v>16</v>
      </c>
      <c r="M26">
        <v>17</v>
      </c>
      <c r="N26">
        <v>0</v>
      </c>
      <c r="O26">
        <v>7</v>
      </c>
      <c r="P26">
        <v>2</v>
      </c>
      <c r="Q26">
        <v>27</v>
      </c>
      <c r="R26">
        <v>9</v>
      </c>
      <c r="S26">
        <v>0</v>
      </c>
      <c r="T26">
        <v>7</v>
      </c>
      <c r="U26">
        <v>1</v>
      </c>
      <c r="V26">
        <v>43</v>
      </c>
      <c r="W26">
        <v>26</v>
      </c>
      <c r="X26">
        <v>0</v>
      </c>
      <c r="Y26">
        <v>14</v>
      </c>
      <c r="Z26">
        <v>3</v>
      </c>
      <c r="AA26" t="s">
        <v>2783</v>
      </c>
      <c r="AB26" s="24">
        <v>0.76458333333333339</v>
      </c>
      <c r="AC26" s="24">
        <v>0.60833333333333328</v>
      </c>
      <c r="AD26" s="24">
        <v>0.15486111111111112</v>
      </c>
      <c r="AE26" s="24">
        <v>6.9444444444444447E-4</v>
      </c>
      <c r="AF26" t="s">
        <v>2784</v>
      </c>
      <c r="AG26" t="s">
        <v>2668</v>
      </c>
      <c r="AH26" t="s">
        <v>2785</v>
      </c>
      <c r="AI26" t="s">
        <v>2786</v>
      </c>
      <c r="AJ26" t="s">
        <v>2787</v>
      </c>
      <c r="AK26" t="s">
        <v>2788</v>
      </c>
      <c r="AL26" t="s">
        <v>2789</v>
      </c>
      <c r="AM26" t="s">
        <v>2790</v>
      </c>
      <c r="AN26" t="s">
        <v>2791</v>
      </c>
      <c r="AO26" t="s">
        <v>2792</v>
      </c>
      <c r="AP26" t="s">
        <v>2644</v>
      </c>
      <c r="AQ26" t="s">
        <v>2780</v>
      </c>
      <c r="AR26">
        <v>313</v>
      </c>
      <c r="AS26" t="s">
        <v>2793</v>
      </c>
      <c r="AT26">
        <v>216</v>
      </c>
      <c r="AU26">
        <v>29</v>
      </c>
      <c r="AV26">
        <v>0</v>
      </c>
      <c r="AW26">
        <v>1</v>
      </c>
      <c r="AX26" t="s">
        <v>2579</v>
      </c>
    </row>
    <row r="27" spans="1:50" x14ac:dyDescent="0.25">
      <c r="A27">
        <v>22</v>
      </c>
      <c r="B27" t="s">
        <v>3162</v>
      </c>
      <c r="C27" t="s">
        <v>1734</v>
      </c>
      <c r="D27">
        <v>24</v>
      </c>
      <c r="E27" t="s">
        <v>2504</v>
      </c>
      <c r="F27">
        <v>81</v>
      </c>
      <c r="G27">
        <v>26</v>
      </c>
      <c r="H27">
        <v>43</v>
      </c>
      <c r="I27">
        <v>69</v>
      </c>
      <c r="J27">
        <v>12</v>
      </c>
      <c r="K27">
        <v>23</v>
      </c>
      <c r="L27">
        <v>16</v>
      </c>
      <c r="M27">
        <v>7</v>
      </c>
      <c r="N27">
        <v>3</v>
      </c>
      <c r="O27">
        <v>4</v>
      </c>
      <c r="P27">
        <v>1</v>
      </c>
      <c r="Q27">
        <v>29</v>
      </c>
      <c r="R27">
        <v>13</v>
      </c>
      <c r="S27">
        <v>1</v>
      </c>
      <c r="T27">
        <v>9</v>
      </c>
      <c r="U27">
        <v>1</v>
      </c>
      <c r="V27">
        <v>45</v>
      </c>
      <c r="W27">
        <v>20</v>
      </c>
      <c r="X27">
        <v>4</v>
      </c>
      <c r="Y27">
        <v>13</v>
      </c>
      <c r="Z27">
        <v>2</v>
      </c>
      <c r="AA27" t="s">
        <v>2794</v>
      </c>
      <c r="AB27" s="24">
        <v>0.78402777777777777</v>
      </c>
      <c r="AC27" s="24">
        <v>0.62916666666666665</v>
      </c>
      <c r="AD27" s="24">
        <v>9.0972222222222218E-2</v>
      </c>
      <c r="AE27" s="24">
        <v>6.25E-2</v>
      </c>
      <c r="AF27" t="s">
        <v>2795</v>
      </c>
      <c r="AG27" t="s">
        <v>2796</v>
      </c>
      <c r="AH27" t="s">
        <v>2797</v>
      </c>
      <c r="AI27" t="s">
        <v>2687</v>
      </c>
      <c r="AJ27" t="s">
        <v>2798</v>
      </c>
      <c r="AK27" t="s">
        <v>2799</v>
      </c>
      <c r="AL27" t="s">
        <v>2800</v>
      </c>
      <c r="AM27" t="s">
        <v>2801</v>
      </c>
      <c r="AN27" t="s">
        <v>2802</v>
      </c>
      <c r="AO27" t="s">
        <v>2803</v>
      </c>
      <c r="AP27" t="s">
        <v>2804</v>
      </c>
      <c r="AQ27" t="s">
        <v>2805</v>
      </c>
      <c r="AR27">
        <v>177</v>
      </c>
      <c r="AS27" t="s">
        <v>2661</v>
      </c>
      <c r="AT27">
        <v>50</v>
      </c>
      <c r="AU27">
        <v>50</v>
      </c>
      <c r="AV27">
        <v>16</v>
      </c>
      <c r="AW27">
        <v>17</v>
      </c>
      <c r="AX27" t="s">
        <v>2806</v>
      </c>
    </row>
    <row r="28" spans="1:50" x14ac:dyDescent="0.25">
      <c r="A28">
        <v>23</v>
      </c>
      <c r="B28" t="s">
        <v>3156</v>
      </c>
      <c r="C28" t="s">
        <v>0</v>
      </c>
      <c r="D28">
        <v>27</v>
      </c>
      <c r="E28" t="s">
        <v>2504</v>
      </c>
      <c r="F28">
        <v>77</v>
      </c>
      <c r="G28">
        <v>26</v>
      </c>
      <c r="H28">
        <v>43</v>
      </c>
      <c r="I28">
        <v>69</v>
      </c>
      <c r="J28">
        <v>66</v>
      </c>
      <c r="K28">
        <v>-9</v>
      </c>
      <c r="L28">
        <v>13</v>
      </c>
      <c r="M28">
        <v>12</v>
      </c>
      <c r="N28">
        <v>1</v>
      </c>
      <c r="O28">
        <v>4</v>
      </c>
      <c r="P28">
        <v>2</v>
      </c>
      <c r="Q28">
        <v>29</v>
      </c>
      <c r="R28">
        <v>14</v>
      </c>
      <c r="S28">
        <v>0</v>
      </c>
      <c r="T28">
        <v>8</v>
      </c>
      <c r="U28">
        <v>2</v>
      </c>
      <c r="V28">
        <v>42</v>
      </c>
      <c r="W28">
        <v>26</v>
      </c>
      <c r="X28">
        <v>1</v>
      </c>
      <c r="Y28">
        <v>12</v>
      </c>
      <c r="Z28">
        <v>4</v>
      </c>
      <c r="AA28" t="s">
        <v>2783</v>
      </c>
      <c r="AB28" s="24">
        <v>0.80763888888888891</v>
      </c>
      <c r="AC28" s="24">
        <v>0.61736111111111114</v>
      </c>
      <c r="AD28" s="24">
        <v>0.12847222222222224</v>
      </c>
      <c r="AE28" s="24">
        <v>6.0416666666666667E-2</v>
      </c>
      <c r="AF28" t="s">
        <v>2807</v>
      </c>
      <c r="AG28" t="s">
        <v>2808</v>
      </c>
      <c r="AH28" t="s">
        <v>2809</v>
      </c>
      <c r="AI28" t="s">
        <v>2810</v>
      </c>
      <c r="AJ28" t="s">
        <v>2724</v>
      </c>
      <c r="AK28" t="s">
        <v>2640</v>
      </c>
      <c r="AL28" t="s">
        <v>2811</v>
      </c>
      <c r="AM28" t="s">
        <v>2812</v>
      </c>
      <c r="AN28" t="s">
        <v>2813</v>
      </c>
      <c r="AO28" t="s">
        <v>2814</v>
      </c>
      <c r="AP28" t="s">
        <v>2815</v>
      </c>
      <c r="AQ28" t="s">
        <v>2816</v>
      </c>
      <c r="AR28">
        <v>201</v>
      </c>
      <c r="AS28" t="s">
        <v>2817</v>
      </c>
      <c r="AT28">
        <v>90</v>
      </c>
      <c r="AU28">
        <v>47</v>
      </c>
      <c r="AV28">
        <v>212</v>
      </c>
      <c r="AW28">
        <v>200</v>
      </c>
      <c r="AX28" t="s">
        <v>2818</v>
      </c>
    </row>
    <row r="29" spans="1:50" x14ac:dyDescent="0.25">
      <c r="A29">
        <v>24</v>
      </c>
      <c r="B29" t="s">
        <v>3157</v>
      </c>
      <c r="C29" t="s">
        <v>5</v>
      </c>
      <c r="D29">
        <v>32</v>
      </c>
      <c r="E29" t="s">
        <v>2504</v>
      </c>
      <c r="F29">
        <v>81</v>
      </c>
      <c r="G29">
        <v>29</v>
      </c>
      <c r="H29">
        <v>39</v>
      </c>
      <c r="I29">
        <v>68</v>
      </c>
      <c r="J29">
        <v>34</v>
      </c>
      <c r="K29">
        <v>11</v>
      </c>
      <c r="L29">
        <v>21</v>
      </c>
      <c r="M29">
        <v>7</v>
      </c>
      <c r="N29">
        <v>1</v>
      </c>
      <c r="O29">
        <v>7</v>
      </c>
      <c r="P29">
        <v>0</v>
      </c>
      <c r="Q29">
        <v>24</v>
      </c>
      <c r="R29">
        <v>15</v>
      </c>
      <c r="S29">
        <v>0</v>
      </c>
      <c r="T29">
        <v>9</v>
      </c>
      <c r="U29">
        <v>4</v>
      </c>
      <c r="V29">
        <v>45</v>
      </c>
      <c r="W29">
        <v>22</v>
      </c>
      <c r="X29">
        <v>1</v>
      </c>
      <c r="Y29">
        <v>16</v>
      </c>
      <c r="Z29">
        <v>4</v>
      </c>
      <c r="AA29" t="s">
        <v>2819</v>
      </c>
      <c r="AB29" s="24">
        <v>0.79722222222222217</v>
      </c>
      <c r="AC29" s="24">
        <v>0.64027777777777783</v>
      </c>
      <c r="AD29" s="24">
        <v>0.13749999999999998</v>
      </c>
      <c r="AE29" s="24">
        <v>1.1805555555555555E-2</v>
      </c>
      <c r="AF29" t="s">
        <v>2820</v>
      </c>
      <c r="AG29" t="s">
        <v>2821</v>
      </c>
      <c r="AH29" t="s">
        <v>2822</v>
      </c>
      <c r="AI29" t="s">
        <v>2823</v>
      </c>
      <c r="AJ29" t="s">
        <v>2824</v>
      </c>
      <c r="AK29" t="s">
        <v>2825</v>
      </c>
      <c r="AL29" t="s">
        <v>2826</v>
      </c>
      <c r="AM29" t="s">
        <v>2827</v>
      </c>
      <c r="AN29" t="s">
        <v>2828</v>
      </c>
      <c r="AO29" t="s">
        <v>2829</v>
      </c>
      <c r="AP29" t="s">
        <v>2830</v>
      </c>
      <c r="AQ29" t="s">
        <v>2831</v>
      </c>
      <c r="AR29">
        <v>233</v>
      </c>
      <c r="AS29" t="s">
        <v>2832</v>
      </c>
      <c r="AT29">
        <v>130</v>
      </c>
      <c r="AU29">
        <v>73</v>
      </c>
      <c r="AV29">
        <v>449</v>
      </c>
      <c r="AW29">
        <v>407</v>
      </c>
      <c r="AX29" t="s">
        <v>2833</v>
      </c>
    </row>
    <row r="30" spans="1:50" x14ac:dyDescent="0.25">
      <c r="A30">
        <v>25</v>
      </c>
      <c r="B30" t="s">
        <v>3158</v>
      </c>
      <c r="C30" t="s">
        <v>111</v>
      </c>
      <c r="D30">
        <v>36</v>
      </c>
      <c r="E30" t="s">
        <v>2504</v>
      </c>
      <c r="F30">
        <v>82</v>
      </c>
      <c r="G30">
        <v>17</v>
      </c>
      <c r="H30">
        <v>51</v>
      </c>
      <c r="I30">
        <v>68</v>
      </c>
      <c r="J30">
        <v>22</v>
      </c>
      <c r="K30">
        <v>15</v>
      </c>
      <c r="L30">
        <v>15</v>
      </c>
      <c r="M30">
        <v>2</v>
      </c>
      <c r="N30">
        <v>0</v>
      </c>
      <c r="O30">
        <v>0</v>
      </c>
      <c r="P30">
        <v>0</v>
      </c>
      <c r="Q30">
        <v>40</v>
      </c>
      <c r="R30">
        <v>11</v>
      </c>
      <c r="S30">
        <v>0</v>
      </c>
      <c r="T30">
        <v>11</v>
      </c>
      <c r="U30">
        <v>2</v>
      </c>
      <c r="V30">
        <v>55</v>
      </c>
      <c r="W30">
        <v>13</v>
      </c>
      <c r="X30">
        <v>0</v>
      </c>
      <c r="Y30">
        <v>11</v>
      </c>
      <c r="Z30">
        <v>2</v>
      </c>
      <c r="AA30" t="s">
        <v>2834</v>
      </c>
      <c r="AB30" s="24">
        <v>0.8208333333333333</v>
      </c>
      <c r="AC30" s="24">
        <v>0.69513888888888886</v>
      </c>
      <c r="AD30" s="24">
        <v>0.12291666666666667</v>
      </c>
      <c r="AE30" s="24">
        <v>2.0833333333333333E-3</v>
      </c>
      <c r="AF30" t="s">
        <v>2835</v>
      </c>
      <c r="AG30" t="s">
        <v>2836</v>
      </c>
      <c r="AH30" t="s">
        <v>2837</v>
      </c>
      <c r="AI30" t="s">
        <v>2838</v>
      </c>
      <c r="AJ30" t="s">
        <v>2839</v>
      </c>
      <c r="AK30" t="s">
        <v>2840</v>
      </c>
      <c r="AL30" t="s">
        <v>2841</v>
      </c>
      <c r="AM30" t="s">
        <v>2842</v>
      </c>
      <c r="AN30" t="s">
        <v>2843</v>
      </c>
      <c r="AO30" t="s">
        <v>2844</v>
      </c>
      <c r="AP30" t="s">
        <v>2845</v>
      </c>
      <c r="AQ30" t="s">
        <v>2846</v>
      </c>
      <c r="AR30">
        <v>195</v>
      </c>
      <c r="AS30" t="s">
        <v>2847</v>
      </c>
      <c r="AT30">
        <v>58</v>
      </c>
      <c r="AU30">
        <v>30</v>
      </c>
      <c r="AV30">
        <v>705</v>
      </c>
      <c r="AW30">
        <v>657</v>
      </c>
      <c r="AX30" t="s">
        <v>2848</v>
      </c>
    </row>
    <row r="31" spans="1:50" x14ac:dyDescent="0.25">
      <c r="A31">
        <v>26</v>
      </c>
      <c r="B31" t="s">
        <v>3157</v>
      </c>
      <c r="C31" t="s">
        <v>29</v>
      </c>
      <c r="D31">
        <v>28</v>
      </c>
      <c r="E31" t="s">
        <v>2504</v>
      </c>
      <c r="F31">
        <v>81</v>
      </c>
      <c r="G31">
        <v>35</v>
      </c>
      <c r="H31">
        <v>32</v>
      </c>
      <c r="I31">
        <v>67</v>
      </c>
      <c r="J31">
        <v>38</v>
      </c>
      <c r="K31">
        <v>15</v>
      </c>
      <c r="L31">
        <v>26</v>
      </c>
      <c r="M31">
        <v>8</v>
      </c>
      <c r="N31">
        <v>1</v>
      </c>
      <c r="O31">
        <v>7</v>
      </c>
      <c r="P31">
        <v>2</v>
      </c>
      <c r="Q31">
        <v>26</v>
      </c>
      <c r="R31">
        <v>5</v>
      </c>
      <c r="S31">
        <v>1</v>
      </c>
      <c r="T31">
        <v>10</v>
      </c>
      <c r="U31">
        <v>4</v>
      </c>
      <c r="V31">
        <v>52</v>
      </c>
      <c r="W31">
        <v>13</v>
      </c>
      <c r="X31">
        <v>2</v>
      </c>
      <c r="Y31">
        <v>17</v>
      </c>
      <c r="Z31">
        <v>6</v>
      </c>
      <c r="AA31" t="s">
        <v>2849</v>
      </c>
      <c r="AB31" s="24">
        <v>0.79791666666666661</v>
      </c>
      <c r="AC31" s="24">
        <v>0.64444444444444449</v>
      </c>
      <c r="AD31" s="24">
        <v>0.1125</v>
      </c>
      <c r="AE31" s="24">
        <v>4.0972222222222222E-2</v>
      </c>
      <c r="AF31" t="s">
        <v>2850</v>
      </c>
      <c r="AG31" t="s">
        <v>2851</v>
      </c>
      <c r="AH31" t="s">
        <v>2852</v>
      </c>
      <c r="AI31" t="s">
        <v>2853</v>
      </c>
      <c r="AJ31" t="s">
        <v>2853</v>
      </c>
      <c r="AK31" t="s">
        <v>2854</v>
      </c>
      <c r="AL31" t="s">
        <v>2855</v>
      </c>
      <c r="AM31" t="s">
        <v>2856</v>
      </c>
      <c r="AN31" t="s">
        <v>2857</v>
      </c>
      <c r="AO31" t="s">
        <v>2858</v>
      </c>
      <c r="AP31" t="s">
        <v>2859</v>
      </c>
      <c r="AQ31" t="s">
        <v>2860</v>
      </c>
      <c r="AR31">
        <v>268</v>
      </c>
      <c r="AS31" t="s">
        <v>2861</v>
      </c>
      <c r="AT31">
        <v>63</v>
      </c>
      <c r="AU31">
        <v>35</v>
      </c>
      <c r="AV31">
        <v>27</v>
      </c>
      <c r="AW31">
        <v>23</v>
      </c>
      <c r="AX31" t="s">
        <v>2862</v>
      </c>
    </row>
    <row r="32" spans="1:50" x14ac:dyDescent="0.25">
      <c r="A32">
        <v>27</v>
      </c>
      <c r="B32" t="s">
        <v>3156</v>
      </c>
      <c r="C32" t="s">
        <v>66</v>
      </c>
      <c r="D32">
        <v>31</v>
      </c>
      <c r="E32" t="s">
        <v>2504</v>
      </c>
      <c r="F32">
        <v>82</v>
      </c>
      <c r="G32">
        <v>32</v>
      </c>
      <c r="H32">
        <v>34</v>
      </c>
      <c r="I32">
        <v>66</v>
      </c>
      <c r="J32">
        <v>41</v>
      </c>
      <c r="K32">
        <v>2</v>
      </c>
      <c r="L32">
        <v>21</v>
      </c>
      <c r="M32">
        <v>10</v>
      </c>
      <c r="N32">
        <v>1</v>
      </c>
      <c r="O32">
        <v>9</v>
      </c>
      <c r="P32">
        <v>4</v>
      </c>
      <c r="Q32">
        <v>22</v>
      </c>
      <c r="R32">
        <v>12</v>
      </c>
      <c r="S32">
        <v>0</v>
      </c>
      <c r="T32">
        <v>6</v>
      </c>
      <c r="U32">
        <v>3</v>
      </c>
      <c r="V32">
        <v>43</v>
      </c>
      <c r="W32">
        <v>22</v>
      </c>
      <c r="X32">
        <v>1</v>
      </c>
      <c r="Y32">
        <v>15</v>
      </c>
      <c r="Z32">
        <v>7</v>
      </c>
      <c r="AA32" t="s">
        <v>2863</v>
      </c>
      <c r="AB32" s="24">
        <v>0.75069444444444444</v>
      </c>
      <c r="AC32" s="24">
        <v>0.56666666666666665</v>
      </c>
      <c r="AD32" s="24">
        <v>0.12083333333333333</v>
      </c>
      <c r="AE32" s="24">
        <v>6.25E-2</v>
      </c>
      <c r="AF32" t="s">
        <v>2864</v>
      </c>
      <c r="AG32" t="s">
        <v>2865</v>
      </c>
      <c r="AH32" t="s">
        <v>2866</v>
      </c>
      <c r="AI32" t="s">
        <v>2867</v>
      </c>
      <c r="AJ32" t="s">
        <v>2868</v>
      </c>
      <c r="AK32" t="s">
        <v>2869</v>
      </c>
      <c r="AL32" t="s">
        <v>2870</v>
      </c>
      <c r="AM32" t="s">
        <v>2596</v>
      </c>
      <c r="AN32" t="s">
        <v>2871</v>
      </c>
      <c r="AO32" t="s">
        <v>2872</v>
      </c>
      <c r="AP32" t="s">
        <v>2545</v>
      </c>
      <c r="AQ32" t="s">
        <v>2873</v>
      </c>
      <c r="AR32">
        <v>250</v>
      </c>
      <c r="AS32" t="s">
        <v>2874</v>
      </c>
      <c r="AT32">
        <v>86</v>
      </c>
      <c r="AU32">
        <v>37</v>
      </c>
      <c r="AV32">
        <v>735</v>
      </c>
      <c r="AW32">
        <v>680</v>
      </c>
      <c r="AX32" t="s">
        <v>2875</v>
      </c>
    </row>
    <row r="33" spans="1:50" x14ac:dyDescent="0.25">
      <c r="A33">
        <v>28</v>
      </c>
      <c r="B33" t="s">
        <v>3156</v>
      </c>
      <c r="C33" t="s">
        <v>6</v>
      </c>
      <c r="D33">
        <v>26</v>
      </c>
      <c r="E33" t="s">
        <v>2504</v>
      </c>
      <c r="F33">
        <v>77</v>
      </c>
      <c r="G33">
        <v>28</v>
      </c>
      <c r="H33">
        <v>38</v>
      </c>
      <c r="I33">
        <v>66</v>
      </c>
      <c r="J33">
        <v>38</v>
      </c>
      <c r="K33">
        <v>4</v>
      </c>
      <c r="L33">
        <v>20</v>
      </c>
      <c r="M33">
        <v>7</v>
      </c>
      <c r="N33">
        <v>1</v>
      </c>
      <c r="O33">
        <v>3</v>
      </c>
      <c r="P33">
        <v>1</v>
      </c>
      <c r="Q33">
        <v>26</v>
      </c>
      <c r="R33">
        <v>11</v>
      </c>
      <c r="S33">
        <v>1</v>
      </c>
      <c r="T33">
        <v>7</v>
      </c>
      <c r="U33">
        <v>1</v>
      </c>
      <c r="V33">
        <v>46</v>
      </c>
      <c r="W33">
        <v>18</v>
      </c>
      <c r="X33">
        <v>2</v>
      </c>
      <c r="Y33">
        <v>10</v>
      </c>
      <c r="Z33">
        <v>2</v>
      </c>
      <c r="AA33" t="s">
        <v>2876</v>
      </c>
      <c r="AB33" s="24">
        <v>0.85069444444444453</v>
      </c>
      <c r="AC33" s="24">
        <v>0.6791666666666667</v>
      </c>
      <c r="AD33" s="24">
        <v>0.13263888888888889</v>
      </c>
      <c r="AE33" s="24">
        <v>3.9583333333333331E-2</v>
      </c>
      <c r="AF33" t="s">
        <v>2877</v>
      </c>
      <c r="AG33" t="s">
        <v>2878</v>
      </c>
      <c r="AH33" t="s">
        <v>2879</v>
      </c>
      <c r="AI33" t="s">
        <v>2880</v>
      </c>
      <c r="AJ33" t="s">
        <v>2881</v>
      </c>
      <c r="AK33" t="s">
        <v>2882</v>
      </c>
      <c r="AL33" t="s">
        <v>2883</v>
      </c>
      <c r="AM33" t="s">
        <v>2884</v>
      </c>
      <c r="AN33" t="s">
        <v>2885</v>
      </c>
      <c r="AO33" t="s">
        <v>2886</v>
      </c>
      <c r="AP33" t="s">
        <v>2732</v>
      </c>
      <c r="AQ33" t="s">
        <v>2887</v>
      </c>
      <c r="AR33">
        <v>260</v>
      </c>
      <c r="AS33" t="s">
        <v>2888</v>
      </c>
      <c r="AT33">
        <v>42</v>
      </c>
      <c r="AU33">
        <v>20</v>
      </c>
      <c r="AV33">
        <v>824</v>
      </c>
      <c r="AW33">
        <v>804</v>
      </c>
      <c r="AX33" t="s">
        <v>2889</v>
      </c>
    </row>
    <row r="34" spans="1:50" x14ac:dyDescent="0.25">
      <c r="A34">
        <v>29</v>
      </c>
      <c r="B34" t="s">
        <v>3156</v>
      </c>
      <c r="C34" t="s">
        <v>118</v>
      </c>
      <c r="D34">
        <v>32</v>
      </c>
      <c r="E34" t="s">
        <v>2504</v>
      </c>
      <c r="F34">
        <v>82</v>
      </c>
      <c r="G34">
        <v>28</v>
      </c>
      <c r="H34">
        <v>37</v>
      </c>
      <c r="I34">
        <v>65</v>
      </c>
      <c r="J34">
        <v>34</v>
      </c>
      <c r="K34">
        <v>17</v>
      </c>
      <c r="L34">
        <v>23</v>
      </c>
      <c r="M34">
        <v>4</v>
      </c>
      <c r="N34">
        <v>1</v>
      </c>
      <c r="O34">
        <v>8</v>
      </c>
      <c r="P34">
        <v>0</v>
      </c>
      <c r="Q34">
        <v>24</v>
      </c>
      <c r="R34">
        <v>12</v>
      </c>
      <c r="S34">
        <v>1</v>
      </c>
      <c r="T34">
        <v>4</v>
      </c>
      <c r="U34">
        <v>0</v>
      </c>
      <c r="V34">
        <v>47</v>
      </c>
      <c r="W34">
        <v>16</v>
      </c>
      <c r="X34">
        <v>2</v>
      </c>
      <c r="Y34">
        <v>12</v>
      </c>
      <c r="Z34">
        <v>0</v>
      </c>
      <c r="AA34" t="s">
        <v>2890</v>
      </c>
      <c r="AB34" s="24">
        <v>0.77500000000000002</v>
      </c>
      <c r="AC34" s="24">
        <v>0.61875000000000002</v>
      </c>
      <c r="AD34" s="24">
        <v>9.8611111111111108E-2</v>
      </c>
      <c r="AE34" s="24">
        <v>5.6944444444444443E-2</v>
      </c>
      <c r="AF34" t="s">
        <v>2891</v>
      </c>
      <c r="AG34" t="s">
        <v>2892</v>
      </c>
      <c r="AH34" t="s">
        <v>2893</v>
      </c>
      <c r="AI34" t="s">
        <v>2894</v>
      </c>
      <c r="AJ34" t="s">
        <v>2594</v>
      </c>
      <c r="AK34" t="s">
        <v>2895</v>
      </c>
      <c r="AL34" t="s">
        <v>2896</v>
      </c>
      <c r="AM34" t="s">
        <v>2897</v>
      </c>
      <c r="AN34" t="s">
        <v>2898</v>
      </c>
      <c r="AO34" t="s">
        <v>2899</v>
      </c>
      <c r="AP34" t="s">
        <v>2900</v>
      </c>
      <c r="AQ34" t="s">
        <v>2901</v>
      </c>
      <c r="AR34">
        <v>211</v>
      </c>
      <c r="AS34" t="s">
        <v>2902</v>
      </c>
      <c r="AT34">
        <v>42</v>
      </c>
      <c r="AU34">
        <v>39</v>
      </c>
      <c r="AV34">
        <v>577</v>
      </c>
      <c r="AW34">
        <v>597</v>
      </c>
      <c r="AX34" t="s">
        <v>2903</v>
      </c>
    </row>
    <row r="35" spans="1:50" x14ac:dyDescent="0.25">
      <c r="A35">
        <v>30</v>
      </c>
      <c r="B35" t="s">
        <v>3162</v>
      </c>
      <c r="C35" t="s">
        <v>55</v>
      </c>
      <c r="D35">
        <v>18</v>
      </c>
      <c r="E35" t="s">
        <v>2504</v>
      </c>
      <c r="F35">
        <v>73</v>
      </c>
      <c r="G35">
        <v>36</v>
      </c>
      <c r="H35">
        <v>28</v>
      </c>
      <c r="I35">
        <v>64</v>
      </c>
      <c r="J35">
        <v>26</v>
      </c>
      <c r="K35">
        <v>7</v>
      </c>
      <c r="L35">
        <v>27</v>
      </c>
      <c r="M35">
        <v>9</v>
      </c>
      <c r="N35">
        <v>0</v>
      </c>
      <c r="O35">
        <v>5</v>
      </c>
      <c r="P35">
        <v>1</v>
      </c>
      <c r="Q35">
        <v>23</v>
      </c>
      <c r="R35">
        <v>5</v>
      </c>
      <c r="S35">
        <v>0</v>
      </c>
      <c r="T35">
        <v>6</v>
      </c>
      <c r="U35">
        <v>1</v>
      </c>
      <c r="V35">
        <v>50</v>
      </c>
      <c r="W35">
        <v>14</v>
      </c>
      <c r="X35">
        <v>0</v>
      </c>
      <c r="Y35">
        <v>11</v>
      </c>
      <c r="Z35">
        <v>2</v>
      </c>
      <c r="AA35" t="s">
        <v>2904</v>
      </c>
      <c r="AB35" s="24">
        <v>0.74583333333333324</v>
      </c>
      <c r="AC35" s="24">
        <v>0.63124999999999998</v>
      </c>
      <c r="AD35" s="24">
        <v>0.11388888888888889</v>
      </c>
      <c r="AE35" s="24">
        <v>6.9444444444444447E-4</v>
      </c>
      <c r="AF35" t="s">
        <v>2905</v>
      </c>
      <c r="AG35" t="s">
        <v>2906</v>
      </c>
      <c r="AH35" t="s">
        <v>2907</v>
      </c>
      <c r="AI35" t="s">
        <v>2908</v>
      </c>
      <c r="AJ35" t="s">
        <v>2909</v>
      </c>
      <c r="AK35" t="s">
        <v>2910</v>
      </c>
      <c r="AL35" t="s">
        <v>2911</v>
      </c>
      <c r="AM35" t="s">
        <v>2912</v>
      </c>
      <c r="AN35" t="s">
        <v>2913</v>
      </c>
      <c r="AO35" t="s">
        <v>2841</v>
      </c>
      <c r="AP35" t="s">
        <v>2914</v>
      </c>
      <c r="AQ35" t="s">
        <v>2915</v>
      </c>
      <c r="AR35">
        <v>204</v>
      </c>
      <c r="AS35" t="s">
        <v>2916</v>
      </c>
      <c r="AT35">
        <v>80</v>
      </c>
      <c r="AU35">
        <v>33</v>
      </c>
      <c r="AV35">
        <v>0</v>
      </c>
      <c r="AW35">
        <v>3</v>
      </c>
      <c r="AX35" t="s">
        <v>2579</v>
      </c>
    </row>
    <row r="36" spans="1:50" x14ac:dyDescent="0.25">
      <c r="A36">
        <v>31</v>
      </c>
      <c r="B36" t="s">
        <v>3163</v>
      </c>
      <c r="C36" t="s">
        <v>125</v>
      </c>
      <c r="D36">
        <v>20</v>
      </c>
      <c r="E36" t="s">
        <v>2504</v>
      </c>
      <c r="F36">
        <v>82</v>
      </c>
      <c r="G36">
        <v>25</v>
      </c>
      <c r="H36">
        <v>39</v>
      </c>
      <c r="I36">
        <v>64</v>
      </c>
      <c r="J36">
        <v>38</v>
      </c>
      <c r="K36">
        <v>1</v>
      </c>
      <c r="L36">
        <v>20</v>
      </c>
      <c r="M36">
        <v>5</v>
      </c>
      <c r="N36">
        <v>0</v>
      </c>
      <c r="O36">
        <v>4</v>
      </c>
      <c r="P36">
        <v>0</v>
      </c>
      <c r="Q36">
        <v>32</v>
      </c>
      <c r="R36">
        <v>7</v>
      </c>
      <c r="S36">
        <v>0</v>
      </c>
      <c r="T36">
        <v>5</v>
      </c>
      <c r="U36">
        <v>0</v>
      </c>
      <c r="V36">
        <v>52</v>
      </c>
      <c r="W36">
        <v>12</v>
      </c>
      <c r="X36">
        <v>0</v>
      </c>
      <c r="Y36">
        <v>9</v>
      </c>
      <c r="Z36">
        <v>0</v>
      </c>
      <c r="AA36" t="s">
        <v>2917</v>
      </c>
      <c r="AB36" s="24">
        <v>0.7284722222222223</v>
      </c>
      <c r="AC36" s="24">
        <v>0.61805555555555558</v>
      </c>
      <c r="AD36" s="24">
        <v>0.10902777777777778</v>
      </c>
      <c r="AE36" s="24">
        <v>6.9444444444444447E-4</v>
      </c>
      <c r="AF36" t="s">
        <v>2918</v>
      </c>
      <c r="AG36" t="s">
        <v>2919</v>
      </c>
      <c r="AH36" t="s">
        <v>2920</v>
      </c>
      <c r="AI36" t="s">
        <v>2688</v>
      </c>
      <c r="AJ36" t="s">
        <v>2921</v>
      </c>
      <c r="AK36" t="s">
        <v>2922</v>
      </c>
      <c r="AL36" t="s">
        <v>2923</v>
      </c>
      <c r="AM36" t="s">
        <v>2924</v>
      </c>
      <c r="AN36" t="s">
        <v>2925</v>
      </c>
      <c r="AO36" t="s">
        <v>2926</v>
      </c>
      <c r="AP36" t="s">
        <v>2643</v>
      </c>
      <c r="AQ36" t="s">
        <v>2927</v>
      </c>
      <c r="AR36">
        <v>204</v>
      </c>
      <c r="AS36" t="s">
        <v>2928</v>
      </c>
      <c r="AT36">
        <v>43</v>
      </c>
      <c r="AU36">
        <v>28</v>
      </c>
      <c r="AV36">
        <v>0</v>
      </c>
      <c r="AW36">
        <v>4</v>
      </c>
      <c r="AX36" t="s">
        <v>2579</v>
      </c>
    </row>
    <row r="37" spans="1:50" x14ac:dyDescent="0.25">
      <c r="A37">
        <v>32</v>
      </c>
      <c r="B37" t="s">
        <v>3156</v>
      </c>
      <c r="C37" t="s">
        <v>77</v>
      </c>
      <c r="D37">
        <v>24</v>
      </c>
      <c r="E37" t="s">
        <v>2504</v>
      </c>
      <c r="F37">
        <v>79</v>
      </c>
      <c r="G37">
        <v>37</v>
      </c>
      <c r="H37">
        <v>26</v>
      </c>
      <c r="I37">
        <v>63</v>
      </c>
      <c r="J37">
        <v>28</v>
      </c>
      <c r="K37">
        <v>-3</v>
      </c>
      <c r="L37">
        <v>30</v>
      </c>
      <c r="M37">
        <v>7</v>
      </c>
      <c r="N37">
        <v>0</v>
      </c>
      <c r="O37">
        <v>4</v>
      </c>
      <c r="P37">
        <v>0</v>
      </c>
      <c r="Q37">
        <v>18</v>
      </c>
      <c r="R37">
        <v>8</v>
      </c>
      <c r="S37">
        <v>0</v>
      </c>
      <c r="T37">
        <v>5</v>
      </c>
      <c r="U37">
        <v>1</v>
      </c>
      <c r="V37">
        <v>48</v>
      </c>
      <c r="W37">
        <v>15</v>
      </c>
      <c r="X37">
        <v>0</v>
      </c>
      <c r="Y37">
        <v>9</v>
      </c>
      <c r="Z37">
        <v>1</v>
      </c>
      <c r="AA37" t="s">
        <v>2929</v>
      </c>
      <c r="AB37" s="24">
        <v>0.73888888888888893</v>
      </c>
      <c r="AC37" s="24">
        <v>0.6430555555555556</v>
      </c>
      <c r="AD37" s="24">
        <v>9.4444444444444442E-2</v>
      </c>
      <c r="AE37" s="24">
        <v>0</v>
      </c>
      <c r="AF37" t="s">
        <v>2930</v>
      </c>
      <c r="AG37" t="s">
        <v>2931</v>
      </c>
      <c r="AH37" t="s">
        <v>2932</v>
      </c>
      <c r="AI37" t="s">
        <v>2933</v>
      </c>
      <c r="AJ37" t="s">
        <v>2934</v>
      </c>
      <c r="AK37" t="s">
        <v>2777</v>
      </c>
      <c r="AL37" t="s">
        <v>2935</v>
      </c>
      <c r="AM37" t="s">
        <v>2936</v>
      </c>
      <c r="AN37" t="s">
        <v>2937</v>
      </c>
      <c r="AO37" t="s">
        <v>2938</v>
      </c>
      <c r="AP37" t="s">
        <v>2939</v>
      </c>
      <c r="AQ37" t="s">
        <v>2940</v>
      </c>
      <c r="AR37">
        <v>281</v>
      </c>
      <c r="AS37" t="s">
        <v>2941</v>
      </c>
      <c r="AT37">
        <v>33</v>
      </c>
      <c r="AU37">
        <v>28</v>
      </c>
      <c r="AV37">
        <v>10</v>
      </c>
      <c r="AW37">
        <v>17</v>
      </c>
      <c r="AX37" t="s">
        <v>2942</v>
      </c>
    </row>
    <row r="38" spans="1:50" x14ac:dyDescent="0.25">
      <c r="A38">
        <v>33</v>
      </c>
      <c r="B38" t="s">
        <v>3157</v>
      </c>
      <c r="C38" t="s">
        <v>86</v>
      </c>
      <c r="D38">
        <v>27</v>
      </c>
      <c r="E38" t="s">
        <v>2504</v>
      </c>
      <c r="F38">
        <v>82</v>
      </c>
      <c r="G38">
        <v>35</v>
      </c>
      <c r="H38">
        <v>27</v>
      </c>
      <c r="I38">
        <v>62</v>
      </c>
      <c r="J38">
        <v>22</v>
      </c>
      <c r="K38">
        <v>13</v>
      </c>
      <c r="L38">
        <v>22</v>
      </c>
      <c r="M38">
        <v>10</v>
      </c>
      <c r="N38">
        <v>3</v>
      </c>
      <c r="O38">
        <v>9</v>
      </c>
      <c r="P38">
        <v>3</v>
      </c>
      <c r="Q38">
        <v>16</v>
      </c>
      <c r="R38">
        <v>11</v>
      </c>
      <c r="S38">
        <v>0</v>
      </c>
      <c r="T38">
        <v>8</v>
      </c>
      <c r="U38">
        <v>2</v>
      </c>
      <c r="V38">
        <v>38</v>
      </c>
      <c r="W38">
        <v>21</v>
      </c>
      <c r="X38">
        <v>3</v>
      </c>
      <c r="Y38">
        <v>17</v>
      </c>
      <c r="Z38">
        <v>5</v>
      </c>
      <c r="AA38" t="s">
        <v>2943</v>
      </c>
      <c r="AB38" s="24">
        <v>0.75347222222222221</v>
      </c>
      <c r="AC38" s="24">
        <v>0.58333333333333337</v>
      </c>
      <c r="AD38" s="24">
        <v>0.10555555555555556</v>
      </c>
      <c r="AE38" s="24">
        <v>6.458333333333334E-2</v>
      </c>
      <c r="AF38" t="s">
        <v>2944</v>
      </c>
      <c r="AG38" t="s">
        <v>2945</v>
      </c>
      <c r="AH38" t="s">
        <v>2946</v>
      </c>
      <c r="AI38" t="s">
        <v>2947</v>
      </c>
      <c r="AJ38" t="s">
        <v>2948</v>
      </c>
      <c r="AK38" t="s">
        <v>2949</v>
      </c>
      <c r="AL38" t="s">
        <v>2950</v>
      </c>
      <c r="AM38" t="s">
        <v>2951</v>
      </c>
      <c r="AN38" t="s">
        <v>2700</v>
      </c>
      <c r="AO38" t="s">
        <v>2952</v>
      </c>
      <c r="AP38" t="s">
        <v>2939</v>
      </c>
      <c r="AQ38" t="s">
        <v>2953</v>
      </c>
      <c r="AR38">
        <v>240</v>
      </c>
      <c r="AS38" t="s">
        <v>2954</v>
      </c>
      <c r="AT38">
        <v>33</v>
      </c>
      <c r="AU38">
        <v>34</v>
      </c>
      <c r="AV38">
        <v>2</v>
      </c>
      <c r="AW38">
        <v>1</v>
      </c>
      <c r="AX38" t="s">
        <v>2759</v>
      </c>
    </row>
    <row r="39" spans="1:50" x14ac:dyDescent="0.25">
      <c r="A39">
        <v>34</v>
      </c>
      <c r="B39" t="s">
        <v>3157</v>
      </c>
      <c r="C39" t="s">
        <v>51</v>
      </c>
      <c r="D39">
        <v>27</v>
      </c>
      <c r="E39" t="s">
        <v>2504</v>
      </c>
      <c r="F39">
        <v>82</v>
      </c>
      <c r="G39">
        <v>29</v>
      </c>
      <c r="H39">
        <v>33</v>
      </c>
      <c r="I39">
        <v>62</v>
      </c>
      <c r="J39">
        <v>37</v>
      </c>
      <c r="K39">
        <v>-2</v>
      </c>
      <c r="L39">
        <v>23</v>
      </c>
      <c r="M39">
        <v>6</v>
      </c>
      <c r="N39">
        <v>0</v>
      </c>
      <c r="O39">
        <v>5</v>
      </c>
      <c r="P39">
        <v>0</v>
      </c>
      <c r="Q39">
        <v>20</v>
      </c>
      <c r="R39">
        <v>13</v>
      </c>
      <c r="S39">
        <v>0</v>
      </c>
      <c r="T39">
        <v>2</v>
      </c>
      <c r="U39">
        <v>0</v>
      </c>
      <c r="V39">
        <v>43</v>
      </c>
      <c r="W39">
        <v>19</v>
      </c>
      <c r="X39">
        <v>0</v>
      </c>
      <c r="Y39">
        <v>7</v>
      </c>
      <c r="Z39">
        <v>0</v>
      </c>
      <c r="AA39" t="s">
        <v>2955</v>
      </c>
      <c r="AB39" s="24">
        <v>0.66180555555555554</v>
      </c>
      <c r="AC39" s="24">
        <v>0.55486111111111114</v>
      </c>
      <c r="AD39" s="24">
        <v>9.930555555555555E-2</v>
      </c>
      <c r="AE39" s="24">
        <v>2.7777777777777779E-3</v>
      </c>
      <c r="AF39" t="s">
        <v>2956</v>
      </c>
      <c r="AG39" t="s">
        <v>2957</v>
      </c>
      <c r="AH39" t="s">
        <v>2708</v>
      </c>
      <c r="AI39" t="s">
        <v>2958</v>
      </c>
      <c r="AJ39" t="s">
        <v>2959</v>
      </c>
      <c r="AK39" t="s">
        <v>2960</v>
      </c>
      <c r="AL39" t="s">
        <v>2961</v>
      </c>
      <c r="AM39" t="s">
        <v>2962</v>
      </c>
      <c r="AN39" t="s">
        <v>2963</v>
      </c>
      <c r="AO39" t="s">
        <v>2616</v>
      </c>
      <c r="AP39" t="s">
        <v>2792</v>
      </c>
      <c r="AQ39" t="s">
        <v>2953</v>
      </c>
      <c r="AR39">
        <v>238</v>
      </c>
      <c r="AS39" t="s">
        <v>2964</v>
      </c>
      <c r="AT39">
        <v>62</v>
      </c>
      <c r="AU39">
        <v>29</v>
      </c>
      <c r="AV39">
        <v>1</v>
      </c>
      <c r="AW39">
        <v>4</v>
      </c>
      <c r="AX39" t="s">
        <v>2662</v>
      </c>
    </row>
    <row r="40" spans="1:50" x14ac:dyDescent="0.25">
      <c r="A40">
        <v>35</v>
      </c>
      <c r="B40" t="s">
        <v>3156</v>
      </c>
      <c r="C40" t="s">
        <v>132</v>
      </c>
      <c r="D40">
        <v>26</v>
      </c>
      <c r="E40" t="s">
        <v>2504</v>
      </c>
      <c r="F40">
        <v>82</v>
      </c>
      <c r="G40">
        <v>32</v>
      </c>
      <c r="H40">
        <v>29</v>
      </c>
      <c r="I40">
        <v>61</v>
      </c>
      <c r="J40">
        <v>95</v>
      </c>
      <c r="K40">
        <v>-7</v>
      </c>
      <c r="L40">
        <v>20</v>
      </c>
      <c r="M40">
        <v>12</v>
      </c>
      <c r="N40">
        <v>0</v>
      </c>
      <c r="O40">
        <v>6</v>
      </c>
      <c r="P40">
        <v>2</v>
      </c>
      <c r="Q40">
        <v>24</v>
      </c>
      <c r="R40">
        <v>5</v>
      </c>
      <c r="S40">
        <v>0</v>
      </c>
      <c r="T40">
        <v>1</v>
      </c>
      <c r="U40">
        <v>0</v>
      </c>
      <c r="V40">
        <v>44</v>
      </c>
      <c r="W40">
        <v>17</v>
      </c>
      <c r="X40">
        <v>0</v>
      </c>
      <c r="Y40">
        <v>7</v>
      </c>
      <c r="Z40">
        <v>2</v>
      </c>
      <c r="AA40" t="s">
        <v>2965</v>
      </c>
      <c r="AB40" s="24">
        <v>0.69027777777777777</v>
      </c>
      <c r="AC40" s="24">
        <v>0.59513888888888888</v>
      </c>
      <c r="AD40" s="24">
        <v>9.3055555555555558E-2</v>
      </c>
      <c r="AE40" s="24">
        <v>6.9444444444444447E-4</v>
      </c>
      <c r="AF40" t="s">
        <v>2966</v>
      </c>
      <c r="AG40" t="s">
        <v>2967</v>
      </c>
      <c r="AH40" t="s">
        <v>2968</v>
      </c>
      <c r="AI40" t="s">
        <v>2969</v>
      </c>
      <c r="AJ40" t="s">
        <v>2970</v>
      </c>
      <c r="AK40" t="s">
        <v>2971</v>
      </c>
      <c r="AL40" t="s">
        <v>2972</v>
      </c>
      <c r="AM40" t="s">
        <v>2973</v>
      </c>
      <c r="AN40" t="s">
        <v>2974</v>
      </c>
      <c r="AO40" t="s">
        <v>2872</v>
      </c>
      <c r="AP40" t="s">
        <v>2616</v>
      </c>
      <c r="AQ40" t="s">
        <v>2975</v>
      </c>
      <c r="AR40">
        <v>236</v>
      </c>
      <c r="AS40" t="s">
        <v>2646</v>
      </c>
      <c r="AT40">
        <v>124</v>
      </c>
      <c r="AU40">
        <v>31</v>
      </c>
      <c r="AV40">
        <v>544</v>
      </c>
      <c r="AW40">
        <v>589</v>
      </c>
      <c r="AX40" t="s">
        <v>2976</v>
      </c>
    </row>
    <row r="41" spans="1:50" x14ac:dyDescent="0.25">
      <c r="A41">
        <v>36</v>
      </c>
      <c r="B41" t="s">
        <v>3156</v>
      </c>
      <c r="C41" t="s">
        <v>70</v>
      </c>
      <c r="D41">
        <v>27</v>
      </c>
      <c r="E41" t="s">
        <v>2504</v>
      </c>
      <c r="F41">
        <v>74</v>
      </c>
      <c r="G41">
        <v>26</v>
      </c>
      <c r="H41">
        <v>35</v>
      </c>
      <c r="I41">
        <v>61</v>
      </c>
      <c r="J41">
        <v>51</v>
      </c>
      <c r="K41">
        <v>17</v>
      </c>
      <c r="L41">
        <v>13</v>
      </c>
      <c r="M41">
        <v>13</v>
      </c>
      <c r="N41">
        <v>0</v>
      </c>
      <c r="O41">
        <v>8</v>
      </c>
      <c r="P41">
        <v>1</v>
      </c>
      <c r="Q41">
        <v>22</v>
      </c>
      <c r="R41">
        <v>13</v>
      </c>
      <c r="S41">
        <v>0</v>
      </c>
      <c r="T41">
        <v>3</v>
      </c>
      <c r="U41">
        <v>0</v>
      </c>
      <c r="V41">
        <v>35</v>
      </c>
      <c r="W41">
        <v>26</v>
      </c>
      <c r="X41">
        <v>0</v>
      </c>
      <c r="Y41">
        <v>11</v>
      </c>
      <c r="Z41">
        <v>1</v>
      </c>
      <c r="AA41" t="s">
        <v>2977</v>
      </c>
      <c r="AB41" s="24">
        <v>0.73263888888888884</v>
      </c>
      <c r="AC41" s="24">
        <v>0.6</v>
      </c>
      <c r="AD41" s="24">
        <v>0.13263888888888889</v>
      </c>
      <c r="AE41" s="24">
        <v>0</v>
      </c>
      <c r="AF41" t="s">
        <v>2978</v>
      </c>
      <c r="AG41" t="s">
        <v>2979</v>
      </c>
      <c r="AH41" t="s">
        <v>2980</v>
      </c>
      <c r="AI41" t="s">
        <v>2981</v>
      </c>
      <c r="AJ41" t="s">
        <v>2982</v>
      </c>
      <c r="AK41" t="s">
        <v>2983</v>
      </c>
      <c r="AL41" t="s">
        <v>2984</v>
      </c>
      <c r="AM41" t="s">
        <v>2984</v>
      </c>
      <c r="AN41" t="s">
        <v>2985</v>
      </c>
      <c r="AO41" t="s">
        <v>2986</v>
      </c>
      <c r="AP41" t="s">
        <v>2987</v>
      </c>
      <c r="AQ41" t="s">
        <v>2988</v>
      </c>
      <c r="AR41">
        <v>224</v>
      </c>
      <c r="AS41" t="s">
        <v>2548</v>
      </c>
      <c r="AT41">
        <v>41</v>
      </c>
      <c r="AU41">
        <v>21</v>
      </c>
      <c r="AV41">
        <v>12</v>
      </c>
      <c r="AW41">
        <v>9</v>
      </c>
      <c r="AX41" t="s">
        <v>2989</v>
      </c>
    </row>
    <row r="42" spans="1:50" x14ac:dyDescent="0.25">
      <c r="A42">
        <v>37</v>
      </c>
      <c r="B42" t="s">
        <v>3158</v>
      </c>
      <c r="C42" t="s">
        <v>694</v>
      </c>
      <c r="D42">
        <v>20</v>
      </c>
      <c r="E42" t="s">
        <v>2504</v>
      </c>
      <c r="F42">
        <v>81</v>
      </c>
      <c r="G42">
        <v>22</v>
      </c>
      <c r="H42">
        <v>39</v>
      </c>
      <c r="I42">
        <v>61</v>
      </c>
      <c r="J42">
        <v>32</v>
      </c>
      <c r="K42">
        <v>-3</v>
      </c>
      <c r="L42">
        <v>13</v>
      </c>
      <c r="M42">
        <v>9</v>
      </c>
      <c r="N42">
        <v>0</v>
      </c>
      <c r="O42">
        <v>2</v>
      </c>
      <c r="P42">
        <v>0</v>
      </c>
      <c r="Q42">
        <v>22</v>
      </c>
      <c r="R42">
        <v>17</v>
      </c>
      <c r="S42">
        <v>0</v>
      </c>
      <c r="T42">
        <v>5</v>
      </c>
      <c r="U42">
        <v>2</v>
      </c>
      <c r="V42">
        <v>35</v>
      </c>
      <c r="W42">
        <v>26</v>
      </c>
      <c r="X42">
        <v>0</v>
      </c>
      <c r="Y42">
        <v>7</v>
      </c>
      <c r="Z42">
        <v>2</v>
      </c>
      <c r="AA42" t="s">
        <v>2977</v>
      </c>
      <c r="AB42" s="24">
        <v>0.66597222222222219</v>
      </c>
      <c r="AC42" s="24">
        <v>0.56597222222222221</v>
      </c>
      <c r="AD42" s="24">
        <v>9.8611111111111108E-2</v>
      </c>
      <c r="AE42" s="24">
        <v>1.3888888888888889E-3</v>
      </c>
      <c r="AF42" t="s">
        <v>2990</v>
      </c>
      <c r="AG42" t="s">
        <v>2991</v>
      </c>
      <c r="AH42" t="s">
        <v>2992</v>
      </c>
      <c r="AI42" t="s">
        <v>2993</v>
      </c>
      <c r="AJ42" t="s">
        <v>2994</v>
      </c>
      <c r="AK42" t="s">
        <v>2995</v>
      </c>
      <c r="AL42" t="s">
        <v>2996</v>
      </c>
      <c r="AM42" t="s">
        <v>2685</v>
      </c>
      <c r="AN42" t="s">
        <v>2997</v>
      </c>
      <c r="AO42" t="s">
        <v>2998</v>
      </c>
      <c r="AP42" t="s">
        <v>2830</v>
      </c>
      <c r="AQ42" t="s">
        <v>2999</v>
      </c>
      <c r="AR42">
        <v>205</v>
      </c>
      <c r="AS42" t="s">
        <v>3000</v>
      </c>
      <c r="AT42">
        <v>25</v>
      </c>
      <c r="AU42">
        <v>16</v>
      </c>
      <c r="AV42">
        <v>49</v>
      </c>
      <c r="AW42">
        <v>73</v>
      </c>
      <c r="AX42" t="s">
        <v>3001</v>
      </c>
    </row>
    <row r="43" spans="1:50" x14ac:dyDescent="0.25">
      <c r="A43">
        <v>38</v>
      </c>
      <c r="B43" t="s">
        <v>3161</v>
      </c>
      <c r="C43" t="s">
        <v>3002</v>
      </c>
      <c r="D43">
        <v>27</v>
      </c>
      <c r="E43" t="s">
        <v>2504</v>
      </c>
      <c r="F43">
        <v>82</v>
      </c>
      <c r="G43">
        <v>20</v>
      </c>
      <c r="H43">
        <v>41</v>
      </c>
      <c r="I43">
        <v>61</v>
      </c>
      <c r="J43">
        <v>56</v>
      </c>
      <c r="K43">
        <v>-24</v>
      </c>
      <c r="L43">
        <v>15</v>
      </c>
      <c r="M43">
        <v>5</v>
      </c>
      <c r="N43">
        <v>0</v>
      </c>
      <c r="O43">
        <v>3</v>
      </c>
      <c r="P43">
        <v>2</v>
      </c>
      <c r="Q43">
        <v>23</v>
      </c>
      <c r="R43">
        <v>18</v>
      </c>
      <c r="S43">
        <v>0</v>
      </c>
      <c r="T43">
        <v>7</v>
      </c>
      <c r="U43">
        <v>2</v>
      </c>
      <c r="V43">
        <v>38</v>
      </c>
      <c r="W43">
        <v>23</v>
      </c>
      <c r="X43">
        <v>0</v>
      </c>
      <c r="Y43">
        <v>10</v>
      </c>
      <c r="Z43">
        <v>4</v>
      </c>
      <c r="AA43" t="s">
        <v>2783</v>
      </c>
      <c r="AB43" s="24">
        <v>0.79513888888888884</v>
      </c>
      <c r="AC43" s="24">
        <v>0.64374999999999993</v>
      </c>
      <c r="AD43" s="24">
        <v>0.14930555555555555</v>
      </c>
      <c r="AE43" s="24">
        <v>6.9444444444444447E-4</v>
      </c>
      <c r="AF43" t="s">
        <v>3003</v>
      </c>
      <c r="AG43" t="s">
        <v>3004</v>
      </c>
      <c r="AH43" t="s">
        <v>3005</v>
      </c>
      <c r="AI43" t="s">
        <v>3006</v>
      </c>
      <c r="AJ43" t="s">
        <v>3007</v>
      </c>
      <c r="AK43" t="s">
        <v>3008</v>
      </c>
      <c r="AL43" t="s">
        <v>3009</v>
      </c>
      <c r="AM43" t="s">
        <v>3010</v>
      </c>
      <c r="AN43" t="s">
        <v>3011</v>
      </c>
      <c r="AO43" t="s">
        <v>3012</v>
      </c>
      <c r="AP43" t="s">
        <v>3013</v>
      </c>
      <c r="AQ43" t="s">
        <v>2975</v>
      </c>
      <c r="AR43">
        <v>253</v>
      </c>
      <c r="AS43" t="s">
        <v>3014</v>
      </c>
      <c r="AT43">
        <v>30</v>
      </c>
      <c r="AU43">
        <v>22</v>
      </c>
      <c r="AV43">
        <v>3</v>
      </c>
      <c r="AW43">
        <v>11</v>
      </c>
      <c r="AX43" t="s">
        <v>3015</v>
      </c>
    </row>
    <row r="44" spans="1:50" x14ac:dyDescent="0.25">
      <c r="A44">
        <v>39</v>
      </c>
      <c r="B44" t="s">
        <v>3156</v>
      </c>
      <c r="C44" t="s">
        <v>1754</v>
      </c>
      <c r="D44">
        <v>19</v>
      </c>
      <c r="E44" t="s">
        <v>2504</v>
      </c>
      <c r="F44">
        <v>77</v>
      </c>
      <c r="G44">
        <v>19</v>
      </c>
      <c r="H44">
        <v>42</v>
      </c>
      <c r="I44">
        <v>61</v>
      </c>
      <c r="J44">
        <v>38</v>
      </c>
      <c r="K44">
        <v>0</v>
      </c>
      <c r="L44">
        <v>15</v>
      </c>
      <c r="M44">
        <v>4</v>
      </c>
      <c r="N44">
        <v>0</v>
      </c>
      <c r="O44">
        <v>5</v>
      </c>
      <c r="P44">
        <v>0</v>
      </c>
      <c r="Q44">
        <v>25</v>
      </c>
      <c r="R44">
        <v>17</v>
      </c>
      <c r="S44">
        <v>0</v>
      </c>
      <c r="T44">
        <v>5</v>
      </c>
      <c r="U44">
        <v>1</v>
      </c>
      <c r="V44">
        <v>40</v>
      </c>
      <c r="W44">
        <v>21</v>
      </c>
      <c r="X44">
        <v>0</v>
      </c>
      <c r="Y44">
        <v>10</v>
      </c>
      <c r="Z44">
        <v>1</v>
      </c>
      <c r="AA44" t="s">
        <v>3016</v>
      </c>
      <c r="AB44" s="24">
        <v>0.70000000000000007</v>
      </c>
      <c r="AC44" s="24">
        <v>0.59444444444444444</v>
      </c>
      <c r="AD44" s="24">
        <v>9.8611111111111108E-2</v>
      </c>
      <c r="AE44" s="24">
        <v>6.2499999999999995E-3</v>
      </c>
      <c r="AF44" t="s">
        <v>2667</v>
      </c>
      <c r="AG44" t="s">
        <v>3017</v>
      </c>
      <c r="AH44" t="s">
        <v>3018</v>
      </c>
      <c r="AI44" t="s">
        <v>3019</v>
      </c>
      <c r="AJ44" t="s">
        <v>3020</v>
      </c>
      <c r="AK44" t="s">
        <v>3021</v>
      </c>
      <c r="AL44" t="s">
        <v>3022</v>
      </c>
      <c r="AM44" t="s">
        <v>3023</v>
      </c>
      <c r="AN44" t="s">
        <v>3024</v>
      </c>
      <c r="AO44" t="s">
        <v>3025</v>
      </c>
      <c r="AP44" t="s">
        <v>3026</v>
      </c>
      <c r="AQ44" t="s">
        <v>2625</v>
      </c>
      <c r="AR44">
        <v>176</v>
      </c>
      <c r="AS44" t="s">
        <v>2888</v>
      </c>
      <c r="AT44">
        <v>41</v>
      </c>
      <c r="AU44">
        <v>39</v>
      </c>
      <c r="AV44">
        <v>14</v>
      </c>
      <c r="AW44">
        <v>23</v>
      </c>
      <c r="AX44" t="s">
        <v>3027</v>
      </c>
    </row>
    <row r="45" spans="1:50" x14ac:dyDescent="0.25">
      <c r="A45">
        <v>40</v>
      </c>
      <c r="B45" t="s">
        <v>3157</v>
      </c>
      <c r="C45" t="s">
        <v>7</v>
      </c>
      <c r="D45">
        <v>23</v>
      </c>
      <c r="E45" t="s">
        <v>2504</v>
      </c>
      <c r="F45">
        <v>72</v>
      </c>
      <c r="G45">
        <v>18</v>
      </c>
      <c r="H45">
        <v>43</v>
      </c>
      <c r="I45">
        <v>61</v>
      </c>
      <c r="J45">
        <v>4</v>
      </c>
      <c r="K45">
        <v>-7</v>
      </c>
      <c r="L45">
        <v>14</v>
      </c>
      <c r="M45">
        <v>4</v>
      </c>
      <c r="N45">
        <v>0</v>
      </c>
      <c r="O45">
        <v>3</v>
      </c>
      <c r="P45">
        <v>1</v>
      </c>
      <c r="Q45">
        <v>31</v>
      </c>
      <c r="R45">
        <v>12</v>
      </c>
      <c r="S45">
        <v>0</v>
      </c>
      <c r="T45">
        <v>5</v>
      </c>
      <c r="U45">
        <v>3</v>
      </c>
      <c r="V45">
        <v>45</v>
      </c>
      <c r="W45">
        <v>16</v>
      </c>
      <c r="X45">
        <v>0</v>
      </c>
      <c r="Y45">
        <v>8</v>
      </c>
      <c r="Z45">
        <v>4</v>
      </c>
      <c r="AA45" t="s">
        <v>3028</v>
      </c>
      <c r="AB45" s="24">
        <v>0.77013888888888893</v>
      </c>
      <c r="AC45" s="24">
        <v>0.63611111111111118</v>
      </c>
      <c r="AD45" s="24">
        <v>0.13333333333333333</v>
      </c>
      <c r="AE45" s="24">
        <v>6.9444444444444447E-4</v>
      </c>
      <c r="AF45" t="s">
        <v>3029</v>
      </c>
      <c r="AG45" t="s">
        <v>3030</v>
      </c>
      <c r="AH45" t="s">
        <v>3031</v>
      </c>
      <c r="AI45" t="s">
        <v>2763</v>
      </c>
      <c r="AJ45" t="s">
        <v>3032</v>
      </c>
      <c r="AK45" t="s">
        <v>3033</v>
      </c>
      <c r="AL45" t="s">
        <v>2604</v>
      </c>
      <c r="AM45" t="s">
        <v>3034</v>
      </c>
      <c r="AN45" t="s">
        <v>3035</v>
      </c>
      <c r="AO45" t="s">
        <v>3036</v>
      </c>
      <c r="AP45" t="s">
        <v>3037</v>
      </c>
      <c r="AQ45" t="s">
        <v>3038</v>
      </c>
      <c r="AR45">
        <v>182</v>
      </c>
      <c r="AS45" t="s">
        <v>3039</v>
      </c>
      <c r="AT45">
        <v>9</v>
      </c>
      <c r="AU45">
        <v>14</v>
      </c>
      <c r="AV45">
        <v>0</v>
      </c>
      <c r="AW45">
        <v>0</v>
      </c>
      <c r="AX45" t="s">
        <v>2579</v>
      </c>
    </row>
    <row r="46" spans="1:50" x14ac:dyDescent="0.25">
      <c r="A46">
        <v>41</v>
      </c>
      <c r="B46" t="s">
        <v>3156</v>
      </c>
      <c r="C46" t="s">
        <v>20</v>
      </c>
      <c r="D46">
        <v>24</v>
      </c>
      <c r="E46" t="s">
        <v>2504</v>
      </c>
      <c r="F46">
        <v>82</v>
      </c>
      <c r="G46">
        <v>14</v>
      </c>
      <c r="H46">
        <v>47</v>
      </c>
      <c r="I46">
        <v>61</v>
      </c>
      <c r="J46">
        <v>60</v>
      </c>
      <c r="K46">
        <v>1</v>
      </c>
      <c r="L46">
        <v>9</v>
      </c>
      <c r="M46">
        <v>4</v>
      </c>
      <c r="N46">
        <v>1</v>
      </c>
      <c r="O46">
        <v>3</v>
      </c>
      <c r="P46">
        <v>0</v>
      </c>
      <c r="Q46">
        <v>28</v>
      </c>
      <c r="R46">
        <v>19</v>
      </c>
      <c r="S46">
        <v>0</v>
      </c>
      <c r="T46">
        <v>11</v>
      </c>
      <c r="U46">
        <v>1</v>
      </c>
      <c r="V46">
        <v>37</v>
      </c>
      <c r="W46">
        <v>23</v>
      </c>
      <c r="X46">
        <v>1</v>
      </c>
      <c r="Y46">
        <v>14</v>
      </c>
      <c r="Z46">
        <v>1</v>
      </c>
      <c r="AA46" t="s">
        <v>2783</v>
      </c>
      <c r="AB46" s="24">
        <v>0.78472222222222221</v>
      </c>
      <c r="AC46" s="24">
        <v>0.62986111111111109</v>
      </c>
      <c r="AD46" s="24">
        <v>0.12152777777777778</v>
      </c>
      <c r="AE46" s="24">
        <v>3.2638888888888891E-2</v>
      </c>
      <c r="AF46" t="s">
        <v>3040</v>
      </c>
      <c r="AG46" t="s">
        <v>3041</v>
      </c>
      <c r="AH46" t="s">
        <v>3042</v>
      </c>
      <c r="AI46" t="s">
        <v>3043</v>
      </c>
      <c r="AJ46" t="s">
        <v>3044</v>
      </c>
      <c r="AK46" t="s">
        <v>3045</v>
      </c>
      <c r="AL46" t="s">
        <v>3046</v>
      </c>
      <c r="AM46" t="s">
        <v>3047</v>
      </c>
      <c r="AN46" t="s">
        <v>3048</v>
      </c>
      <c r="AO46" t="s">
        <v>3049</v>
      </c>
      <c r="AP46" t="s">
        <v>2631</v>
      </c>
      <c r="AQ46" t="s">
        <v>2975</v>
      </c>
      <c r="AR46">
        <v>154</v>
      </c>
      <c r="AS46" t="s">
        <v>2633</v>
      </c>
      <c r="AT46">
        <v>77</v>
      </c>
      <c r="AU46">
        <v>28</v>
      </c>
      <c r="AV46">
        <v>803</v>
      </c>
      <c r="AW46">
        <v>667</v>
      </c>
      <c r="AX46" t="s">
        <v>3050</v>
      </c>
    </row>
    <row r="47" spans="1:50" x14ac:dyDescent="0.25">
      <c r="A47">
        <v>42</v>
      </c>
      <c r="B47" t="s">
        <v>3158</v>
      </c>
      <c r="C47" t="s">
        <v>1750</v>
      </c>
      <c r="D47">
        <v>23</v>
      </c>
      <c r="E47" t="s">
        <v>2504</v>
      </c>
      <c r="F47">
        <v>80</v>
      </c>
      <c r="G47">
        <v>30</v>
      </c>
      <c r="H47">
        <v>30</v>
      </c>
      <c r="I47">
        <v>60</v>
      </c>
      <c r="J47">
        <v>28</v>
      </c>
      <c r="K47">
        <v>16</v>
      </c>
      <c r="L47">
        <v>22</v>
      </c>
      <c r="M47">
        <v>3</v>
      </c>
      <c r="N47">
        <v>5</v>
      </c>
      <c r="O47">
        <v>5</v>
      </c>
      <c r="P47">
        <v>1</v>
      </c>
      <c r="Q47">
        <v>23</v>
      </c>
      <c r="R47">
        <v>5</v>
      </c>
      <c r="S47">
        <v>2</v>
      </c>
      <c r="T47">
        <v>6</v>
      </c>
      <c r="U47">
        <v>0</v>
      </c>
      <c r="V47">
        <v>45</v>
      </c>
      <c r="W47">
        <v>8</v>
      </c>
      <c r="X47">
        <v>7</v>
      </c>
      <c r="Y47">
        <v>11</v>
      </c>
      <c r="Z47">
        <v>1</v>
      </c>
      <c r="AA47" t="s">
        <v>2902</v>
      </c>
      <c r="AB47" s="24">
        <v>0.71458333333333324</v>
      </c>
      <c r="AC47" s="24">
        <v>0.58680555555555558</v>
      </c>
      <c r="AD47" s="24">
        <v>8.2638888888888887E-2</v>
      </c>
      <c r="AE47" s="24">
        <v>4.3750000000000004E-2</v>
      </c>
      <c r="AF47" t="s">
        <v>3051</v>
      </c>
      <c r="AG47" t="s">
        <v>3051</v>
      </c>
      <c r="AH47" t="s">
        <v>3052</v>
      </c>
      <c r="AI47" t="s">
        <v>3053</v>
      </c>
      <c r="AJ47" t="s">
        <v>3054</v>
      </c>
      <c r="AK47" t="s">
        <v>3055</v>
      </c>
      <c r="AL47" t="s">
        <v>2867</v>
      </c>
      <c r="AM47" t="s">
        <v>3056</v>
      </c>
      <c r="AN47" t="s">
        <v>3057</v>
      </c>
      <c r="AO47" t="s">
        <v>3058</v>
      </c>
      <c r="AP47" t="s">
        <v>3058</v>
      </c>
      <c r="AQ47" t="s">
        <v>3059</v>
      </c>
      <c r="AR47">
        <v>245</v>
      </c>
      <c r="AS47" t="s">
        <v>2964</v>
      </c>
      <c r="AT47">
        <v>23</v>
      </c>
      <c r="AU47">
        <v>45</v>
      </c>
      <c r="AV47">
        <v>4</v>
      </c>
      <c r="AW47">
        <v>12</v>
      </c>
      <c r="AX47" t="s">
        <v>3060</v>
      </c>
    </row>
    <row r="48" spans="1:50" x14ac:dyDescent="0.25">
      <c r="A48">
        <v>43</v>
      </c>
      <c r="B48" t="s">
        <v>3159</v>
      </c>
      <c r="C48" t="s">
        <v>26</v>
      </c>
      <c r="D48">
        <v>24</v>
      </c>
      <c r="E48" t="s">
        <v>2504</v>
      </c>
      <c r="F48">
        <v>82</v>
      </c>
      <c r="G48">
        <v>19</v>
      </c>
      <c r="H48">
        <v>40</v>
      </c>
      <c r="I48">
        <v>59</v>
      </c>
      <c r="J48">
        <v>46</v>
      </c>
      <c r="K48">
        <v>18</v>
      </c>
      <c r="L48">
        <v>16</v>
      </c>
      <c r="M48">
        <v>3</v>
      </c>
      <c r="N48">
        <v>0</v>
      </c>
      <c r="O48">
        <v>4</v>
      </c>
      <c r="P48">
        <v>0</v>
      </c>
      <c r="Q48">
        <v>29</v>
      </c>
      <c r="R48">
        <v>11</v>
      </c>
      <c r="S48">
        <v>0</v>
      </c>
      <c r="T48">
        <v>8</v>
      </c>
      <c r="U48">
        <v>3</v>
      </c>
      <c r="V48">
        <v>45</v>
      </c>
      <c r="W48">
        <v>14</v>
      </c>
      <c r="X48">
        <v>0</v>
      </c>
      <c r="Y48">
        <v>12</v>
      </c>
      <c r="Z48">
        <v>3</v>
      </c>
      <c r="AA48" t="s">
        <v>3061</v>
      </c>
      <c r="AB48" s="24">
        <v>0.70694444444444438</v>
      </c>
      <c r="AC48" s="24">
        <v>0.62152777777777779</v>
      </c>
      <c r="AD48" s="24">
        <v>8.4027777777777771E-2</v>
      </c>
      <c r="AE48" s="24">
        <v>6.9444444444444447E-4</v>
      </c>
      <c r="AF48" t="s">
        <v>3019</v>
      </c>
      <c r="AG48" t="s">
        <v>3062</v>
      </c>
      <c r="AH48" t="s">
        <v>3063</v>
      </c>
      <c r="AI48" t="s">
        <v>2687</v>
      </c>
      <c r="AJ48" t="s">
        <v>3064</v>
      </c>
      <c r="AK48" t="s">
        <v>3065</v>
      </c>
      <c r="AL48" t="s">
        <v>3066</v>
      </c>
      <c r="AM48" t="s">
        <v>3067</v>
      </c>
      <c r="AN48" t="s">
        <v>3068</v>
      </c>
      <c r="AO48" t="s">
        <v>3069</v>
      </c>
      <c r="AP48" t="s">
        <v>2589</v>
      </c>
      <c r="AQ48" t="s">
        <v>3070</v>
      </c>
      <c r="AR48">
        <v>170</v>
      </c>
      <c r="AS48" t="s">
        <v>3071</v>
      </c>
      <c r="AT48">
        <v>57</v>
      </c>
      <c r="AU48">
        <v>18</v>
      </c>
      <c r="AV48">
        <v>456</v>
      </c>
      <c r="AW48">
        <v>581</v>
      </c>
      <c r="AX48" t="s">
        <v>3072</v>
      </c>
    </row>
    <row r="49" spans="1:50" x14ac:dyDescent="0.25">
      <c r="A49">
        <v>44</v>
      </c>
      <c r="B49" t="s">
        <v>3164</v>
      </c>
      <c r="C49" t="s">
        <v>62</v>
      </c>
      <c r="D49">
        <v>29</v>
      </c>
      <c r="E49" t="s">
        <v>2504</v>
      </c>
      <c r="F49">
        <v>80</v>
      </c>
      <c r="G49">
        <v>15</v>
      </c>
      <c r="H49">
        <v>44</v>
      </c>
      <c r="I49">
        <v>59</v>
      </c>
      <c r="J49">
        <v>26</v>
      </c>
      <c r="K49">
        <v>15</v>
      </c>
      <c r="L49">
        <v>10</v>
      </c>
      <c r="M49">
        <v>5</v>
      </c>
      <c r="N49">
        <v>0</v>
      </c>
      <c r="O49">
        <v>3</v>
      </c>
      <c r="P49">
        <v>0</v>
      </c>
      <c r="Q49">
        <v>35</v>
      </c>
      <c r="R49">
        <v>9</v>
      </c>
      <c r="S49">
        <v>0</v>
      </c>
      <c r="T49">
        <v>5</v>
      </c>
      <c r="U49">
        <v>1</v>
      </c>
      <c r="V49">
        <v>45</v>
      </c>
      <c r="W49">
        <v>14</v>
      </c>
      <c r="X49">
        <v>0</v>
      </c>
      <c r="Y49">
        <v>8</v>
      </c>
      <c r="Z49">
        <v>1</v>
      </c>
      <c r="AA49" t="s">
        <v>3061</v>
      </c>
      <c r="AB49" s="24">
        <v>0.78402777777777777</v>
      </c>
      <c r="AC49" s="24">
        <v>0.65138888888888891</v>
      </c>
      <c r="AD49" s="24">
        <v>0.11319444444444444</v>
      </c>
      <c r="AE49" s="24">
        <v>1.8749999999999999E-2</v>
      </c>
      <c r="AF49" t="s">
        <v>3037</v>
      </c>
      <c r="AG49" t="s">
        <v>2839</v>
      </c>
      <c r="AH49" t="s">
        <v>3073</v>
      </c>
      <c r="AI49" t="s">
        <v>3074</v>
      </c>
      <c r="AJ49" t="s">
        <v>3075</v>
      </c>
      <c r="AK49" t="s">
        <v>3076</v>
      </c>
      <c r="AL49" t="s">
        <v>3077</v>
      </c>
      <c r="AM49" t="s">
        <v>3078</v>
      </c>
      <c r="AN49" t="s">
        <v>3079</v>
      </c>
      <c r="AO49" t="s">
        <v>3080</v>
      </c>
      <c r="AP49" t="s">
        <v>3081</v>
      </c>
      <c r="AQ49" t="s">
        <v>3082</v>
      </c>
      <c r="AR49">
        <v>189</v>
      </c>
      <c r="AS49" t="s">
        <v>3014</v>
      </c>
      <c r="AT49">
        <v>85</v>
      </c>
      <c r="AU49">
        <v>52</v>
      </c>
      <c r="AV49">
        <v>6</v>
      </c>
      <c r="AW49">
        <v>7</v>
      </c>
      <c r="AX49" t="s">
        <v>3083</v>
      </c>
    </row>
    <row r="50" spans="1:50" x14ac:dyDescent="0.25">
      <c r="A50">
        <v>45</v>
      </c>
      <c r="B50" t="s">
        <v>3158</v>
      </c>
      <c r="C50" t="s">
        <v>1758</v>
      </c>
      <c r="D50">
        <v>22</v>
      </c>
      <c r="E50" t="s">
        <v>2504</v>
      </c>
      <c r="F50">
        <v>80</v>
      </c>
      <c r="G50">
        <v>13</v>
      </c>
      <c r="H50">
        <v>46</v>
      </c>
      <c r="I50">
        <v>59</v>
      </c>
      <c r="J50">
        <v>21</v>
      </c>
      <c r="K50">
        <v>9</v>
      </c>
      <c r="L50">
        <v>11</v>
      </c>
      <c r="M50">
        <v>2</v>
      </c>
      <c r="N50">
        <v>0</v>
      </c>
      <c r="O50">
        <v>5</v>
      </c>
      <c r="P50">
        <v>0</v>
      </c>
      <c r="Q50">
        <v>25</v>
      </c>
      <c r="R50">
        <v>21</v>
      </c>
      <c r="S50">
        <v>0</v>
      </c>
      <c r="T50">
        <v>12</v>
      </c>
      <c r="U50">
        <v>2</v>
      </c>
      <c r="V50">
        <v>36</v>
      </c>
      <c r="W50">
        <v>23</v>
      </c>
      <c r="X50">
        <v>0</v>
      </c>
      <c r="Y50">
        <v>17</v>
      </c>
      <c r="Z50">
        <v>2</v>
      </c>
      <c r="AA50" t="s">
        <v>3084</v>
      </c>
      <c r="AB50" s="24">
        <v>0.76597222222222217</v>
      </c>
      <c r="AC50" s="24">
        <v>0.62847222222222221</v>
      </c>
      <c r="AD50" s="24">
        <v>0.10972222222222222</v>
      </c>
      <c r="AE50" s="24">
        <v>2.5694444444444447E-2</v>
      </c>
      <c r="AF50" t="s">
        <v>3085</v>
      </c>
      <c r="AG50" t="s">
        <v>3086</v>
      </c>
      <c r="AH50" t="s">
        <v>3087</v>
      </c>
      <c r="AI50" t="s">
        <v>3088</v>
      </c>
      <c r="AJ50" t="s">
        <v>3089</v>
      </c>
      <c r="AK50" t="s">
        <v>3090</v>
      </c>
      <c r="AL50" t="s">
        <v>3091</v>
      </c>
      <c r="AM50" t="s">
        <v>3092</v>
      </c>
      <c r="AN50" t="s">
        <v>3093</v>
      </c>
      <c r="AO50" t="s">
        <v>3094</v>
      </c>
      <c r="AP50" t="s">
        <v>2590</v>
      </c>
      <c r="AQ50" t="s">
        <v>3082</v>
      </c>
      <c r="AR50">
        <v>109</v>
      </c>
      <c r="AS50" t="s">
        <v>3095</v>
      </c>
      <c r="AT50">
        <v>58</v>
      </c>
      <c r="AU50">
        <v>56</v>
      </c>
      <c r="AV50">
        <v>609</v>
      </c>
      <c r="AW50">
        <v>676</v>
      </c>
      <c r="AX50" t="s">
        <v>3096</v>
      </c>
    </row>
    <row r="51" spans="1:50" x14ac:dyDescent="0.25">
      <c r="A51">
        <v>46</v>
      </c>
      <c r="B51" t="s">
        <v>3158</v>
      </c>
      <c r="C51" t="s">
        <v>17</v>
      </c>
      <c r="D51">
        <v>22</v>
      </c>
      <c r="E51" t="s">
        <v>2504</v>
      </c>
      <c r="F51">
        <v>82</v>
      </c>
      <c r="G51">
        <v>32</v>
      </c>
      <c r="H51">
        <v>26</v>
      </c>
      <c r="I51">
        <v>58</v>
      </c>
      <c r="J51">
        <v>32</v>
      </c>
      <c r="K51">
        <v>-4</v>
      </c>
      <c r="L51">
        <v>25</v>
      </c>
      <c r="M51">
        <v>4</v>
      </c>
      <c r="N51">
        <v>3</v>
      </c>
      <c r="O51">
        <v>10</v>
      </c>
      <c r="P51">
        <v>1</v>
      </c>
      <c r="Q51">
        <v>21</v>
      </c>
      <c r="R51">
        <v>5</v>
      </c>
      <c r="S51">
        <v>0</v>
      </c>
      <c r="T51">
        <v>5</v>
      </c>
      <c r="U51">
        <v>0</v>
      </c>
      <c r="V51">
        <v>46</v>
      </c>
      <c r="W51">
        <v>9</v>
      </c>
      <c r="X51">
        <v>3</v>
      </c>
      <c r="Y51">
        <v>15</v>
      </c>
      <c r="Z51">
        <v>1</v>
      </c>
      <c r="AA51" t="s">
        <v>3097</v>
      </c>
      <c r="AB51" s="24">
        <v>0.7715277777777777</v>
      </c>
      <c r="AC51" s="24">
        <v>0.6020833333333333</v>
      </c>
      <c r="AD51" s="24">
        <v>0.10902777777777778</v>
      </c>
      <c r="AE51" s="24">
        <v>5.9722222222222225E-2</v>
      </c>
      <c r="AF51" t="s">
        <v>3098</v>
      </c>
      <c r="AG51" t="s">
        <v>3099</v>
      </c>
      <c r="AH51" t="s">
        <v>3100</v>
      </c>
      <c r="AI51" t="s">
        <v>3101</v>
      </c>
      <c r="AJ51" t="s">
        <v>2591</v>
      </c>
      <c r="AK51" t="s">
        <v>3102</v>
      </c>
      <c r="AL51" t="s">
        <v>3103</v>
      </c>
      <c r="AM51" t="s">
        <v>3104</v>
      </c>
      <c r="AN51" t="s">
        <v>3105</v>
      </c>
      <c r="AO51" t="s">
        <v>2872</v>
      </c>
      <c r="AP51" t="s">
        <v>2673</v>
      </c>
      <c r="AQ51" t="s">
        <v>3106</v>
      </c>
      <c r="AR51">
        <v>235</v>
      </c>
      <c r="AS51" t="s">
        <v>2646</v>
      </c>
      <c r="AT51">
        <v>97</v>
      </c>
      <c r="AU51">
        <v>26</v>
      </c>
      <c r="AV51">
        <v>5</v>
      </c>
      <c r="AW51">
        <v>13</v>
      </c>
      <c r="AX51" t="s">
        <v>3107</v>
      </c>
    </row>
    <row r="52" spans="1:50" x14ac:dyDescent="0.25">
      <c r="A52">
        <v>47</v>
      </c>
      <c r="B52" t="s">
        <v>3156</v>
      </c>
      <c r="C52" t="s">
        <v>25</v>
      </c>
      <c r="D52">
        <v>22</v>
      </c>
      <c r="E52" t="s">
        <v>2504</v>
      </c>
      <c r="F52">
        <v>82</v>
      </c>
      <c r="G52">
        <v>27</v>
      </c>
      <c r="H52">
        <v>31</v>
      </c>
      <c r="I52">
        <v>58</v>
      </c>
      <c r="J52">
        <v>20</v>
      </c>
      <c r="K52">
        <v>-1</v>
      </c>
      <c r="L52">
        <v>18</v>
      </c>
      <c r="M52">
        <v>8</v>
      </c>
      <c r="N52">
        <v>1</v>
      </c>
      <c r="O52">
        <v>4</v>
      </c>
      <c r="P52">
        <v>2</v>
      </c>
      <c r="Q52">
        <v>22</v>
      </c>
      <c r="R52">
        <v>9</v>
      </c>
      <c r="S52">
        <v>0</v>
      </c>
      <c r="T52">
        <v>4</v>
      </c>
      <c r="U52">
        <v>1</v>
      </c>
      <c r="V52">
        <v>40</v>
      </c>
      <c r="W52">
        <v>17</v>
      </c>
      <c r="X52">
        <v>1</v>
      </c>
      <c r="Y52">
        <v>8</v>
      </c>
      <c r="Z52">
        <v>3</v>
      </c>
      <c r="AA52" t="s">
        <v>2634</v>
      </c>
      <c r="AB52" s="24">
        <v>0.7319444444444444</v>
      </c>
      <c r="AC52" s="24">
        <v>0.58611111111111114</v>
      </c>
      <c r="AD52" s="24">
        <v>0.12569444444444444</v>
      </c>
      <c r="AE52" s="24">
        <v>2.013888888888889E-2</v>
      </c>
      <c r="AF52" t="s">
        <v>2608</v>
      </c>
      <c r="AG52" t="s">
        <v>3108</v>
      </c>
      <c r="AH52" t="s">
        <v>3109</v>
      </c>
      <c r="AI52" t="s">
        <v>3110</v>
      </c>
      <c r="AJ52" t="s">
        <v>3111</v>
      </c>
      <c r="AK52" t="s">
        <v>3112</v>
      </c>
      <c r="AL52" t="s">
        <v>3113</v>
      </c>
      <c r="AM52" t="s">
        <v>3114</v>
      </c>
      <c r="AN52" t="s">
        <v>3115</v>
      </c>
      <c r="AO52" t="s">
        <v>2939</v>
      </c>
      <c r="AP52" t="s">
        <v>2658</v>
      </c>
      <c r="AQ52" t="s">
        <v>3106</v>
      </c>
      <c r="AR52">
        <v>199</v>
      </c>
      <c r="AS52" t="s">
        <v>2646</v>
      </c>
      <c r="AT52">
        <v>34</v>
      </c>
      <c r="AU52">
        <v>25</v>
      </c>
      <c r="AV52">
        <v>743</v>
      </c>
      <c r="AW52">
        <v>702</v>
      </c>
      <c r="AX52" t="s">
        <v>3116</v>
      </c>
    </row>
    <row r="53" spans="1:50" x14ac:dyDescent="0.25">
      <c r="A53">
        <v>48</v>
      </c>
      <c r="B53" t="s">
        <v>3158</v>
      </c>
      <c r="C53" t="s">
        <v>87</v>
      </c>
      <c r="D53">
        <v>26</v>
      </c>
      <c r="E53" t="s">
        <v>2504</v>
      </c>
      <c r="F53">
        <v>82</v>
      </c>
      <c r="G53">
        <v>24</v>
      </c>
      <c r="H53">
        <v>34</v>
      </c>
      <c r="I53">
        <v>58</v>
      </c>
      <c r="J53">
        <v>10</v>
      </c>
      <c r="K53">
        <v>25</v>
      </c>
      <c r="L53">
        <v>19</v>
      </c>
      <c r="M53">
        <v>5</v>
      </c>
      <c r="N53">
        <v>0</v>
      </c>
      <c r="O53">
        <v>5</v>
      </c>
      <c r="P53">
        <v>2</v>
      </c>
      <c r="Q53">
        <v>20</v>
      </c>
      <c r="R53">
        <v>14</v>
      </c>
      <c r="S53">
        <v>0</v>
      </c>
      <c r="T53">
        <v>5</v>
      </c>
      <c r="U53">
        <v>2</v>
      </c>
      <c r="V53">
        <v>39</v>
      </c>
      <c r="W53">
        <v>19</v>
      </c>
      <c r="X53">
        <v>0</v>
      </c>
      <c r="Y53">
        <v>10</v>
      </c>
      <c r="Z53">
        <v>4</v>
      </c>
      <c r="AA53" t="s">
        <v>3117</v>
      </c>
      <c r="AB53" s="24">
        <v>0.70833333333333337</v>
      </c>
      <c r="AC53" s="24">
        <v>0.58888888888888891</v>
      </c>
      <c r="AD53" s="24">
        <v>0.1173611111111111</v>
      </c>
      <c r="AE53" s="24">
        <v>1.3888888888888889E-3</v>
      </c>
      <c r="AF53" t="s">
        <v>3118</v>
      </c>
      <c r="AG53" t="s">
        <v>3119</v>
      </c>
      <c r="AH53" t="s">
        <v>3120</v>
      </c>
      <c r="AI53" t="s">
        <v>3121</v>
      </c>
      <c r="AJ53" t="s">
        <v>3122</v>
      </c>
      <c r="AK53" t="s">
        <v>3123</v>
      </c>
      <c r="AL53" t="s">
        <v>3124</v>
      </c>
      <c r="AM53" t="s">
        <v>3125</v>
      </c>
      <c r="AN53" t="s">
        <v>3126</v>
      </c>
      <c r="AO53" t="s">
        <v>3127</v>
      </c>
      <c r="AP53" t="s">
        <v>2545</v>
      </c>
      <c r="AQ53" t="s">
        <v>3106</v>
      </c>
      <c r="AR53">
        <v>129</v>
      </c>
      <c r="AS53" t="s">
        <v>3128</v>
      </c>
      <c r="AT53">
        <v>32</v>
      </c>
      <c r="AU53">
        <v>22</v>
      </c>
      <c r="AV53">
        <v>14</v>
      </c>
      <c r="AW53">
        <v>15</v>
      </c>
      <c r="AX53" t="s">
        <v>3129</v>
      </c>
    </row>
    <row r="54" spans="1:50" x14ac:dyDescent="0.25">
      <c r="A54">
        <v>49</v>
      </c>
      <c r="B54" t="s">
        <v>3157</v>
      </c>
      <c r="C54" t="s">
        <v>108</v>
      </c>
      <c r="D54">
        <v>32</v>
      </c>
      <c r="E54" t="s">
        <v>2504</v>
      </c>
      <c r="F54">
        <v>82</v>
      </c>
      <c r="G54">
        <v>22</v>
      </c>
      <c r="H54">
        <v>36</v>
      </c>
      <c r="I54">
        <v>58</v>
      </c>
      <c r="J54">
        <v>83</v>
      </c>
      <c r="K54">
        <v>8</v>
      </c>
      <c r="L54">
        <v>14</v>
      </c>
      <c r="M54">
        <v>8</v>
      </c>
      <c r="N54">
        <v>0</v>
      </c>
      <c r="O54">
        <v>2</v>
      </c>
      <c r="P54">
        <v>0</v>
      </c>
      <c r="Q54">
        <v>24</v>
      </c>
      <c r="R54">
        <v>12</v>
      </c>
      <c r="S54">
        <v>0</v>
      </c>
      <c r="T54">
        <v>10</v>
      </c>
      <c r="U54">
        <v>1</v>
      </c>
      <c r="V54">
        <v>38</v>
      </c>
      <c r="W54">
        <v>20</v>
      </c>
      <c r="X54">
        <v>0</v>
      </c>
      <c r="Y54">
        <v>12</v>
      </c>
      <c r="Z54">
        <v>1</v>
      </c>
      <c r="AA54" t="s">
        <v>3130</v>
      </c>
      <c r="AB54" s="24">
        <v>0.88750000000000007</v>
      </c>
      <c r="AC54" s="24">
        <v>0.65486111111111112</v>
      </c>
      <c r="AD54" s="24">
        <v>0.11805555555555557</v>
      </c>
      <c r="AE54" s="24">
        <v>0.11388888888888889</v>
      </c>
      <c r="AF54" t="s">
        <v>2953</v>
      </c>
      <c r="AG54" t="s">
        <v>3131</v>
      </c>
      <c r="AH54" t="s">
        <v>3132</v>
      </c>
      <c r="AI54" t="s">
        <v>3133</v>
      </c>
      <c r="AJ54" t="s">
        <v>3134</v>
      </c>
      <c r="AK54" t="s">
        <v>3135</v>
      </c>
      <c r="AL54" t="s">
        <v>3136</v>
      </c>
      <c r="AM54" t="s">
        <v>3137</v>
      </c>
      <c r="AN54" t="s">
        <v>3138</v>
      </c>
      <c r="AO54" t="s">
        <v>3139</v>
      </c>
      <c r="AP54" t="s">
        <v>2644</v>
      </c>
      <c r="AQ54" t="s">
        <v>3106</v>
      </c>
      <c r="AR54">
        <v>186</v>
      </c>
      <c r="AS54" t="s">
        <v>3140</v>
      </c>
      <c r="AT54">
        <v>146</v>
      </c>
      <c r="AU54">
        <v>75</v>
      </c>
      <c r="AV54">
        <v>1029</v>
      </c>
      <c r="AW54">
        <v>764</v>
      </c>
      <c r="AX54" t="s">
        <v>3141</v>
      </c>
    </row>
    <row r="55" spans="1:50" x14ac:dyDescent="0.25">
      <c r="A55">
        <v>50</v>
      </c>
      <c r="B55" t="s">
        <v>3156</v>
      </c>
      <c r="C55" t="s">
        <v>42</v>
      </c>
      <c r="D55">
        <v>28</v>
      </c>
      <c r="E55" t="s">
        <v>2504</v>
      </c>
      <c r="F55">
        <v>72</v>
      </c>
      <c r="G55">
        <v>21</v>
      </c>
      <c r="H55">
        <v>37</v>
      </c>
      <c r="I55">
        <v>58</v>
      </c>
      <c r="J55">
        <v>35</v>
      </c>
      <c r="K55">
        <v>7</v>
      </c>
      <c r="L55">
        <v>15</v>
      </c>
      <c r="M55">
        <v>6</v>
      </c>
      <c r="N55">
        <v>0</v>
      </c>
      <c r="O55">
        <v>5</v>
      </c>
      <c r="P55">
        <v>1</v>
      </c>
      <c r="Q55">
        <v>26</v>
      </c>
      <c r="R55">
        <v>11</v>
      </c>
      <c r="S55">
        <v>0</v>
      </c>
      <c r="T55">
        <v>7</v>
      </c>
      <c r="U55">
        <v>1</v>
      </c>
      <c r="V55">
        <v>41</v>
      </c>
      <c r="W55">
        <v>17</v>
      </c>
      <c r="X55">
        <v>0</v>
      </c>
      <c r="Y55">
        <v>12</v>
      </c>
      <c r="Z55">
        <v>2</v>
      </c>
      <c r="AA55" t="s">
        <v>2634</v>
      </c>
      <c r="AB55" s="24">
        <v>0.83958333333333324</v>
      </c>
      <c r="AC55" s="24">
        <v>0.67361111111111116</v>
      </c>
      <c r="AD55" s="24">
        <v>0.11180555555555556</v>
      </c>
      <c r="AE55" s="24">
        <v>5.4166666666666669E-2</v>
      </c>
      <c r="AF55" t="s">
        <v>3142</v>
      </c>
      <c r="AG55" t="s">
        <v>3143</v>
      </c>
      <c r="AH55" t="s">
        <v>3144</v>
      </c>
      <c r="AI55" t="s">
        <v>3145</v>
      </c>
      <c r="AJ55" t="s">
        <v>3146</v>
      </c>
      <c r="AK55" t="s">
        <v>3147</v>
      </c>
      <c r="AL55" t="s">
        <v>3148</v>
      </c>
      <c r="AM55" t="s">
        <v>3149</v>
      </c>
      <c r="AN55" t="s">
        <v>3150</v>
      </c>
      <c r="AO55" t="s">
        <v>3151</v>
      </c>
      <c r="AP55" t="s">
        <v>3152</v>
      </c>
      <c r="AQ55" t="s">
        <v>3153</v>
      </c>
      <c r="AR55">
        <v>199</v>
      </c>
      <c r="AS55" t="s">
        <v>3154</v>
      </c>
      <c r="AT55">
        <v>43</v>
      </c>
      <c r="AU55">
        <v>32</v>
      </c>
      <c r="AV55">
        <v>852</v>
      </c>
      <c r="AW55">
        <v>701</v>
      </c>
      <c r="AX55" t="s">
        <v>3155</v>
      </c>
    </row>
    <row r="56" spans="1:50" x14ac:dyDescent="0.25">
      <c r="A56">
        <v>51</v>
      </c>
      <c r="C56" t="s">
        <v>112</v>
      </c>
      <c r="D56">
        <v>33</v>
      </c>
      <c r="E56" t="s">
        <v>2504</v>
      </c>
      <c r="F56">
        <v>80</v>
      </c>
      <c r="G56">
        <v>18</v>
      </c>
      <c r="H56">
        <v>40</v>
      </c>
      <c r="I56">
        <v>58</v>
      </c>
      <c r="J56">
        <v>34</v>
      </c>
      <c r="K56">
        <v>27</v>
      </c>
      <c r="L56">
        <v>16</v>
      </c>
      <c r="M56">
        <v>2</v>
      </c>
      <c r="N56">
        <v>0</v>
      </c>
      <c r="O56">
        <v>4</v>
      </c>
      <c r="P56">
        <v>1</v>
      </c>
      <c r="Q56">
        <v>20</v>
      </c>
      <c r="R56">
        <v>18</v>
      </c>
      <c r="S56">
        <v>2</v>
      </c>
      <c r="T56">
        <v>4</v>
      </c>
      <c r="U56">
        <v>1</v>
      </c>
      <c r="V56">
        <v>36</v>
      </c>
      <c r="W56">
        <v>20</v>
      </c>
      <c r="X56">
        <v>2</v>
      </c>
      <c r="Y56">
        <v>8</v>
      </c>
      <c r="Z56">
        <v>2</v>
      </c>
      <c r="AA56" t="s">
        <v>3130</v>
      </c>
      <c r="AB56" s="24">
        <v>0.79583333333333339</v>
      </c>
      <c r="AC56" s="24">
        <v>0.62638888888888888</v>
      </c>
      <c r="AD56" s="24">
        <v>9.3055555555555558E-2</v>
      </c>
      <c r="AE56" s="24">
        <v>7.5694444444444439E-2</v>
      </c>
      <c r="AF56" t="s">
        <v>3106</v>
      </c>
      <c r="AG56" t="s">
        <v>3169</v>
      </c>
      <c r="AH56" t="s">
        <v>3170</v>
      </c>
      <c r="AI56" t="s">
        <v>3171</v>
      </c>
      <c r="AJ56" t="s">
        <v>3172</v>
      </c>
      <c r="AK56" t="s">
        <v>3173</v>
      </c>
      <c r="AL56" t="s">
        <v>3174</v>
      </c>
      <c r="AM56" t="s">
        <v>3175</v>
      </c>
      <c r="AN56" t="s">
        <v>3176</v>
      </c>
      <c r="AO56" t="s">
        <v>3177</v>
      </c>
      <c r="AP56" t="s">
        <v>3013</v>
      </c>
      <c r="AQ56" t="s">
        <v>3178</v>
      </c>
      <c r="AR56">
        <v>139</v>
      </c>
      <c r="AS56" t="s">
        <v>2758</v>
      </c>
      <c r="AT56">
        <v>32</v>
      </c>
      <c r="AU56">
        <v>65</v>
      </c>
      <c r="AV56">
        <v>938</v>
      </c>
      <c r="AW56">
        <v>761</v>
      </c>
      <c r="AX56" t="s">
        <v>3179</v>
      </c>
    </row>
    <row r="57" spans="1:50" x14ac:dyDescent="0.25">
      <c r="A57">
        <v>52</v>
      </c>
      <c r="B57" t="s">
        <v>3156</v>
      </c>
      <c r="C57" t="s">
        <v>12</v>
      </c>
      <c r="D57">
        <v>28</v>
      </c>
      <c r="E57" t="s">
        <v>2504</v>
      </c>
      <c r="F57">
        <v>82</v>
      </c>
      <c r="G57">
        <v>14</v>
      </c>
      <c r="H57">
        <v>44</v>
      </c>
      <c r="I57">
        <v>58</v>
      </c>
      <c r="J57">
        <v>38</v>
      </c>
      <c r="K57">
        <v>-15</v>
      </c>
      <c r="L57">
        <v>9</v>
      </c>
      <c r="M57">
        <v>5</v>
      </c>
      <c r="N57">
        <v>0</v>
      </c>
      <c r="O57">
        <v>3</v>
      </c>
      <c r="P57">
        <v>2</v>
      </c>
      <c r="Q57">
        <v>17</v>
      </c>
      <c r="R57">
        <v>26</v>
      </c>
      <c r="S57">
        <v>1</v>
      </c>
      <c r="T57">
        <v>6</v>
      </c>
      <c r="U57">
        <v>2</v>
      </c>
      <c r="V57">
        <v>26</v>
      </c>
      <c r="W57">
        <v>31</v>
      </c>
      <c r="X57">
        <v>1</v>
      </c>
      <c r="Y57">
        <v>9</v>
      </c>
      <c r="Z57">
        <v>4</v>
      </c>
      <c r="AA57" t="s">
        <v>3180</v>
      </c>
      <c r="AB57" s="24">
        <v>0.79722222222222217</v>
      </c>
      <c r="AC57" s="24">
        <v>0.62847222222222221</v>
      </c>
      <c r="AD57" s="24">
        <v>0.15555555555555556</v>
      </c>
      <c r="AE57" s="24">
        <v>1.1111111111111112E-2</v>
      </c>
      <c r="AF57" t="s">
        <v>3181</v>
      </c>
      <c r="AG57" t="s">
        <v>3182</v>
      </c>
      <c r="AH57" t="s">
        <v>3183</v>
      </c>
      <c r="AI57" t="s">
        <v>3184</v>
      </c>
      <c r="AJ57" t="s">
        <v>2988</v>
      </c>
      <c r="AK57" t="s">
        <v>3185</v>
      </c>
      <c r="AL57" t="s">
        <v>3186</v>
      </c>
      <c r="AM57" t="s">
        <v>3187</v>
      </c>
      <c r="AN57" t="s">
        <v>3188</v>
      </c>
      <c r="AO57" t="s">
        <v>3049</v>
      </c>
      <c r="AP57" t="s">
        <v>3189</v>
      </c>
      <c r="AQ57" t="s">
        <v>3106</v>
      </c>
      <c r="AR57">
        <v>199</v>
      </c>
      <c r="AS57" t="s">
        <v>3190</v>
      </c>
      <c r="AT57">
        <v>68</v>
      </c>
      <c r="AU57">
        <v>28</v>
      </c>
      <c r="AV57">
        <v>977</v>
      </c>
      <c r="AW57">
        <v>771</v>
      </c>
      <c r="AX57" t="s">
        <v>3191</v>
      </c>
    </row>
    <row r="58" spans="1:50" x14ac:dyDescent="0.25">
      <c r="A58">
        <v>53</v>
      </c>
      <c r="B58" t="s">
        <v>3167</v>
      </c>
      <c r="C58" t="s">
        <v>146</v>
      </c>
      <c r="D58">
        <v>24</v>
      </c>
      <c r="E58" t="s">
        <v>2504</v>
      </c>
      <c r="F58">
        <v>82</v>
      </c>
      <c r="G58">
        <v>25</v>
      </c>
      <c r="H58">
        <v>32</v>
      </c>
      <c r="I58">
        <v>57</v>
      </c>
      <c r="J58">
        <v>53</v>
      </c>
      <c r="K58">
        <v>17</v>
      </c>
      <c r="L58">
        <v>17</v>
      </c>
      <c r="M58">
        <v>8</v>
      </c>
      <c r="N58">
        <v>0</v>
      </c>
      <c r="O58">
        <v>3</v>
      </c>
      <c r="P58">
        <v>0</v>
      </c>
      <c r="Q58">
        <v>26</v>
      </c>
      <c r="R58">
        <v>6</v>
      </c>
      <c r="S58">
        <v>0</v>
      </c>
      <c r="T58">
        <v>8</v>
      </c>
      <c r="U58">
        <v>0</v>
      </c>
      <c r="V58">
        <v>43</v>
      </c>
      <c r="W58">
        <v>14</v>
      </c>
      <c r="X58">
        <v>0</v>
      </c>
      <c r="Y58">
        <v>11</v>
      </c>
      <c r="Z58">
        <v>0</v>
      </c>
      <c r="AA58" t="s">
        <v>2890</v>
      </c>
      <c r="AB58" s="24">
        <v>0.62777777777777777</v>
      </c>
      <c r="AC58" s="24">
        <v>0.54375000000000007</v>
      </c>
      <c r="AD58" s="24">
        <v>8.3333333333333329E-2</v>
      </c>
      <c r="AE58" s="24">
        <v>0</v>
      </c>
      <c r="AF58" t="s">
        <v>3192</v>
      </c>
      <c r="AG58" t="s">
        <v>3193</v>
      </c>
      <c r="AH58" t="s">
        <v>3194</v>
      </c>
      <c r="AI58" t="s">
        <v>3195</v>
      </c>
      <c r="AJ58" t="s">
        <v>3196</v>
      </c>
      <c r="AK58" t="s">
        <v>3197</v>
      </c>
      <c r="AL58" t="s">
        <v>3198</v>
      </c>
      <c r="AM58" t="s">
        <v>3199</v>
      </c>
      <c r="AN58" t="s">
        <v>3200</v>
      </c>
      <c r="AO58" t="s">
        <v>2926</v>
      </c>
      <c r="AP58" t="s">
        <v>2872</v>
      </c>
      <c r="AQ58" t="s">
        <v>3201</v>
      </c>
      <c r="AR58">
        <v>186</v>
      </c>
      <c r="AS58" t="s">
        <v>3202</v>
      </c>
      <c r="AT58">
        <v>120</v>
      </c>
      <c r="AU58">
        <v>20</v>
      </c>
      <c r="AV58">
        <v>0</v>
      </c>
      <c r="AW58">
        <v>1</v>
      </c>
      <c r="AX58" t="s">
        <v>2579</v>
      </c>
    </row>
    <row r="59" spans="1:50" x14ac:dyDescent="0.25">
      <c r="A59">
        <v>54</v>
      </c>
      <c r="B59" t="s">
        <v>3157</v>
      </c>
      <c r="C59" t="s">
        <v>27</v>
      </c>
      <c r="D59">
        <v>20</v>
      </c>
      <c r="E59" t="s">
        <v>2504</v>
      </c>
      <c r="F59">
        <v>61</v>
      </c>
      <c r="G59">
        <v>24</v>
      </c>
      <c r="H59">
        <v>33</v>
      </c>
      <c r="I59">
        <v>57</v>
      </c>
      <c r="J59">
        <v>22</v>
      </c>
      <c r="K59">
        <v>-13</v>
      </c>
      <c r="L59">
        <v>14</v>
      </c>
      <c r="M59">
        <v>10</v>
      </c>
      <c r="N59">
        <v>0</v>
      </c>
      <c r="O59">
        <v>4</v>
      </c>
      <c r="P59">
        <v>1</v>
      </c>
      <c r="Q59">
        <v>19</v>
      </c>
      <c r="R59">
        <v>14</v>
      </c>
      <c r="S59">
        <v>0</v>
      </c>
      <c r="T59">
        <v>5</v>
      </c>
      <c r="U59">
        <v>3</v>
      </c>
      <c r="V59">
        <v>33</v>
      </c>
      <c r="W59">
        <v>24</v>
      </c>
      <c r="X59">
        <v>0</v>
      </c>
      <c r="Y59">
        <v>9</v>
      </c>
      <c r="Z59">
        <v>4</v>
      </c>
      <c r="AA59" t="s">
        <v>3203</v>
      </c>
      <c r="AB59" s="24">
        <v>0.82986111111111116</v>
      </c>
      <c r="AC59" s="24">
        <v>0.69513888888888886</v>
      </c>
      <c r="AD59" s="24">
        <v>0.12361111111111112</v>
      </c>
      <c r="AE59" s="24">
        <v>9.7222222222222224E-3</v>
      </c>
      <c r="AF59" t="s">
        <v>3204</v>
      </c>
      <c r="AG59" t="s">
        <v>3205</v>
      </c>
      <c r="AH59" t="s">
        <v>3206</v>
      </c>
      <c r="AI59" t="s">
        <v>3207</v>
      </c>
      <c r="AJ59" t="s">
        <v>3208</v>
      </c>
      <c r="AK59" t="s">
        <v>3209</v>
      </c>
      <c r="AL59" t="s">
        <v>3210</v>
      </c>
      <c r="AM59" t="s">
        <v>3211</v>
      </c>
      <c r="AN59" t="s">
        <v>3212</v>
      </c>
      <c r="AO59" t="s">
        <v>3213</v>
      </c>
      <c r="AP59" t="s">
        <v>2575</v>
      </c>
      <c r="AQ59" t="s">
        <v>3214</v>
      </c>
      <c r="AR59">
        <v>249</v>
      </c>
      <c r="AS59" t="s">
        <v>2730</v>
      </c>
      <c r="AT59">
        <v>26</v>
      </c>
      <c r="AU59">
        <v>35</v>
      </c>
      <c r="AV59">
        <v>310</v>
      </c>
      <c r="AW59">
        <v>486</v>
      </c>
      <c r="AX59" t="s">
        <v>3215</v>
      </c>
    </row>
    <row r="60" spans="1:50" x14ac:dyDescent="0.25">
      <c r="A60">
        <v>55</v>
      </c>
      <c r="B60" t="s">
        <v>3157</v>
      </c>
      <c r="C60" t="s">
        <v>85</v>
      </c>
      <c r="D60">
        <v>30</v>
      </c>
      <c r="E60" t="s">
        <v>2504</v>
      </c>
      <c r="F60">
        <v>68</v>
      </c>
      <c r="G60">
        <v>33</v>
      </c>
      <c r="H60">
        <v>23</v>
      </c>
      <c r="I60">
        <v>56</v>
      </c>
      <c r="J60">
        <v>36</v>
      </c>
      <c r="K60">
        <v>28</v>
      </c>
      <c r="L60">
        <v>25</v>
      </c>
      <c r="M60">
        <v>7</v>
      </c>
      <c r="N60">
        <v>1</v>
      </c>
      <c r="O60">
        <v>4</v>
      </c>
      <c r="P60">
        <v>1</v>
      </c>
      <c r="Q60">
        <v>15</v>
      </c>
      <c r="R60">
        <v>6</v>
      </c>
      <c r="S60">
        <v>2</v>
      </c>
      <c r="T60">
        <v>5</v>
      </c>
      <c r="U60">
        <v>0</v>
      </c>
      <c r="V60">
        <v>40</v>
      </c>
      <c r="W60">
        <v>13</v>
      </c>
      <c r="X60">
        <v>3</v>
      </c>
      <c r="Y60">
        <v>9</v>
      </c>
      <c r="Z60">
        <v>1</v>
      </c>
      <c r="AA60" t="s">
        <v>3216</v>
      </c>
      <c r="AB60" s="24">
        <v>0.74305555555555547</v>
      </c>
      <c r="AC60" s="24">
        <v>0.58124999999999993</v>
      </c>
      <c r="AD60" s="24">
        <v>0.12083333333333333</v>
      </c>
      <c r="AE60" s="24">
        <v>4.0972222222222222E-2</v>
      </c>
      <c r="AF60" t="s">
        <v>3217</v>
      </c>
      <c r="AG60" t="s">
        <v>3218</v>
      </c>
      <c r="AH60" t="s">
        <v>3219</v>
      </c>
      <c r="AI60" t="s">
        <v>3220</v>
      </c>
      <c r="AJ60" t="s">
        <v>3221</v>
      </c>
      <c r="AK60" t="s">
        <v>3222</v>
      </c>
      <c r="AL60" t="s">
        <v>3223</v>
      </c>
      <c r="AM60" t="s">
        <v>3224</v>
      </c>
      <c r="AN60" t="s">
        <v>3225</v>
      </c>
      <c r="AO60" t="s">
        <v>3226</v>
      </c>
      <c r="AP60" t="s">
        <v>2814</v>
      </c>
      <c r="AQ60" t="s">
        <v>2988</v>
      </c>
      <c r="AR60">
        <v>143</v>
      </c>
      <c r="AS60" t="s">
        <v>3227</v>
      </c>
      <c r="AT60">
        <v>95</v>
      </c>
      <c r="AU60">
        <v>50</v>
      </c>
      <c r="AV60">
        <v>87</v>
      </c>
      <c r="AW60">
        <v>93</v>
      </c>
      <c r="AX60" t="s">
        <v>3228</v>
      </c>
    </row>
    <row r="61" spans="1:50" x14ac:dyDescent="0.25">
      <c r="A61">
        <v>56</v>
      </c>
      <c r="B61" t="s">
        <v>3157</v>
      </c>
      <c r="C61" t="s">
        <v>129</v>
      </c>
      <c r="D61">
        <v>23</v>
      </c>
      <c r="E61" t="s">
        <v>2504</v>
      </c>
      <c r="F61">
        <v>82</v>
      </c>
      <c r="G61">
        <v>22</v>
      </c>
      <c r="H61">
        <v>34</v>
      </c>
      <c r="I61">
        <v>56</v>
      </c>
      <c r="J61">
        <v>21</v>
      </c>
      <c r="K61">
        <v>17</v>
      </c>
      <c r="L61">
        <v>17</v>
      </c>
      <c r="M61">
        <v>2</v>
      </c>
      <c r="N61">
        <v>3</v>
      </c>
      <c r="O61">
        <v>6</v>
      </c>
      <c r="P61">
        <v>1</v>
      </c>
      <c r="Q61">
        <v>28</v>
      </c>
      <c r="R61">
        <v>5</v>
      </c>
      <c r="S61">
        <v>1</v>
      </c>
      <c r="T61">
        <v>7</v>
      </c>
      <c r="U61">
        <v>1</v>
      </c>
      <c r="V61">
        <v>45</v>
      </c>
      <c r="W61">
        <v>7</v>
      </c>
      <c r="X61">
        <v>4</v>
      </c>
      <c r="Y61">
        <v>13</v>
      </c>
      <c r="Z61">
        <v>2</v>
      </c>
      <c r="AA61" t="s">
        <v>2832</v>
      </c>
      <c r="AB61" s="24">
        <v>0.68194444444444446</v>
      </c>
      <c r="AC61" s="24">
        <v>0.56874999999999998</v>
      </c>
      <c r="AD61" s="24">
        <v>6.0416666666666667E-2</v>
      </c>
      <c r="AE61" s="24">
        <v>5.2083333333333336E-2</v>
      </c>
      <c r="AF61" t="s">
        <v>3121</v>
      </c>
      <c r="AG61" t="s">
        <v>3229</v>
      </c>
      <c r="AH61" t="s">
        <v>2586</v>
      </c>
      <c r="AI61" t="s">
        <v>2729</v>
      </c>
      <c r="AJ61" t="s">
        <v>3230</v>
      </c>
      <c r="AK61" t="s">
        <v>2840</v>
      </c>
      <c r="AL61" t="s">
        <v>3231</v>
      </c>
      <c r="AM61" t="s">
        <v>3232</v>
      </c>
      <c r="AN61" t="s">
        <v>3233</v>
      </c>
      <c r="AO61" t="s">
        <v>3139</v>
      </c>
      <c r="AP61" t="s">
        <v>2545</v>
      </c>
      <c r="AQ61" t="s">
        <v>2810</v>
      </c>
      <c r="AR61">
        <v>132</v>
      </c>
      <c r="AS61" t="s">
        <v>3234</v>
      </c>
      <c r="AT61">
        <v>101</v>
      </c>
      <c r="AU61">
        <v>56</v>
      </c>
      <c r="AV61">
        <v>156</v>
      </c>
      <c r="AW61">
        <v>200</v>
      </c>
      <c r="AX61" t="s">
        <v>3235</v>
      </c>
    </row>
    <row r="62" spans="1:50" x14ac:dyDescent="0.25">
      <c r="A62">
        <v>57</v>
      </c>
      <c r="B62" t="s">
        <v>3157</v>
      </c>
      <c r="C62" t="s">
        <v>1764</v>
      </c>
      <c r="D62">
        <v>24</v>
      </c>
      <c r="E62" t="s">
        <v>2504</v>
      </c>
      <c r="F62">
        <v>82</v>
      </c>
      <c r="G62">
        <v>18</v>
      </c>
      <c r="H62">
        <v>38</v>
      </c>
      <c r="I62">
        <v>56</v>
      </c>
      <c r="J62">
        <v>36</v>
      </c>
      <c r="K62">
        <v>13</v>
      </c>
      <c r="L62">
        <v>14</v>
      </c>
      <c r="M62">
        <v>4</v>
      </c>
      <c r="N62">
        <v>0</v>
      </c>
      <c r="O62">
        <v>5</v>
      </c>
      <c r="P62">
        <v>0</v>
      </c>
      <c r="Q62">
        <v>33</v>
      </c>
      <c r="R62">
        <v>5</v>
      </c>
      <c r="S62">
        <v>0</v>
      </c>
      <c r="T62">
        <v>10</v>
      </c>
      <c r="U62">
        <v>2</v>
      </c>
      <c r="V62">
        <v>47</v>
      </c>
      <c r="W62">
        <v>9</v>
      </c>
      <c r="X62">
        <v>0</v>
      </c>
      <c r="Y62">
        <v>15</v>
      </c>
      <c r="Z62">
        <v>2</v>
      </c>
      <c r="AA62" t="s">
        <v>3236</v>
      </c>
      <c r="AB62" s="24">
        <v>0.6958333333333333</v>
      </c>
      <c r="AC62" s="24">
        <v>0.59236111111111112</v>
      </c>
      <c r="AD62" s="24">
        <v>8.8888888888888892E-2</v>
      </c>
      <c r="AE62" s="24">
        <v>1.4583333333333332E-2</v>
      </c>
      <c r="AF62" t="s">
        <v>3237</v>
      </c>
      <c r="AG62" t="s">
        <v>3238</v>
      </c>
      <c r="AH62" t="s">
        <v>3239</v>
      </c>
      <c r="AI62" t="s">
        <v>3240</v>
      </c>
      <c r="AJ62" t="s">
        <v>3241</v>
      </c>
      <c r="AK62" t="s">
        <v>3242</v>
      </c>
      <c r="AL62" t="s">
        <v>2856</v>
      </c>
      <c r="AM62" t="s">
        <v>2692</v>
      </c>
      <c r="AN62" t="s">
        <v>3243</v>
      </c>
      <c r="AO62" t="s">
        <v>3244</v>
      </c>
      <c r="AP62" t="s">
        <v>3245</v>
      </c>
      <c r="AQ62" t="s">
        <v>2810</v>
      </c>
      <c r="AR62">
        <v>159</v>
      </c>
      <c r="AS62" t="s">
        <v>3246</v>
      </c>
      <c r="AT62">
        <v>101</v>
      </c>
      <c r="AU62">
        <v>63</v>
      </c>
      <c r="AV62">
        <v>114</v>
      </c>
      <c r="AW62">
        <v>134</v>
      </c>
      <c r="AX62" t="s">
        <v>3247</v>
      </c>
    </row>
    <row r="63" spans="1:50" x14ac:dyDescent="0.25">
      <c r="A63">
        <v>58</v>
      </c>
      <c r="B63" t="s">
        <v>3156</v>
      </c>
      <c r="C63" t="s">
        <v>3165</v>
      </c>
      <c r="D63">
        <v>27</v>
      </c>
      <c r="E63" t="s">
        <v>2504</v>
      </c>
      <c r="F63">
        <v>82</v>
      </c>
      <c r="G63">
        <v>13</v>
      </c>
      <c r="H63">
        <v>43</v>
      </c>
      <c r="I63">
        <v>56</v>
      </c>
      <c r="J63">
        <v>12</v>
      </c>
      <c r="K63">
        <v>5</v>
      </c>
      <c r="L63">
        <v>10</v>
      </c>
      <c r="M63">
        <v>3</v>
      </c>
      <c r="N63">
        <v>0</v>
      </c>
      <c r="O63">
        <v>1</v>
      </c>
      <c r="P63">
        <v>1</v>
      </c>
      <c r="Q63">
        <v>34</v>
      </c>
      <c r="R63">
        <v>9</v>
      </c>
      <c r="S63">
        <v>0</v>
      </c>
      <c r="T63">
        <v>4</v>
      </c>
      <c r="U63">
        <v>2</v>
      </c>
      <c r="V63">
        <v>44</v>
      </c>
      <c r="W63">
        <v>12</v>
      </c>
      <c r="X63">
        <v>0</v>
      </c>
      <c r="Y63">
        <v>5</v>
      </c>
      <c r="Z63">
        <v>3</v>
      </c>
      <c r="AA63" t="s">
        <v>3248</v>
      </c>
      <c r="AB63" s="24">
        <v>0.76527777777777783</v>
      </c>
      <c r="AC63" s="24">
        <v>0.62777777777777777</v>
      </c>
      <c r="AD63" s="24">
        <v>0.11805555555555557</v>
      </c>
      <c r="AE63" s="24">
        <v>1.8055555555555557E-2</v>
      </c>
      <c r="AF63" t="s">
        <v>3249</v>
      </c>
      <c r="AG63" t="s">
        <v>3250</v>
      </c>
      <c r="AH63" t="s">
        <v>3251</v>
      </c>
      <c r="AI63" t="s">
        <v>3252</v>
      </c>
      <c r="AJ63" t="s">
        <v>2766</v>
      </c>
      <c r="AK63" t="s">
        <v>2681</v>
      </c>
      <c r="AL63" t="s">
        <v>3253</v>
      </c>
      <c r="AM63" t="s">
        <v>3254</v>
      </c>
      <c r="AN63" t="s">
        <v>3255</v>
      </c>
      <c r="AO63" t="s">
        <v>3256</v>
      </c>
      <c r="AP63" t="s">
        <v>2659</v>
      </c>
      <c r="AQ63" t="s">
        <v>2810</v>
      </c>
      <c r="AR63">
        <v>173</v>
      </c>
      <c r="AS63" t="s">
        <v>3257</v>
      </c>
      <c r="AT63">
        <v>37</v>
      </c>
      <c r="AU63">
        <v>53</v>
      </c>
      <c r="AV63">
        <v>8</v>
      </c>
      <c r="AW63">
        <v>7</v>
      </c>
      <c r="AX63" t="s">
        <v>3258</v>
      </c>
    </row>
    <row r="64" spans="1:50" x14ac:dyDescent="0.25">
      <c r="A64">
        <v>59</v>
      </c>
      <c r="B64" t="s">
        <v>3157</v>
      </c>
      <c r="C64" t="s">
        <v>141</v>
      </c>
      <c r="D64">
        <v>27</v>
      </c>
      <c r="E64" t="s">
        <v>1719</v>
      </c>
      <c r="F64">
        <v>80</v>
      </c>
      <c r="G64">
        <v>13</v>
      </c>
      <c r="H64">
        <v>43</v>
      </c>
      <c r="I64">
        <v>56</v>
      </c>
      <c r="J64">
        <v>47</v>
      </c>
      <c r="K64">
        <v>-7</v>
      </c>
      <c r="L64">
        <v>5</v>
      </c>
      <c r="M64">
        <v>8</v>
      </c>
      <c r="N64">
        <v>0</v>
      </c>
      <c r="O64">
        <v>2</v>
      </c>
      <c r="P64">
        <v>0</v>
      </c>
      <c r="Q64">
        <v>24</v>
      </c>
      <c r="R64">
        <v>19</v>
      </c>
      <c r="S64">
        <v>0</v>
      </c>
      <c r="T64">
        <v>15</v>
      </c>
      <c r="U64">
        <v>4</v>
      </c>
      <c r="V64">
        <v>29</v>
      </c>
      <c r="W64">
        <v>27</v>
      </c>
      <c r="X64">
        <v>0</v>
      </c>
      <c r="Y64">
        <v>17</v>
      </c>
      <c r="Z64">
        <v>4</v>
      </c>
      <c r="AA64" t="s">
        <v>3259</v>
      </c>
      <c r="AB64" s="24">
        <v>0.82986111111111116</v>
      </c>
      <c r="AC64" s="24">
        <v>0.68402777777777779</v>
      </c>
      <c r="AD64" s="24">
        <v>0.13263888888888889</v>
      </c>
      <c r="AE64" s="24">
        <v>1.2499999999999999E-2</v>
      </c>
      <c r="AF64" t="s">
        <v>3260</v>
      </c>
      <c r="AG64" t="s">
        <v>3261</v>
      </c>
      <c r="AH64" t="s">
        <v>3262</v>
      </c>
      <c r="AI64" t="s">
        <v>3263</v>
      </c>
      <c r="AJ64" t="s">
        <v>3264</v>
      </c>
      <c r="AK64" t="s">
        <v>3265</v>
      </c>
      <c r="AL64" t="s">
        <v>3266</v>
      </c>
      <c r="AM64" t="s">
        <v>3267</v>
      </c>
      <c r="AN64" t="s">
        <v>3268</v>
      </c>
      <c r="AO64" t="s">
        <v>3094</v>
      </c>
      <c r="AP64" t="s">
        <v>3269</v>
      </c>
      <c r="AQ64" t="s">
        <v>3270</v>
      </c>
      <c r="AR64">
        <v>161</v>
      </c>
      <c r="AS64" t="s">
        <v>3271</v>
      </c>
      <c r="AT64">
        <v>88</v>
      </c>
      <c r="AU64">
        <v>95</v>
      </c>
      <c r="AV64">
        <v>0</v>
      </c>
      <c r="AW64">
        <v>0</v>
      </c>
      <c r="AX64" t="s">
        <v>2579</v>
      </c>
    </row>
    <row r="65" spans="1:50" x14ac:dyDescent="0.25">
      <c r="A65">
        <v>60</v>
      </c>
      <c r="B65" t="s">
        <v>3156</v>
      </c>
      <c r="C65" t="s">
        <v>54</v>
      </c>
      <c r="D65">
        <v>27</v>
      </c>
      <c r="E65" t="s">
        <v>2504</v>
      </c>
      <c r="F65">
        <v>78</v>
      </c>
      <c r="G65">
        <v>27</v>
      </c>
      <c r="H65">
        <v>28</v>
      </c>
      <c r="I65">
        <v>55</v>
      </c>
      <c r="J65">
        <v>47</v>
      </c>
      <c r="K65">
        <v>-3</v>
      </c>
      <c r="L65">
        <v>21</v>
      </c>
      <c r="M65">
        <v>6</v>
      </c>
      <c r="N65">
        <v>0</v>
      </c>
      <c r="O65">
        <v>6</v>
      </c>
      <c r="P65">
        <v>2</v>
      </c>
      <c r="Q65">
        <v>17</v>
      </c>
      <c r="R65">
        <v>11</v>
      </c>
      <c r="S65">
        <v>0</v>
      </c>
      <c r="T65">
        <v>6</v>
      </c>
      <c r="U65">
        <v>0</v>
      </c>
      <c r="V65">
        <v>38</v>
      </c>
      <c r="W65">
        <v>17</v>
      </c>
      <c r="X65">
        <v>0</v>
      </c>
      <c r="Y65">
        <v>12</v>
      </c>
      <c r="Z65">
        <v>2</v>
      </c>
      <c r="AA65" t="s">
        <v>3272</v>
      </c>
      <c r="AB65" s="24">
        <v>0.8125</v>
      </c>
      <c r="AC65" s="24">
        <v>0.66111111111111109</v>
      </c>
      <c r="AD65" s="24">
        <v>0.12152777777777778</v>
      </c>
      <c r="AE65" s="24">
        <v>2.9861111111111113E-2</v>
      </c>
      <c r="AF65" t="s">
        <v>3273</v>
      </c>
      <c r="AG65" t="s">
        <v>3274</v>
      </c>
      <c r="AH65" t="s">
        <v>2825</v>
      </c>
      <c r="AI65" t="s">
        <v>3275</v>
      </c>
      <c r="AJ65" t="s">
        <v>2988</v>
      </c>
      <c r="AK65" t="s">
        <v>3276</v>
      </c>
      <c r="AL65" t="s">
        <v>3277</v>
      </c>
      <c r="AM65" t="s">
        <v>2698</v>
      </c>
      <c r="AN65" t="s">
        <v>3278</v>
      </c>
      <c r="AO65" t="s">
        <v>3279</v>
      </c>
      <c r="AP65" t="s">
        <v>3280</v>
      </c>
      <c r="AQ65" t="s">
        <v>3281</v>
      </c>
      <c r="AR65">
        <v>185</v>
      </c>
      <c r="AS65" t="s">
        <v>2954</v>
      </c>
      <c r="AT65">
        <v>21</v>
      </c>
      <c r="AU65">
        <v>61</v>
      </c>
      <c r="AV65">
        <v>650</v>
      </c>
      <c r="AW65">
        <v>575</v>
      </c>
      <c r="AX65" t="s">
        <v>3282</v>
      </c>
    </row>
    <row r="66" spans="1:50" x14ac:dyDescent="0.25">
      <c r="A66">
        <v>61</v>
      </c>
      <c r="B66" t="s">
        <v>3156</v>
      </c>
      <c r="C66" t="s">
        <v>75</v>
      </c>
      <c r="D66">
        <v>25</v>
      </c>
      <c r="E66" t="s">
        <v>2504</v>
      </c>
      <c r="F66">
        <v>79</v>
      </c>
      <c r="G66">
        <v>25</v>
      </c>
      <c r="H66">
        <v>30</v>
      </c>
      <c r="I66">
        <v>55</v>
      </c>
      <c r="J66">
        <v>38</v>
      </c>
      <c r="K66">
        <v>-13</v>
      </c>
      <c r="L66">
        <v>8</v>
      </c>
      <c r="M66">
        <v>17</v>
      </c>
      <c r="N66">
        <v>0</v>
      </c>
      <c r="O66">
        <v>7</v>
      </c>
      <c r="P66">
        <v>2</v>
      </c>
      <c r="Q66">
        <v>19</v>
      </c>
      <c r="R66">
        <v>11</v>
      </c>
      <c r="S66">
        <v>0</v>
      </c>
      <c r="T66">
        <v>3</v>
      </c>
      <c r="U66">
        <v>0</v>
      </c>
      <c r="V66">
        <v>27</v>
      </c>
      <c r="W66">
        <v>28</v>
      </c>
      <c r="X66">
        <v>0</v>
      </c>
      <c r="Y66">
        <v>10</v>
      </c>
      <c r="Z66">
        <v>2</v>
      </c>
      <c r="AA66" t="s">
        <v>3283</v>
      </c>
      <c r="AB66" s="24">
        <v>0.7416666666666667</v>
      </c>
      <c r="AC66" s="24">
        <v>0.58472222222222225</v>
      </c>
      <c r="AD66" s="24">
        <v>0.15555555555555556</v>
      </c>
      <c r="AE66" s="24">
        <v>6.9444444444444447E-4</v>
      </c>
      <c r="AF66" t="s">
        <v>3284</v>
      </c>
      <c r="AG66" t="s">
        <v>3285</v>
      </c>
      <c r="AH66" t="s">
        <v>3286</v>
      </c>
      <c r="AI66" t="s">
        <v>3287</v>
      </c>
      <c r="AJ66" t="s">
        <v>3288</v>
      </c>
      <c r="AK66" t="s">
        <v>3289</v>
      </c>
      <c r="AL66" t="s">
        <v>3290</v>
      </c>
      <c r="AM66" t="s">
        <v>3291</v>
      </c>
      <c r="AN66" t="s">
        <v>3292</v>
      </c>
      <c r="AO66" t="s">
        <v>3293</v>
      </c>
      <c r="AP66" t="s">
        <v>3294</v>
      </c>
      <c r="AQ66" t="s">
        <v>3295</v>
      </c>
      <c r="AR66">
        <v>178</v>
      </c>
      <c r="AS66" t="s">
        <v>3296</v>
      </c>
      <c r="AT66">
        <v>189</v>
      </c>
      <c r="AU66">
        <v>42</v>
      </c>
      <c r="AV66">
        <v>232</v>
      </c>
      <c r="AW66">
        <v>262</v>
      </c>
      <c r="AX66" t="s">
        <v>3297</v>
      </c>
    </row>
    <row r="67" spans="1:50" x14ac:dyDescent="0.25">
      <c r="A67">
        <v>62</v>
      </c>
      <c r="B67" t="s">
        <v>3161</v>
      </c>
      <c r="C67" t="s">
        <v>1767</v>
      </c>
      <c r="D67">
        <v>35</v>
      </c>
      <c r="E67" t="s">
        <v>2504</v>
      </c>
      <c r="F67">
        <v>81</v>
      </c>
      <c r="G67">
        <v>20</v>
      </c>
      <c r="H67">
        <v>35</v>
      </c>
      <c r="I67">
        <v>55</v>
      </c>
      <c r="J67">
        <v>16</v>
      </c>
      <c r="K67">
        <v>-18</v>
      </c>
      <c r="L67">
        <v>16</v>
      </c>
      <c r="M67">
        <v>4</v>
      </c>
      <c r="N67">
        <v>0</v>
      </c>
      <c r="O67">
        <v>4</v>
      </c>
      <c r="P67">
        <v>0</v>
      </c>
      <c r="Q67">
        <v>24</v>
      </c>
      <c r="R67">
        <v>11</v>
      </c>
      <c r="S67">
        <v>0</v>
      </c>
      <c r="T67">
        <v>5</v>
      </c>
      <c r="U67">
        <v>2</v>
      </c>
      <c r="V67">
        <v>40</v>
      </c>
      <c r="W67">
        <v>15</v>
      </c>
      <c r="X67">
        <v>0</v>
      </c>
      <c r="Y67">
        <v>9</v>
      </c>
      <c r="Z67">
        <v>2</v>
      </c>
      <c r="AA67" t="s">
        <v>2876</v>
      </c>
      <c r="AB67" s="24">
        <v>0.70347222222222217</v>
      </c>
      <c r="AC67" s="24">
        <v>0.5805555555555556</v>
      </c>
      <c r="AD67" s="24">
        <v>0.11180555555555556</v>
      </c>
      <c r="AE67" s="24">
        <v>1.0416666666666666E-2</v>
      </c>
      <c r="AF67" t="s">
        <v>2915</v>
      </c>
      <c r="AG67" t="s">
        <v>3298</v>
      </c>
      <c r="AH67" t="s">
        <v>3299</v>
      </c>
      <c r="AI67" t="s">
        <v>3300</v>
      </c>
      <c r="AJ67" t="s">
        <v>3301</v>
      </c>
      <c r="AK67" t="s">
        <v>3302</v>
      </c>
      <c r="AL67" t="s">
        <v>2959</v>
      </c>
      <c r="AM67" t="s">
        <v>3303</v>
      </c>
      <c r="AN67" t="s">
        <v>3304</v>
      </c>
      <c r="AO67" t="s">
        <v>3025</v>
      </c>
      <c r="AP67" t="s">
        <v>2858</v>
      </c>
      <c r="AQ67" t="s">
        <v>3305</v>
      </c>
      <c r="AR67">
        <v>233</v>
      </c>
      <c r="AS67" t="s">
        <v>2717</v>
      </c>
      <c r="AT67">
        <v>48</v>
      </c>
      <c r="AU67">
        <v>31</v>
      </c>
      <c r="AV67">
        <v>17</v>
      </c>
      <c r="AW67">
        <v>30</v>
      </c>
      <c r="AX67" t="s">
        <v>3306</v>
      </c>
    </row>
    <row r="68" spans="1:50" x14ac:dyDescent="0.25">
      <c r="A68">
        <v>63</v>
      </c>
      <c r="B68" t="s">
        <v>3156</v>
      </c>
      <c r="C68" t="s">
        <v>44</v>
      </c>
      <c r="D68">
        <v>25</v>
      </c>
      <c r="E68" t="s">
        <v>2504</v>
      </c>
      <c r="F68">
        <v>72</v>
      </c>
      <c r="G68">
        <v>20</v>
      </c>
      <c r="H68">
        <v>35</v>
      </c>
      <c r="I68">
        <v>55</v>
      </c>
      <c r="J68">
        <v>10</v>
      </c>
      <c r="K68">
        <v>-1</v>
      </c>
      <c r="L68">
        <v>11</v>
      </c>
      <c r="M68">
        <v>8</v>
      </c>
      <c r="N68">
        <v>1</v>
      </c>
      <c r="O68">
        <v>3</v>
      </c>
      <c r="P68">
        <v>0</v>
      </c>
      <c r="Q68">
        <v>18</v>
      </c>
      <c r="R68">
        <v>16</v>
      </c>
      <c r="S68">
        <v>1</v>
      </c>
      <c r="T68">
        <v>8</v>
      </c>
      <c r="U68">
        <v>3</v>
      </c>
      <c r="V68">
        <v>29</v>
      </c>
      <c r="W68">
        <v>24</v>
      </c>
      <c r="X68">
        <v>2</v>
      </c>
      <c r="Y68">
        <v>11</v>
      </c>
      <c r="Z68">
        <v>3</v>
      </c>
      <c r="AA68" t="s">
        <v>3307</v>
      </c>
      <c r="AB68" s="24">
        <v>0.89374999999999993</v>
      </c>
      <c r="AC68" s="24">
        <v>0.67569444444444438</v>
      </c>
      <c r="AD68" s="24">
        <v>0.12013888888888889</v>
      </c>
      <c r="AE68" s="24">
        <v>9.6527777777777768E-2</v>
      </c>
      <c r="AF68" t="s">
        <v>3308</v>
      </c>
      <c r="AG68" t="s">
        <v>3309</v>
      </c>
      <c r="AH68" t="s">
        <v>2681</v>
      </c>
      <c r="AI68" t="s">
        <v>3310</v>
      </c>
      <c r="AJ68" t="s">
        <v>3311</v>
      </c>
      <c r="AK68" t="s">
        <v>3312</v>
      </c>
      <c r="AL68" t="s">
        <v>3313</v>
      </c>
      <c r="AM68" t="s">
        <v>3314</v>
      </c>
      <c r="AN68" t="s">
        <v>3315</v>
      </c>
      <c r="AO68" t="s">
        <v>3316</v>
      </c>
      <c r="AP68" t="s">
        <v>3252</v>
      </c>
      <c r="AQ68" t="s">
        <v>2763</v>
      </c>
      <c r="AR68">
        <v>189</v>
      </c>
      <c r="AS68" t="s">
        <v>3154</v>
      </c>
      <c r="AT68">
        <v>21</v>
      </c>
      <c r="AU68">
        <v>45</v>
      </c>
      <c r="AV68">
        <v>1039</v>
      </c>
      <c r="AW68">
        <v>752</v>
      </c>
      <c r="AX68" t="s">
        <v>3317</v>
      </c>
    </row>
    <row r="69" spans="1:50" x14ac:dyDescent="0.25">
      <c r="A69">
        <v>64</v>
      </c>
      <c r="B69" t="s">
        <v>3156</v>
      </c>
      <c r="C69" t="s">
        <v>59</v>
      </c>
      <c r="D69">
        <v>24</v>
      </c>
      <c r="E69" t="s">
        <v>2504</v>
      </c>
      <c r="F69">
        <v>78</v>
      </c>
      <c r="G69">
        <v>19</v>
      </c>
      <c r="H69">
        <v>36</v>
      </c>
      <c r="I69">
        <v>55</v>
      </c>
      <c r="J69">
        <v>18</v>
      </c>
      <c r="K69">
        <v>14</v>
      </c>
      <c r="L69">
        <v>16</v>
      </c>
      <c r="M69">
        <v>3</v>
      </c>
      <c r="N69">
        <v>0</v>
      </c>
      <c r="O69">
        <v>4</v>
      </c>
      <c r="P69">
        <v>1</v>
      </c>
      <c r="Q69">
        <v>30</v>
      </c>
      <c r="R69">
        <v>6</v>
      </c>
      <c r="S69">
        <v>0</v>
      </c>
      <c r="T69">
        <v>6</v>
      </c>
      <c r="U69">
        <v>2</v>
      </c>
      <c r="V69">
        <v>46</v>
      </c>
      <c r="W69">
        <v>9</v>
      </c>
      <c r="X69">
        <v>0</v>
      </c>
      <c r="Y69">
        <v>10</v>
      </c>
      <c r="Z69">
        <v>3</v>
      </c>
      <c r="AA69" t="s">
        <v>3318</v>
      </c>
      <c r="AB69" s="24">
        <v>0.78749999999999998</v>
      </c>
      <c r="AC69" s="24">
        <v>0.63194444444444442</v>
      </c>
      <c r="AD69" s="24">
        <v>0.10972222222222222</v>
      </c>
      <c r="AE69" s="24">
        <v>4.5138888888888888E-2</v>
      </c>
      <c r="AF69" t="s">
        <v>3145</v>
      </c>
      <c r="AG69" t="s">
        <v>3319</v>
      </c>
      <c r="AH69" t="s">
        <v>3320</v>
      </c>
      <c r="AI69" t="s">
        <v>3029</v>
      </c>
      <c r="AJ69" t="s">
        <v>3229</v>
      </c>
      <c r="AK69" t="s">
        <v>3321</v>
      </c>
      <c r="AL69" t="s">
        <v>3322</v>
      </c>
      <c r="AM69" t="s">
        <v>2839</v>
      </c>
      <c r="AN69" t="s">
        <v>3323</v>
      </c>
      <c r="AO69" t="s">
        <v>3012</v>
      </c>
      <c r="AP69" t="s">
        <v>3324</v>
      </c>
      <c r="AQ69" t="s">
        <v>3281</v>
      </c>
      <c r="AR69">
        <v>179</v>
      </c>
      <c r="AS69" t="s">
        <v>3154</v>
      </c>
      <c r="AT69">
        <v>71</v>
      </c>
      <c r="AU69">
        <v>43</v>
      </c>
      <c r="AV69">
        <v>67</v>
      </c>
      <c r="AW69">
        <v>73</v>
      </c>
      <c r="AX69" t="s">
        <v>3325</v>
      </c>
    </row>
    <row r="70" spans="1:50" x14ac:dyDescent="0.25">
      <c r="A70">
        <v>65</v>
      </c>
      <c r="B70" t="s">
        <v>3156</v>
      </c>
      <c r="C70" t="s">
        <v>1769</v>
      </c>
      <c r="D70">
        <v>30</v>
      </c>
      <c r="E70" t="s">
        <v>2504</v>
      </c>
      <c r="F70">
        <v>78</v>
      </c>
      <c r="G70">
        <v>18</v>
      </c>
      <c r="H70">
        <v>37</v>
      </c>
      <c r="I70">
        <v>55</v>
      </c>
      <c r="J70">
        <v>30</v>
      </c>
      <c r="K70">
        <v>-1</v>
      </c>
      <c r="L70">
        <v>11</v>
      </c>
      <c r="M70">
        <v>7</v>
      </c>
      <c r="N70">
        <v>0</v>
      </c>
      <c r="O70">
        <v>1</v>
      </c>
      <c r="P70">
        <v>0</v>
      </c>
      <c r="Q70">
        <v>26</v>
      </c>
      <c r="R70">
        <v>11</v>
      </c>
      <c r="S70">
        <v>0</v>
      </c>
      <c r="T70">
        <v>10</v>
      </c>
      <c r="U70">
        <v>0</v>
      </c>
      <c r="V70">
        <v>37</v>
      </c>
      <c r="W70">
        <v>18</v>
      </c>
      <c r="X70">
        <v>0</v>
      </c>
      <c r="Y70">
        <v>11</v>
      </c>
      <c r="Z70">
        <v>0</v>
      </c>
      <c r="AA70" t="s">
        <v>3326</v>
      </c>
      <c r="AB70" s="24">
        <v>0.68333333333333324</v>
      </c>
      <c r="AC70" s="24">
        <v>0.57916666666666672</v>
      </c>
      <c r="AD70" s="24">
        <v>9.930555555555555E-2</v>
      </c>
      <c r="AE70" s="24">
        <v>4.8611111111111112E-3</v>
      </c>
      <c r="AF70" t="s">
        <v>3327</v>
      </c>
      <c r="AG70" t="s">
        <v>3328</v>
      </c>
      <c r="AH70" t="s">
        <v>3329</v>
      </c>
      <c r="AI70" t="s">
        <v>3330</v>
      </c>
      <c r="AJ70" t="s">
        <v>3331</v>
      </c>
      <c r="AK70" t="s">
        <v>3332</v>
      </c>
      <c r="AL70" t="s">
        <v>3333</v>
      </c>
      <c r="AM70" t="s">
        <v>3233</v>
      </c>
      <c r="AN70" t="s">
        <v>3334</v>
      </c>
      <c r="AO70" t="s">
        <v>3335</v>
      </c>
      <c r="AP70" t="s">
        <v>3336</v>
      </c>
      <c r="AQ70" t="s">
        <v>3281</v>
      </c>
      <c r="AR70">
        <v>145</v>
      </c>
      <c r="AS70" t="s">
        <v>3337</v>
      </c>
      <c r="AT70">
        <v>45</v>
      </c>
      <c r="AU70">
        <v>26</v>
      </c>
      <c r="AV70">
        <v>774</v>
      </c>
      <c r="AW70">
        <v>593</v>
      </c>
      <c r="AX70" t="s">
        <v>3338</v>
      </c>
    </row>
    <row r="71" spans="1:50" x14ac:dyDescent="0.25">
      <c r="A71">
        <v>66</v>
      </c>
      <c r="B71" t="s">
        <v>3157</v>
      </c>
      <c r="C71" t="s">
        <v>57</v>
      </c>
      <c r="D71">
        <v>26</v>
      </c>
      <c r="E71" t="s">
        <v>2504</v>
      </c>
      <c r="F71">
        <v>81</v>
      </c>
      <c r="G71">
        <v>17</v>
      </c>
      <c r="H71">
        <v>38</v>
      </c>
      <c r="I71">
        <v>55</v>
      </c>
      <c r="J71">
        <v>16</v>
      </c>
      <c r="K71">
        <v>19</v>
      </c>
      <c r="L71">
        <v>12</v>
      </c>
      <c r="M71">
        <v>4</v>
      </c>
      <c r="N71">
        <v>1</v>
      </c>
      <c r="O71">
        <v>2</v>
      </c>
      <c r="P71">
        <v>0</v>
      </c>
      <c r="Q71">
        <v>24</v>
      </c>
      <c r="R71">
        <v>14</v>
      </c>
      <c r="S71">
        <v>0</v>
      </c>
      <c r="T71">
        <v>7</v>
      </c>
      <c r="U71">
        <v>1</v>
      </c>
      <c r="V71">
        <v>36</v>
      </c>
      <c r="W71">
        <v>18</v>
      </c>
      <c r="X71">
        <v>1</v>
      </c>
      <c r="Y71">
        <v>9</v>
      </c>
      <c r="Z71">
        <v>1</v>
      </c>
      <c r="AA71" t="s">
        <v>3326</v>
      </c>
      <c r="AB71" s="24">
        <v>0.77430555555555547</v>
      </c>
      <c r="AC71" s="24">
        <v>0.6118055555555556</v>
      </c>
      <c r="AD71" s="24">
        <v>0.10555555555555556</v>
      </c>
      <c r="AE71" s="24">
        <v>5.6944444444444443E-2</v>
      </c>
      <c r="AF71" t="s">
        <v>3339</v>
      </c>
      <c r="AG71" t="s">
        <v>2746</v>
      </c>
      <c r="AH71" t="s">
        <v>3340</v>
      </c>
      <c r="AI71" t="s">
        <v>3341</v>
      </c>
      <c r="AJ71" t="s">
        <v>3342</v>
      </c>
      <c r="AK71" t="s">
        <v>3343</v>
      </c>
      <c r="AL71" t="s">
        <v>3344</v>
      </c>
      <c r="AM71" t="s">
        <v>3345</v>
      </c>
      <c r="AN71" t="s">
        <v>3346</v>
      </c>
      <c r="AO71" t="s">
        <v>3347</v>
      </c>
      <c r="AP71" t="s">
        <v>2722</v>
      </c>
      <c r="AQ71" t="s">
        <v>3305</v>
      </c>
      <c r="AR71">
        <v>209</v>
      </c>
      <c r="AS71" t="s">
        <v>3271</v>
      </c>
      <c r="AT71">
        <v>26</v>
      </c>
      <c r="AU71">
        <v>45</v>
      </c>
      <c r="AV71">
        <v>716</v>
      </c>
      <c r="AW71">
        <v>806</v>
      </c>
      <c r="AX71" t="s">
        <v>3348</v>
      </c>
    </row>
    <row r="72" spans="1:50" x14ac:dyDescent="0.25">
      <c r="A72">
        <v>67</v>
      </c>
      <c r="B72" t="s">
        <v>3156</v>
      </c>
      <c r="C72" t="s">
        <v>45</v>
      </c>
      <c r="D72">
        <v>28</v>
      </c>
      <c r="E72" t="s">
        <v>2504</v>
      </c>
      <c r="F72">
        <v>82</v>
      </c>
      <c r="G72">
        <v>31</v>
      </c>
      <c r="H72">
        <v>23</v>
      </c>
      <c r="I72">
        <v>54</v>
      </c>
      <c r="J72">
        <v>122</v>
      </c>
      <c r="K72">
        <v>-18</v>
      </c>
      <c r="L72">
        <v>13</v>
      </c>
      <c r="M72">
        <v>16</v>
      </c>
      <c r="N72">
        <v>2</v>
      </c>
      <c r="O72">
        <v>4</v>
      </c>
      <c r="P72">
        <v>1</v>
      </c>
      <c r="Q72">
        <v>14</v>
      </c>
      <c r="R72">
        <v>9</v>
      </c>
      <c r="S72">
        <v>0</v>
      </c>
      <c r="T72">
        <v>5</v>
      </c>
      <c r="U72">
        <v>1</v>
      </c>
      <c r="V72">
        <v>27</v>
      </c>
      <c r="W72">
        <v>25</v>
      </c>
      <c r="X72">
        <v>2</v>
      </c>
      <c r="Y72">
        <v>9</v>
      </c>
      <c r="Z72">
        <v>2</v>
      </c>
      <c r="AA72" t="s">
        <v>3349</v>
      </c>
      <c r="AB72" s="24">
        <v>0.78888888888888886</v>
      </c>
      <c r="AC72" s="24">
        <v>0.5708333333333333</v>
      </c>
      <c r="AD72" s="24">
        <v>0.15416666666666667</v>
      </c>
      <c r="AE72" s="24">
        <v>6.3194444444444442E-2</v>
      </c>
      <c r="AF72" t="s">
        <v>3350</v>
      </c>
      <c r="AG72" t="s">
        <v>3351</v>
      </c>
      <c r="AH72" t="s">
        <v>3352</v>
      </c>
      <c r="AI72" t="s">
        <v>3353</v>
      </c>
      <c r="AJ72" t="s">
        <v>3354</v>
      </c>
      <c r="AK72" t="s">
        <v>3355</v>
      </c>
      <c r="AL72" t="s">
        <v>3356</v>
      </c>
      <c r="AM72" t="s">
        <v>3357</v>
      </c>
      <c r="AN72" t="s">
        <v>3358</v>
      </c>
      <c r="AO72" t="s">
        <v>2658</v>
      </c>
      <c r="AP72" t="s">
        <v>2561</v>
      </c>
      <c r="AQ72" t="s">
        <v>3359</v>
      </c>
      <c r="AR72">
        <v>224</v>
      </c>
      <c r="AS72" t="s">
        <v>3360</v>
      </c>
      <c r="AT72">
        <v>162</v>
      </c>
      <c r="AU72">
        <v>60</v>
      </c>
      <c r="AV72">
        <v>8</v>
      </c>
      <c r="AW72">
        <v>9</v>
      </c>
      <c r="AX72" t="s">
        <v>3361</v>
      </c>
    </row>
    <row r="73" spans="1:50" x14ac:dyDescent="0.25">
      <c r="A73">
        <v>68</v>
      </c>
      <c r="B73" t="s">
        <v>3161</v>
      </c>
      <c r="C73" t="s">
        <v>3166</v>
      </c>
      <c r="D73">
        <v>30</v>
      </c>
      <c r="E73" t="s">
        <v>2504</v>
      </c>
      <c r="F73">
        <v>82</v>
      </c>
      <c r="G73">
        <v>23</v>
      </c>
      <c r="H73">
        <v>31</v>
      </c>
      <c r="I73">
        <v>54</v>
      </c>
      <c r="J73">
        <v>26</v>
      </c>
      <c r="K73">
        <v>-12</v>
      </c>
      <c r="L73">
        <v>15</v>
      </c>
      <c r="M73">
        <v>8</v>
      </c>
      <c r="N73">
        <v>0</v>
      </c>
      <c r="O73">
        <v>3</v>
      </c>
      <c r="P73">
        <v>0</v>
      </c>
      <c r="Q73">
        <v>25</v>
      </c>
      <c r="R73">
        <v>6</v>
      </c>
      <c r="S73">
        <v>0</v>
      </c>
      <c r="T73">
        <v>7</v>
      </c>
      <c r="U73">
        <v>2</v>
      </c>
      <c r="V73">
        <v>40</v>
      </c>
      <c r="W73">
        <v>14</v>
      </c>
      <c r="X73">
        <v>0</v>
      </c>
      <c r="Y73">
        <v>10</v>
      </c>
      <c r="Z73">
        <v>2</v>
      </c>
      <c r="AA73" t="s">
        <v>3362</v>
      </c>
      <c r="AB73" s="24">
        <v>0.75902777777777775</v>
      </c>
      <c r="AC73" s="24">
        <v>0.63472222222222219</v>
      </c>
      <c r="AD73" s="24">
        <v>0.10416666666666667</v>
      </c>
      <c r="AE73" s="24">
        <v>2.1527777777777781E-2</v>
      </c>
      <c r="AF73" t="s">
        <v>2552</v>
      </c>
      <c r="AG73" t="s">
        <v>2853</v>
      </c>
      <c r="AH73" t="s">
        <v>3363</v>
      </c>
      <c r="AI73" t="s">
        <v>3070</v>
      </c>
      <c r="AJ73" t="s">
        <v>3364</v>
      </c>
      <c r="AK73" t="s">
        <v>3365</v>
      </c>
      <c r="AL73" t="s">
        <v>3366</v>
      </c>
      <c r="AM73" t="s">
        <v>3367</v>
      </c>
      <c r="AN73" t="s">
        <v>3368</v>
      </c>
      <c r="AO73" t="s">
        <v>2561</v>
      </c>
      <c r="AP73" t="s">
        <v>2658</v>
      </c>
      <c r="AQ73" t="s">
        <v>3359</v>
      </c>
      <c r="AR73">
        <v>158</v>
      </c>
      <c r="AS73" t="s">
        <v>2954</v>
      </c>
      <c r="AT73">
        <v>40</v>
      </c>
      <c r="AU73">
        <v>52</v>
      </c>
      <c r="AV73">
        <v>659</v>
      </c>
      <c r="AW73">
        <v>619</v>
      </c>
      <c r="AX73" t="s">
        <v>3369</v>
      </c>
    </row>
    <row r="74" spans="1:50" x14ac:dyDescent="0.25">
      <c r="A74">
        <v>69</v>
      </c>
      <c r="B74" t="s">
        <v>3157</v>
      </c>
      <c r="C74" t="s">
        <v>72</v>
      </c>
      <c r="D74">
        <v>23</v>
      </c>
      <c r="E74" t="s">
        <v>2504</v>
      </c>
      <c r="F74">
        <v>82</v>
      </c>
      <c r="G74">
        <v>23</v>
      </c>
      <c r="H74">
        <v>31</v>
      </c>
      <c r="I74">
        <v>54</v>
      </c>
      <c r="J74">
        <v>43</v>
      </c>
      <c r="K74">
        <v>-13</v>
      </c>
      <c r="L74">
        <v>21</v>
      </c>
      <c r="M74">
        <v>2</v>
      </c>
      <c r="N74">
        <v>0</v>
      </c>
      <c r="O74">
        <v>2</v>
      </c>
      <c r="P74">
        <v>1</v>
      </c>
      <c r="Q74">
        <v>20</v>
      </c>
      <c r="R74">
        <v>10</v>
      </c>
      <c r="S74">
        <v>1</v>
      </c>
      <c r="T74">
        <v>6</v>
      </c>
      <c r="U74">
        <v>2</v>
      </c>
      <c r="V74">
        <v>41</v>
      </c>
      <c r="W74">
        <v>12</v>
      </c>
      <c r="X74">
        <v>1</v>
      </c>
      <c r="Y74">
        <v>8</v>
      </c>
      <c r="Z74">
        <v>3</v>
      </c>
      <c r="AA74" t="s">
        <v>3370</v>
      </c>
      <c r="AB74" s="24">
        <v>0.86597222222222225</v>
      </c>
      <c r="AC74" s="24">
        <v>0.67222222222222217</v>
      </c>
      <c r="AD74" s="24">
        <v>0.1125</v>
      </c>
      <c r="AE74" s="24">
        <v>7.9861111111111105E-2</v>
      </c>
      <c r="AF74" t="s">
        <v>3371</v>
      </c>
      <c r="AG74" t="s">
        <v>3372</v>
      </c>
      <c r="AH74" t="s">
        <v>3373</v>
      </c>
      <c r="AI74" t="s">
        <v>3195</v>
      </c>
      <c r="AJ74" t="s">
        <v>3374</v>
      </c>
      <c r="AK74" t="s">
        <v>3375</v>
      </c>
      <c r="AL74" t="s">
        <v>3376</v>
      </c>
      <c r="AM74" t="s">
        <v>3377</v>
      </c>
      <c r="AN74" t="s">
        <v>3378</v>
      </c>
      <c r="AO74" t="s">
        <v>2561</v>
      </c>
      <c r="AP74" t="s">
        <v>2658</v>
      </c>
      <c r="AQ74" t="s">
        <v>3359</v>
      </c>
      <c r="AR74">
        <v>230</v>
      </c>
      <c r="AS74" t="s">
        <v>2674</v>
      </c>
      <c r="AT74">
        <v>164</v>
      </c>
      <c r="AU74">
        <v>51</v>
      </c>
      <c r="AV74">
        <v>834</v>
      </c>
      <c r="AW74">
        <v>829</v>
      </c>
      <c r="AX74" t="s">
        <v>3379</v>
      </c>
    </row>
    <row r="75" spans="1:50" x14ac:dyDescent="0.25">
      <c r="A75">
        <v>70</v>
      </c>
      <c r="B75" t="s">
        <v>3156</v>
      </c>
      <c r="C75" t="s">
        <v>48</v>
      </c>
      <c r="D75">
        <v>24</v>
      </c>
      <c r="E75" t="s">
        <v>2504</v>
      </c>
      <c r="F75">
        <v>71</v>
      </c>
      <c r="G75">
        <v>22</v>
      </c>
      <c r="H75">
        <v>32</v>
      </c>
      <c r="I75">
        <v>54</v>
      </c>
      <c r="J75">
        <v>25</v>
      </c>
      <c r="K75">
        <v>12</v>
      </c>
      <c r="L75">
        <v>16</v>
      </c>
      <c r="M75">
        <v>6</v>
      </c>
      <c r="N75">
        <v>0</v>
      </c>
      <c r="O75">
        <v>5</v>
      </c>
      <c r="P75">
        <v>0</v>
      </c>
      <c r="Q75">
        <v>24</v>
      </c>
      <c r="R75">
        <v>8</v>
      </c>
      <c r="S75">
        <v>0</v>
      </c>
      <c r="T75">
        <v>4</v>
      </c>
      <c r="U75">
        <v>1</v>
      </c>
      <c r="V75">
        <v>40</v>
      </c>
      <c r="W75">
        <v>14</v>
      </c>
      <c r="X75">
        <v>0</v>
      </c>
      <c r="Y75">
        <v>9</v>
      </c>
      <c r="Z75">
        <v>1</v>
      </c>
      <c r="AA75" t="s">
        <v>3362</v>
      </c>
      <c r="AB75" s="24">
        <v>0.77361111111111114</v>
      </c>
      <c r="AC75" s="24">
        <v>0.6430555555555556</v>
      </c>
      <c r="AD75" s="24">
        <v>0.1277777777777778</v>
      </c>
      <c r="AE75" s="24">
        <v>2.0833333333333333E-3</v>
      </c>
      <c r="AF75" t="s">
        <v>3046</v>
      </c>
      <c r="AG75" t="s">
        <v>3196</v>
      </c>
      <c r="AH75" t="s">
        <v>3380</v>
      </c>
      <c r="AI75" t="s">
        <v>3322</v>
      </c>
      <c r="AJ75" t="s">
        <v>3381</v>
      </c>
      <c r="AK75" t="s">
        <v>3382</v>
      </c>
      <c r="AL75" t="s">
        <v>3383</v>
      </c>
      <c r="AM75" t="s">
        <v>3384</v>
      </c>
      <c r="AN75" t="s">
        <v>3385</v>
      </c>
      <c r="AO75" t="s">
        <v>3386</v>
      </c>
      <c r="AP75" t="s">
        <v>2900</v>
      </c>
      <c r="AQ75" t="s">
        <v>3387</v>
      </c>
      <c r="AR75">
        <v>134</v>
      </c>
      <c r="AS75" t="s">
        <v>3318</v>
      </c>
      <c r="AT75">
        <v>43</v>
      </c>
      <c r="AU75">
        <v>53</v>
      </c>
      <c r="AV75">
        <v>10</v>
      </c>
      <c r="AW75">
        <v>15</v>
      </c>
      <c r="AX75" t="s">
        <v>3388</v>
      </c>
    </row>
    <row r="76" spans="1:50" x14ac:dyDescent="0.25">
      <c r="A76">
        <v>71</v>
      </c>
      <c r="B76" t="s">
        <v>3159</v>
      </c>
      <c r="C76" t="s">
        <v>36</v>
      </c>
      <c r="D76">
        <v>30</v>
      </c>
      <c r="E76" t="s">
        <v>2504</v>
      </c>
      <c r="F76">
        <v>76</v>
      </c>
      <c r="G76">
        <v>18</v>
      </c>
      <c r="H76">
        <v>36</v>
      </c>
      <c r="I76">
        <v>54</v>
      </c>
      <c r="J76">
        <v>62</v>
      </c>
      <c r="K76">
        <v>10</v>
      </c>
      <c r="L76">
        <v>12</v>
      </c>
      <c r="M76">
        <v>6</v>
      </c>
      <c r="N76">
        <v>0</v>
      </c>
      <c r="O76">
        <v>2</v>
      </c>
      <c r="P76">
        <v>1</v>
      </c>
      <c r="Q76">
        <v>26</v>
      </c>
      <c r="R76">
        <v>10</v>
      </c>
      <c r="S76">
        <v>0</v>
      </c>
      <c r="T76">
        <v>9</v>
      </c>
      <c r="U76">
        <v>3</v>
      </c>
      <c r="V76">
        <v>38</v>
      </c>
      <c r="W76">
        <v>16</v>
      </c>
      <c r="X76">
        <v>0</v>
      </c>
      <c r="Y76">
        <v>11</v>
      </c>
      <c r="Z76">
        <v>4</v>
      </c>
      <c r="AA76" t="s">
        <v>3389</v>
      </c>
      <c r="AB76" s="24">
        <v>0.76111111111111107</v>
      </c>
      <c r="AC76" s="24">
        <v>0.64166666666666672</v>
      </c>
      <c r="AD76" s="24">
        <v>0.1173611111111111</v>
      </c>
      <c r="AE76" s="24">
        <v>2.0833333333333333E-3</v>
      </c>
      <c r="AF76" t="s">
        <v>3390</v>
      </c>
      <c r="AG76" t="s">
        <v>3391</v>
      </c>
      <c r="AH76" t="s">
        <v>3392</v>
      </c>
      <c r="AI76" t="s">
        <v>3393</v>
      </c>
      <c r="AJ76" t="s">
        <v>3394</v>
      </c>
      <c r="AK76" t="s">
        <v>3395</v>
      </c>
      <c r="AL76" t="s">
        <v>3075</v>
      </c>
      <c r="AM76" t="s">
        <v>3396</v>
      </c>
      <c r="AN76" t="s">
        <v>3397</v>
      </c>
      <c r="AO76" t="s">
        <v>3398</v>
      </c>
      <c r="AP76" t="s">
        <v>3336</v>
      </c>
      <c r="AQ76" t="s">
        <v>3399</v>
      </c>
      <c r="AR76">
        <v>147</v>
      </c>
      <c r="AS76" t="s">
        <v>2964</v>
      </c>
      <c r="AT76">
        <v>76</v>
      </c>
      <c r="AU76">
        <v>41</v>
      </c>
      <c r="AV76">
        <v>6</v>
      </c>
      <c r="AW76">
        <v>6</v>
      </c>
      <c r="AX76" t="s">
        <v>2647</v>
      </c>
    </row>
    <row r="77" spans="1:50" x14ac:dyDescent="0.25">
      <c r="A77">
        <v>72</v>
      </c>
      <c r="B77" t="s">
        <v>3157</v>
      </c>
      <c r="C77" t="s">
        <v>138</v>
      </c>
      <c r="D77">
        <v>25</v>
      </c>
      <c r="E77" t="s">
        <v>2504</v>
      </c>
      <c r="F77">
        <v>75</v>
      </c>
      <c r="G77">
        <v>28</v>
      </c>
      <c r="H77">
        <v>25</v>
      </c>
      <c r="I77">
        <v>53</v>
      </c>
      <c r="J77">
        <v>58</v>
      </c>
      <c r="K77">
        <v>6</v>
      </c>
      <c r="L77">
        <v>22</v>
      </c>
      <c r="M77">
        <v>6</v>
      </c>
      <c r="N77">
        <v>0</v>
      </c>
      <c r="O77">
        <v>4</v>
      </c>
      <c r="P77">
        <v>1</v>
      </c>
      <c r="Q77">
        <v>18</v>
      </c>
      <c r="R77">
        <v>7</v>
      </c>
      <c r="S77">
        <v>0</v>
      </c>
      <c r="T77">
        <v>5</v>
      </c>
      <c r="U77">
        <v>0</v>
      </c>
      <c r="V77">
        <v>40</v>
      </c>
      <c r="W77">
        <v>13</v>
      </c>
      <c r="X77">
        <v>0</v>
      </c>
      <c r="Y77">
        <v>9</v>
      </c>
      <c r="Z77">
        <v>1</v>
      </c>
      <c r="AA77" t="s">
        <v>3400</v>
      </c>
      <c r="AB77" s="24">
        <v>0.70833333333333337</v>
      </c>
      <c r="AC77" s="24">
        <v>0.59861111111111109</v>
      </c>
      <c r="AD77" s="24">
        <v>0.1076388888888889</v>
      </c>
      <c r="AE77" s="24">
        <v>6.9444444444444447E-4</v>
      </c>
      <c r="AF77" t="s">
        <v>3401</v>
      </c>
      <c r="AG77" t="s">
        <v>3402</v>
      </c>
      <c r="AH77" t="s">
        <v>3403</v>
      </c>
      <c r="AI77" t="s">
        <v>3054</v>
      </c>
      <c r="AJ77" t="s">
        <v>3046</v>
      </c>
      <c r="AK77" t="s">
        <v>3404</v>
      </c>
      <c r="AL77" t="s">
        <v>3405</v>
      </c>
      <c r="AM77" t="s">
        <v>3076</v>
      </c>
      <c r="AN77" t="s">
        <v>3406</v>
      </c>
      <c r="AO77" t="s">
        <v>3407</v>
      </c>
      <c r="AP77" t="s">
        <v>3408</v>
      </c>
      <c r="AQ77" t="s">
        <v>3106</v>
      </c>
      <c r="AR77">
        <v>186</v>
      </c>
      <c r="AS77" t="s">
        <v>3409</v>
      </c>
      <c r="AT77">
        <v>132</v>
      </c>
      <c r="AU77">
        <v>30</v>
      </c>
      <c r="AV77">
        <v>5</v>
      </c>
      <c r="AW77">
        <v>4</v>
      </c>
      <c r="AX77" t="s">
        <v>3410</v>
      </c>
    </row>
    <row r="78" spans="1:50" x14ac:dyDescent="0.25">
      <c r="A78">
        <v>73</v>
      </c>
      <c r="B78" t="s">
        <v>3157</v>
      </c>
      <c r="C78" t="s">
        <v>61</v>
      </c>
      <c r="D78">
        <v>25</v>
      </c>
      <c r="E78" t="s">
        <v>2504</v>
      </c>
      <c r="F78">
        <v>80</v>
      </c>
      <c r="G78">
        <v>26</v>
      </c>
      <c r="H78">
        <v>27</v>
      </c>
      <c r="I78">
        <v>53</v>
      </c>
      <c r="J78">
        <v>46</v>
      </c>
      <c r="K78">
        <v>2</v>
      </c>
      <c r="L78">
        <v>17</v>
      </c>
      <c r="M78">
        <v>8</v>
      </c>
      <c r="N78">
        <v>1</v>
      </c>
      <c r="O78">
        <v>3</v>
      </c>
      <c r="P78">
        <v>0</v>
      </c>
      <c r="Q78">
        <v>16</v>
      </c>
      <c r="R78">
        <v>11</v>
      </c>
      <c r="S78">
        <v>0</v>
      </c>
      <c r="T78">
        <v>5</v>
      </c>
      <c r="U78">
        <v>2</v>
      </c>
      <c r="V78">
        <v>33</v>
      </c>
      <c r="W78">
        <v>19</v>
      </c>
      <c r="X78">
        <v>1</v>
      </c>
      <c r="Y78">
        <v>8</v>
      </c>
      <c r="Z78">
        <v>2</v>
      </c>
      <c r="AA78" t="s">
        <v>3411</v>
      </c>
      <c r="AB78" s="24">
        <v>0.72222222222222221</v>
      </c>
      <c r="AC78" s="24">
        <v>0.57361111111111118</v>
      </c>
      <c r="AD78" s="24">
        <v>0.10972222222222222</v>
      </c>
      <c r="AE78" s="24">
        <v>3.888888888888889E-2</v>
      </c>
      <c r="AF78" t="s">
        <v>2608</v>
      </c>
      <c r="AG78" t="s">
        <v>3344</v>
      </c>
      <c r="AH78" t="s">
        <v>3412</v>
      </c>
      <c r="AI78" t="s">
        <v>3413</v>
      </c>
      <c r="AJ78" t="s">
        <v>3414</v>
      </c>
      <c r="AK78" t="s">
        <v>3415</v>
      </c>
      <c r="AL78" t="s">
        <v>3416</v>
      </c>
      <c r="AM78" t="s">
        <v>3417</v>
      </c>
      <c r="AN78" t="s">
        <v>3418</v>
      </c>
      <c r="AO78" t="s">
        <v>3419</v>
      </c>
      <c r="AP78" t="s">
        <v>2814</v>
      </c>
      <c r="AQ78" t="s">
        <v>3420</v>
      </c>
      <c r="AR78">
        <v>192</v>
      </c>
      <c r="AS78" t="s">
        <v>3421</v>
      </c>
      <c r="AT78">
        <v>124</v>
      </c>
      <c r="AU78">
        <v>36</v>
      </c>
      <c r="AV78">
        <v>12</v>
      </c>
      <c r="AW78">
        <v>17</v>
      </c>
      <c r="AX78" t="s">
        <v>3422</v>
      </c>
    </row>
    <row r="79" spans="1:50" x14ac:dyDescent="0.25">
      <c r="A79">
        <v>74</v>
      </c>
      <c r="B79" t="s">
        <v>3157</v>
      </c>
      <c r="C79" t="s">
        <v>78</v>
      </c>
      <c r="D79">
        <v>24</v>
      </c>
      <c r="E79" t="s">
        <v>2504</v>
      </c>
      <c r="F79">
        <v>82</v>
      </c>
      <c r="G79">
        <v>24</v>
      </c>
      <c r="H79">
        <v>29</v>
      </c>
      <c r="I79">
        <v>53</v>
      </c>
      <c r="J79">
        <v>8</v>
      </c>
      <c r="K79">
        <v>23</v>
      </c>
      <c r="L79">
        <v>23</v>
      </c>
      <c r="M79">
        <v>1</v>
      </c>
      <c r="N79">
        <v>0</v>
      </c>
      <c r="O79">
        <v>4</v>
      </c>
      <c r="P79">
        <v>0</v>
      </c>
      <c r="Q79">
        <v>27</v>
      </c>
      <c r="R79">
        <v>2</v>
      </c>
      <c r="S79">
        <v>0</v>
      </c>
      <c r="T79">
        <v>6</v>
      </c>
      <c r="U79">
        <v>2</v>
      </c>
      <c r="V79">
        <v>50</v>
      </c>
      <c r="W79">
        <v>3</v>
      </c>
      <c r="X79">
        <v>0</v>
      </c>
      <c r="Y79">
        <v>10</v>
      </c>
      <c r="Z79">
        <v>2</v>
      </c>
      <c r="AA79" t="s">
        <v>3423</v>
      </c>
      <c r="AB79" s="24">
        <v>0.7090277777777777</v>
      </c>
      <c r="AC79" s="24">
        <v>0.62291666666666667</v>
      </c>
      <c r="AD79" s="24">
        <v>6.5277777777777782E-2</v>
      </c>
      <c r="AE79" s="24">
        <v>2.013888888888889E-2</v>
      </c>
      <c r="AF79" t="s">
        <v>2706</v>
      </c>
      <c r="AG79" t="s">
        <v>3424</v>
      </c>
      <c r="AH79" t="s">
        <v>3170</v>
      </c>
      <c r="AI79" t="s">
        <v>3425</v>
      </c>
      <c r="AJ79" t="s">
        <v>3426</v>
      </c>
      <c r="AK79" t="s">
        <v>3427</v>
      </c>
      <c r="AL79" t="s">
        <v>3428</v>
      </c>
      <c r="AM79" t="s">
        <v>3429</v>
      </c>
      <c r="AN79" t="s">
        <v>3430</v>
      </c>
      <c r="AO79" t="s">
        <v>3127</v>
      </c>
      <c r="AP79" t="s">
        <v>2616</v>
      </c>
      <c r="AQ79" t="s">
        <v>3431</v>
      </c>
      <c r="AR79">
        <v>210</v>
      </c>
      <c r="AS79" t="s">
        <v>3432</v>
      </c>
      <c r="AT79">
        <v>24</v>
      </c>
      <c r="AU79">
        <v>26</v>
      </c>
      <c r="AV79">
        <v>4</v>
      </c>
      <c r="AW79">
        <v>5</v>
      </c>
      <c r="AX79" t="s">
        <v>3433</v>
      </c>
    </row>
    <row r="80" spans="1:50" x14ac:dyDescent="0.25">
      <c r="A80">
        <v>75</v>
      </c>
      <c r="B80" t="s">
        <v>3157</v>
      </c>
      <c r="C80" t="s">
        <v>1775</v>
      </c>
      <c r="D80">
        <v>24</v>
      </c>
      <c r="E80" t="s">
        <v>2504</v>
      </c>
      <c r="F80">
        <v>61</v>
      </c>
      <c r="G80">
        <v>23</v>
      </c>
      <c r="H80">
        <v>30</v>
      </c>
      <c r="I80">
        <v>53</v>
      </c>
      <c r="J80">
        <v>22</v>
      </c>
      <c r="K80">
        <v>24</v>
      </c>
      <c r="L80">
        <v>21</v>
      </c>
      <c r="M80">
        <v>2</v>
      </c>
      <c r="N80">
        <v>0</v>
      </c>
      <c r="O80">
        <v>6</v>
      </c>
      <c r="P80">
        <v>1</v>
      </c>
      <c r="Q80">
        <v>27</v>
      </c>
      <c r="R80">
        <v>3</v>
      </c>
      <c r="S80">
        <v>0</v>
      </c>
      <c r="T80">
        <v>2</v>
      </c>
      <c r="U80">
        <v>0</v>
      </c>
      <c r="V80">
        <v>48</v>
      </c>
      <c r="W80">
        <v>5</v>
      </c>
      <c r="X80">
        <v>0</v>
      </c>
      <c r="Y80">
        <v>8</v>
      </c>
      <c r="Z80">
        <v>1</v>
      </c>
      <c r="AA80" t="s">
        <v>3434</v>
      </c>
      <c r="AB80" s="24">
        <v>0.66388888888888886</v>
      </c>
      <c r="AC80" s="24">
        <v>0.58888888888888891</v>
      </c>
      <c r="AD80" s="24">
        <v>7.4305555555555555E-2</v>
      </c>
      <c r="AE80" s="24">
        <v>0</v>
      </c>
      <c r="AF80" t="s">
        <v>3435</v>
      </c>
      <c r="AG80" t="s">
        <v>3436</v>
      </c>
      <c r="AH80" t="s">
        <v>3437</v>
      </c>
      <c r="AI80" t="s">
        <v>3438</v>
      </c>
      <c r="AJ80" t="s">
        <v>3439</v>
      </c>
      <c r="AK80" t="s">
        <v>3440</v>
      </c>
      <c r="AL80" t="s">
        <v>3441</v>
      </c>
      <c r="AM80" t="s">
        <v>3442</v>
      </c>
      <c r="AN80" t="s">
        <v>3443</v>
      </c>
      <c r="AO80" t="s">
        <v>3444</v>
      </c>
      <c r="AP80" t="s">
        <v>3445</v>
      </c>
      <c r="AQ80" t="s">
        <v>3446</v>
      </c>
      <c r="AR80">
        <v>154</v>
      </c>
      <c r="AS80" t="s">
        <v>3447</v>
      </c>
      <c r="AT80">
        <v>29</v>
      </c>
      <c r="AU80">
        <v>23</v>
      </c>
      <c r="AV80">
        <v>0</v>
      </c>
      <c r="AW80">
        <v>0</v>
      </c>
      <c r="AX80" t="s">
        <v>2579</v>
      </c>
    </row>
    <row r="81" spans="1:50" x14ac:dyDescent="0.25">
      <c r="A81">
        <v>76</v>
      </c>
      <c r="B81" t="s">
        <v>3158</v>
      </c>
      <c r="C81" t="s">
        <v>144</v>
      </c>
      <c r="D81">
        <v>27</v>
      </c>
      <c r="E81" t="s">
        <v>2504</v>
      </c>
      <c r="F81">
        <v>81</v>
      </c>
      <c r="G81">
        <v>22</v>
      </c>
      <c r="H81">
        <v>31</v>
      </c>
      <c r="I81">
        <v>53</v>
      </c>
      <c r="J81">
        <v>36</v>
      </c>
      <c r="K81">
        <v>9</v>
      </c>
      <c r="L81">
        <v>15</v>
      </c>
      <c r="M81">
        <v>7</v>
      </c>
      <c r="N81">
        <v>0</v>
      </c>
      <c r="O81">
        <v>7</v>
      </c>
      <c r="P81">
        <v>2</v>
      </c>
      <c r="Q81">
        <v>19</v>
      </c>
      <c r="R81">
        <v>9</v>
      </c>
      <c r="S81">
        <v>3</v>
      </c>
      <c r="T81">
        <v>6</v>
      </c>
      <c r="U81">
        <v>2</v>
      </c>
      <c r="V81">
        <v>34</v>
      </c>
      <c r="W81">
        <v>16</v>
      </c>
      <c r="X81">
        <v>3</v>
      </c>
      <c r="Y81">
        <v>13</v>
      </c>
      <c r="Z81">
        <v>4</v>
      </c>
      <c r="AA81" t="s">
        <v>3448</v>
      </c>
      <c r="AB81" s="24">
        <v>0.73263888888888884</v>
      </c>
      <c r="AC81" s="24">
        <v>0.5541666666666667</v>
      </c>
      <c r="AD81" s="24">
        <v>8.4722222222222213E-2</v>
      </c>
      <c r="AE81" s="24">
        <v>9.3055555555555558E-2</v>
      </c>
      <c r="AF81" t="s">
        <v>3413</v>
      </c>
      <c r="AG81" t="s">
        <v>3449</v>
      </c>
      <c r="AH81" t="s">
        <v>3450</v>
      </c>
      <c r="AI81" t="s">
        <v>3451</v>
      </c>
      <c r="AJ81" t="s">
        <v>3452</v>
      </c>
      <c r="AK81" t="s">
        <v>3453</v>
      </c>
      <c r="AL81" t="s">
        <v>3454</v>
      </c>
      <c r="AM81" t="s">
        <v>3455</v>
      </c>
      <c r="AN81" t="s">
        <v>3456</v>
      </c>
      <c r="AO81" t="s">
        <v>2998</v>
      </c>
      <c r="AP81" t="s">
        <v>3457</v>
      </c>
      <c r="AQ81" t="s">
        <v>3458</v>
      </c>
      <c r="AR81">
        <v>197</v>
      </c>
      <c r="AS81" t="s">
        <v>3071</v>
      </c>
      <c r="AT81">
        <v>55</v>
      </c>
      <c r="AU81">
        <v>41</v>
      </c>
      <c r="AV81">
        <v>711</v>
      </c>
      <c r="AW81">
        <v>768</v>
      </c>
      <c r="AX81" t="s">
        <v>3459</v>
      </c>
    </row>
    <row r="82" spans="1:50" x14ac:dyDescent="0.25">
      <c r="A82">
        <v>77</v>
      </c>
      <c r="B82" t="s">
        <v>3156</v>
      </c>
      <c r="C82" t="s">
        <v>38</v>
      </c>
      <c r="D82">
        <v>31</v>
      </c>
      <c r="E82" t="s">
        <v>2504</v>
      </c>
      <c r="F82">
        <v>79</v>
      </c>
      <c r="G82">
        <v>21</v>
      </c>
      <c r="H82">
        <v>32</v>
      </c>
      <c r="I82">
        <v>53</v>
      </c>
      <c r="J82">
        <v>24</v>
      </c>
      <c r="K82">
        <v>12</v>
      </c>
      <c r="L82">
        <v>13</v>
      </c>
      <c r="M82">
        <v>8</v>
      </c>
      <c r="N82">
        <v>0</v>
      </c>
      <c r="O82">
        <v>7</v>
      </c>
      <c r="P82">
        <v>0</v>
      </c>
      <c r="Q82">
        <v>20</v>
      </c>
      <c r="R82">
        <v>9</v>
      </c>
      <c r="S82">
        <v>3</v>
      </c>
      <c r="T82">
        <v>4</v>
      </c>
      <c r="U82">
        <v>1</v>
      </c>
      <c r="V82">
        <v>33</v>
      </c>
      <c r="W82">
        <v>17</v>
      </c>
      <c r="X82">
        <v>3</v>
      </c>
      <c r="Y82">
        <v>11</v>
      </c>
      <c r="Z82">
        <v>1</v>
      </c>
      <c r="AA82" t="s">
        <v>3460</v>
      </c>
      <c r="AB82" s="24">
        <v>0.80902777777777779</v>
      </c>
      <c r="AC82" s="24">
        <v>0.59444444444444444</v>
      </c>
      <c r="AD82" s="24">
        <v>0.12291666666666667</v>
      </c>
      <c r="AE82" s="24">
        <v>8.8888888888888892E-2</v>
      </c>
      <c r="AF82" t="s">
        <v>3461</v>
      </c>
      <c r="AG82" t="s">
        <v>3462</v>
      </c>
      <c r="AH82" t="s">
        <v>3463</v>
      </c>
      <c r="AI82" t="s">
        <v>3464</v>
      </c>
      <c r="AJ82" t="s">
        <v>3465</v>
      </c>
      <c r="AK82" t="s">
        <v>3367</v>
      </c>
      <c r="AL82" t="s">
        <v>3466</v>
      </c>
      <c r="AM82" t="s">
        <v>2895</v>
      </c>
      <c r="AN82" t="s">
        <v>3467</v>
      </c>
      <c r="AO82" t="s">
        <v>3468</v>
      </c>
      <c r="AP82" t="s">
        <v>2602</v>
      </c>
      <c r="AQ82" t="s">
        <v>2546</v>
      </c>
      <c r="AR82">
        <v>302</v>
      </c>
      <c r="AS82" t="s">
        <v>3190</v>
      </c>
      <c r="AT82">
        <v>54</v>
      </c>
      <c r="AU82">
        <v>47</v>
      </c>
      <c r="AV82">
        <v>1089</v>
      </c>
      <c r="AW82">
        <v>724</v>
      </c>
      <c r="AX82" t="s">
        <v>3469</v>
      </c>
    </row>
    <row r="83" spans="1:50" x14ac:dyDescent="0.25">
      <c r="A83">
        <v>78</v>
      </c>
      <c r="B83" t="s">
        <v>3156</v>
      </c>
      <c r="C83" t="s">
        <v>135</v>
      </c>
      <c r="D83">
        <v>21</v>
      </c>
      <c r="E83" t="s">
        <v>2504</v>
      </c>
      <c r="F83">
        <v>73</v>
      </c>
      <c r="G83">
        <v>21</v>
      </c>
      <c r="H83">
        <v>32</v>
      </c>
      <c r="I83">
        <v>53</v>
      </c>
      <c r="J83">
        <v>16</v>
      </c>
      <c r="K83">
        <v>-13</v>
      </c>
      <c r="L83">
        <v>12</v>
      </c>
      <c r="M83">
        <v>9</v>
      </c>
      <c r="N83">
        <v>0</v>
      </c>
      <c r="O83">
        <v>6</v>
      </c>
      <c r="P83">
        <v>1</v>
      </c>
      <c r="Q83">
        <v>15</v>
      </c>
      <c r="R83">
        <v>17</v>
      </c>
      <c r="S83">
        <v>0</v>
      </c>
      <c r="T83">
        <v>4</v>
      </c>
      <c r="U83">
        <v>0</v>
      </c>
      <c r="V83">
        <v>27</v>
      </c>
      <c r="W83">
        <v>26</v>
      </c>
      <c r="X83">
        <v>0</v>
      </c>
      <c r="Y83">
        <v>10</v>
      </c>
      <c r="Z83">
        <v>1</v>
      </c>
      <c r="AA83" t="s">
        <v>3470</v>
      </c>
      <c r="AB83" s="24">
        <v>0.7368055555555556</v>
      </c>
      <c r="AC83" s="24">
        <v>0.60833333333333328</v>
      </c>
      <c r="AD83" s="24">
        <v>0.1277777777777778</v>
      </c>
      <c r="AE83" s="24">
        <v>0</v>
      </c>
      <c r="AF83" t="s">
        <v>3471</v>
      </c>
      <c r="AG83" t="s">
        <v>2524</v>
      </c>
      <c r="AH83" t="s">
        <v>3472</v>
      </c>
      <c r="AI83" t="s">
        <v>3473</v>
      </c>
      <c r="AJ83" t="s">
        <v>3474</v>
      </c>
      <c r="AK83" t="s">
        <v>3475</v>
      </c>
      <c r="AL83" t="s">
        <v>3476</v>
      </c>
      <c r="AM83" t="s">
        <v>3477</v>
      </c>
      <c r="AN83" t="s">
        <v>3478</v>
      </c>
      <c r="AO83" t="s">
        <v>3479</v>
      </c>
      <c r="AP83" t="s">
        <v>3480</v>
      </c>
      <c r="AQ83" t="s">
        <v>3481</v>
      </c>
      <c r="AR83">
        <v>183</v>
      </c>
      <c r="AS83" t="s">
        <v>3482</v>
      </c>
      <c r="AT83">
        <v>50</v>
      </c>
      <c r="AU83">
        <v>16</v>
      </c>
      <c r="AV83">
        <v>96</v>
      </c>
      <c r="AW83">
        <v>125</v>
      </c>
      <c r="AX83" t="s">
        <v>3483</v>
      </c>
    </row>
    <row r="84" spans="1:50" x14ac:dyDescent="0.25">
      <c r="A84">
        <v>79</v>
      </c>
      <c r="B84" t="s">
        <v>3156</v>
      </c>
      <c r="C84" t="s">
        <v>33</v>
      </c>
      <c r="D84">
        <v>25</v>
      </c>
      <c r="E84" t="s">
        <v>2504</v>
      </c>
      <c r="F84">
        <v>72</v>
      </c>
      <c r="G84">
        <v>20</v>
      </c>
      <c r="H84">
        <v>33</v>
      </c>
      <c r="I84">
        <v>53</v>
      </c>
      <c r="J84">
        <v>32</v>
      </c>
      <c r="K84">
        <v>-9</v>
      </c>
      <c r="L84">
        <v>13</v>
      </c>
      <c r="M84">
        <v>7</v>
      </c>
      <c r="N84">
        <v>0</v>
      </c>
      <c r="O84">
        <v>4</v>
      </c>
      <c r="P84">
        <v>2</v>
      </c>
      <c r="Q84">
        <v>25</v>
      </c>
      <c r="R84">
        <v>8</v>
      </c>
      <c r="S84">
        <v>0</v>
      </c>
      <c r="T84">
        <v>5</v>
      </c>
      <c r="U84">
        <v>2</v>
      </c>
      <c r="V84">
        <v>38</v>
      </c>
      <c r="W84">
        <v>15</v>
      </c>
      <c r="X84">
        <v>0</v>
      </c>
      <c r="Y84">
        <v>9</v>
      </c>
      <c r="Z84">
        <v>4</v>
      </c>
      <c r="AA84" t="s">
        <v>3484</v>
      </c>
      <c r="AB84" s="24">
        <v>0.8041666666666667</v>
      </c>
      <c r="AC84" s="24">
        <v>0.67847222222222225</v>
      </c>
      <c r="AD84" s="24">
        <v>0.11458333333333333</v>
      </c>
      <c r="AE84" s="24">
        <v>1.1111111111111112E-2</v>
      </c>
      <c r="AF84" t="s">
        <v>3485</v>
      </c>
      <c r="AG84" t="s">
        <v>3486</v>
      </c>
      <c r="AH84" t="s">
        <v>3487</v>
      </c>
      <c r="AI84" t="s">
        <v>3488</v>
      </c>
      <c r="AJ84" t="s">
        <v>3285</v>
      </c>
      <c r="AK84" t="s">
        <v>3489</v>
      </c>
      <c r="AL84" t="s">
        <v>3490</v>
      </c>
      <c r="AM84" t="s">
        <v>3491</v>
      </c>
      <c r="AN84" t="s">
        <v>3492</v>
      </c>
      <c r="AO84" t="s">
        <v>3316</v>
      </c>
      <c r="AP84" t="s">
        <v>3493</v>
      </c>
      <c r="AQ84" t="s">
        <v>3494</v>
      </c>
      <c r="AR84">
        <v>238</v>
      </c>
      <c r="AS84" t="s">
        <v>3495</v>
      </c>
      <c r="AT84">
        <v>59</v>
      </c>
      <c r="AU84">
        <v>31</v>
      </c>
      <c r="AV84">
        <v>8</v>
      </c>
      <c r="AW84">
        <v>10</v>
      </c>
      <c r="AX84" t="s">
        <v>3433</v>
      </c>
    </row>
    <row r="85" spans="1:50" x14ac:dyDescent="0.25">
      <c r="A85">
        <v>80</v>
      </c>
      <c r="B85" t="s">
        <v>3156</v>
      </c>
      <c r="C85" t="s">
        <v>22</v>
      </c>
      <c r="D85">
        <v>31</v>
      </c>
      <c r="E85" t="s">
        <v>2504</v>
      </c>
      <c r="F85">
        <v>82</v>
      </c>
      <c r="G85">
        <v>19</v>
      </c>
      <c r="H85">
        <v>34</v>
      </c>
      <c r="I85">
        <v>53</v>
      </c>
      <c r="J85">
        <v>76</v>
      </c>
      <c r="K85">
        <v>2</v>
      </c>
      <c r="L85">
        <v>14</v>
      </c>
      <c r="M85">
        <v>5</v>
      </c>
      <c r="N85">
        <v>0</v>
      </c>
      <c r="O85">
        <v>3</v>
      </c>
      <c r="P85">
        <v>0</v>
      </c>
      <c r="Q85">
        <v>19</v>
      </c>
      <c r="R85">
        <v>15</v>
      </c>
      <c r="S85">
        <v>0</v>
      </c>
      <c r="T85">
        <v>11</v>
      </c>
      <c r="U85">
        <v>0</v>
      </c>
      <c r="V85">
        <v>33</v>
      </c>
      <c r="W85">
        <v>20</v>
      </c>
      <c r="X85">
        <v>0</v>
      </c>
      <c r="Y85">
        <v>14</v>
      </c>
      <c r="Z85">
        <v>0</v>
      </c>
      <c r="AA85" t="s">
        <v>2783</v>
      </c>
      <c r="AB85" s="24">
        <v>0.73819444444444438</v>
      </c>
      <c r="AC85" s="24">
        <v>0.61736111111111114</v>
      </c>
      <c r="AD85" s="24">
        <v>0.11875000000000001</v>
      </c>
      <c r="AE85" s="24">
        <v>1.3888888888888889E-3</v>
      </c>
      <c r="AF85" t="s">
        <v>3496</v>
      </c>
      <c r="AG85" t="s">
        <v>3497</v>
      </c>
      <c r="AH85" t="s">
        <v>3498</v>
      </c>
      <c r="AI85" t="s">
        <v>3464</v>
      </c>
      <c r="AJ85" t="s">
        <v>3499</v>
      </c>
      <c r="AK85" t="s">
        <v>3500</v>
      </c>
      <c r="AL85" t="s">
        <v>3501</v>
      </c>
      <c r="AM85" t="s">
        <v>3502</v>
      </c>
      <c r="AN85" t="s">
        <v>3503</v>
      </c>
      <c r="AO85" t="s">
        <v>3069</v>
      </c>
      <c r="AP85" t="s">
        <v>2545</v>
      </c>
      <c r="AQ85" t="s">
        <v>3431</v>
      </c>
      <c r="AR85">
        <v>215</v>
      </c>
      <c r="AS85" t="s">
        <v>3504</v>
      </c>
      <c r="AT85">
        <v>81</v>
      </c>
      <c r="AU85">
        <v>35</v>
      </c>
      <c r="AV85">
        <v>7</v>
      </c>
      <c r="AW85">
        <v>13</v>
      </c>
      <c r="AX85" t="s">
        <v>3505</v>
      </c>
    </row>
    <row r="86" spans="1:50" x14ac:dyDescent="0.25">
      <c r="A86">
        <v>81</v>
      </c>
      <c r="B86" t="s">
        <v>3156</v>
      </c>
      <c r="C86" t="s">
        <v>39</v>
      </c>
      <c r="D86">
        <v>21</v>
      </c>
      <c r="E86" t="s">
        <v>2504</v>
      </c>
      <c r="F86">
        <v>82</v>
      </c>
      <c r="G86">
        <v>16</v>
      </c>
      <c r="H86">
        <v>37</v>
      </c>
      <c r="I86">
        <v>53</v>
      </c>
      <c r="J86">
        <v>16</v>
      </c>
      <c r="K86">
        <v>-14</v>
      </c>
      <c r="L86">
        <v>12</v>
      </c>
      <c r="M86">
        <v>2</v>
      </c>
      <c r="N86">
        <v>2</v>
      </c>
      <c r="O86">
        <v>4</v>
      </c>
      <c r="P86">
        <v>2</v>
      </c>
      <c r="Q86">
        <v>25</v>
      </c>
      <c r="R86">
        <v>12</v>
      </c>
      <c r="S86">
        <v>0</v>
      </c>
      <c r="T86">
        <v>4</v>
      </c>
      <c r="U86">
        <v>1</v>
      </c>
      <c r="V86">
        <v>37</v>
      </c>
      <c r="W86">
        <v>14</v>
      </c>
      <c r="X86">
        <v>2</v>
      </c>
      <c r="Y86">
        <v>8</v>
      </c>
      <c r="Z86">
        <v>3</v>
      </c>
      <c r="AA86" t="s">
        <v>3506</v>
      </c>
      <c r="AB86" s="24">
        <v>0.8305555555555556</v>
      </c>
      <c r="AC86" s="24">
        <v>0.64166666666666672</v>
      </c>
      <c r="AD86" s="24">
        <v>0.11597222222222221</v>
      </c>
      <c r="AE86" s="24">
        <v>7.2222222222222229E-2</v>
      </c>
      <c r="AF86" t="s">
        <v>2530</v>
      </c>
      <c r="AG86" t="s">
        <v>3507</v>
      </c>
      <c r="AH86" t="s">
        <v>3489</v>
      </c>
      <c r="AI86" t="s">
        <v>3508</v>
      </c>
      <c r="AJ86" t="s">
        <v>2532</v>
      </c>
      <c r="AK86" t="s">
        <v>3509</v>
      </c>
      <c r="AL86" t="s">
        <v>3510</v>
      </c>
      <c r="AM86" t="s">
        <v>3511</v>
      </c>
      <c r="AN86" t="s">
        <v>3512</v>
      </c>
      <c r="AO86" t="s">
        <v>3513</v>
      </c>
      <c r="AP86" t="s">
        <v>2900</v>
      </c>
      <c r="AQ86" t="s">
        <v>3431</v>
      </c>
      <c r="AR86">
        <v>251</v>
      </c>
      <c r="AS86" t="s">
        <v>3514</v>
      </c>
      <c r="AT86">
        <v>56</v>
      </c>
      <c r="AU86">
        <v>30</v>
      </c>
      <c r="AV86">
        <v>769</v>
      </c>
      <c r="AW86">
        <v>752</v>
      </c>
      <c r="AX86" t="s">
        <v>3515</v>
      </c>
    </row>
    <row r="87" spans="1:50" x14ac:dyDescent="0.25">
      <c r="A87">
        <v>82</v>
      </c>
      <c r="B87" t="s">
        <v>3156</v>
      </c>
      <c r="C87" t="s">
        <v>136</v>
      </c>
      <c r="D87">
        <v>33</v>
      </c>
      <c r="E87" t="s">
        <v>1719</v>
      </c>
      <c r="F87">
        <v>80</v>
      </c>
      <c r="G87">
        <v>6</v>
      </c>
      <c r="H87">
        <v>47</v>
      </c>
      <c r="I87">
        <v>53</v>
      </c>
      <c r="J87">
        <v>16</v>
      </c>
      <c r="K87">
        <v>22</v>
      </c>
      <c r="L87">
        <v>4</v>
      </c>
      <c r="M87">
        <v>2</v>
      </c>
      <c r="N87">
        <v>0</v>
      </c>
      <c r="O87">
        <v>2</v>
      </c>
      <c r="P87">
        <v>1</v>
      </c>
      <c r="Q87">
        <v>34</v>
      </c>
      <c r="R87">
        <v>13</v>
      </c>
      <c r="S87">
        <v>0</v>
      </c>
      <c r="T87">
        <v>7</v>
      </c>
      <c r="U87">
        <v>4</v>
      </c>
      <c r="V87">
        <v>38</v>
      </c>
      <c r="W87">
        <v>15</v>
      </c>
      <c r="X87">
        <v>0</v>
      </c>
      <c r="Y87">
        <v>9</v>
      </c>
      <c r="Z87">
        <v>5</v>
      </c>
      <c r="AA87" t="s">
        <v>3484</v>
      </c>
      <c r="AB87" s="25">
        <v>1.0673611111111112</v>
      </c>
      <c r="AC87" s="24">
        <v>0.8340277777777777</v>
      </c>
      <c r="AD87" s="24">
        <v>0.13125000000000001</v>
      </c>
      <c r="AE87" s="24">
        <v>0.1013888888888889</v>
      </c>
      <c r="AF87" t="s">
        <v>3516</v>
      </c>
      <c r="AG87" t="s">
        <v>3517</v>
      </c>
      <c r="AH87" t="s">
        <v>3518</v>
      </c>
      <c r="AI87" t="s">
        <v>3519</v>
      </c>
      <c r="AJ87" t="s">
        <v>2764</v>
      </c>
      <c r="AK87" t="s">
        <v>3486</v>
      </c>
      <c r="AL87" t="s">
        <v>3336</v>
      </c>
      <c r="AM87" t="s">
        <v>3520</v>
      </c>
      <c r="AN87" t="s">
        <v>3521</v>
      </c>
      <c r="AO87" t="s">
        <v>3522</v>
      </c>
      <c r="AP87" t="s">
        <v>3523</v>
      </c>
      <c r="AQ87" t="s">
        <v>3420</v>
      </c>
      <c r="AR87">
        <v>183</v>
      </c>
      <c r="AS87" t="s">
        <v>3524</v>
      </c>
      <c r="AT87">
        <v>24</v>
      </c>
      <c r="AU87">
        <v>107</v>
      </c>
      <c r="AV87">
        <v>0</v>
      </c>
      <c r="AW87">
        <v>0</v>
      </c>
      <c r="AX87" t="s">
        <v>2579</v>
      </c>
    </row>
    <row r="88" spans="1:50" x14ac:dyDescent="0.25">
      <c r="A88">
        <v>83</v>
      </c>
      <c r="B88" t="s">
        <v>3157</v>
      </c>
      <c r="C88" t="s">
        <v>699</v>
      </c>
      <c r="D88">
        <v>26</v>
      </c>
      <c r="E88" t="s">
        <v>2504</v>
      </c>
      <c r="F88">
        <v>81</v>
      </c>
      <c r="G88">
        <v>34</v>
      </c>
      <c r="H88">
        <v>18</v>
      </c>
      <c r="I88">
        <v>52</v>
      </c>
      <c r="J88">
        <v>56</v>
      </c>
      <c r="K88">
        <v>9</v>
      </c>
      <c r="L88">
        <v>25</v>
      </c>
      <c r="M88">
        <v>9</v>
      </c>
      <c r="N88">
        <v>0</v>
      </c>
      <c r="O88">
        <v>6</v>
      </c>
      <c r="P88">
        <v>0</v>
      </c>
      <c r="Q88">
        <v>13</v>
      </c>
      <c r="R88">
        <v>5</v>
      </c>
      <c r="S88">
        <v>0</v>
      </c>
      <c r="T88">
        <v>3</v>
      </c>
      <c r="U88">
        <v>0</v>
      </c>
      <c r="V88">
        <v>38</v>
      </c>
      <c r="W88">
        <v>14</v>
      </c>
      <c r="X88">
        <v>0</v>
      </c>
      <c r="Y88">
        <v>9</v>
      </c>
      <c r="Z88">
        <v>0</v>
      </c>
      <c r="AA88" t="s">
        <v>3525</v>
      </c>
      <c r="AB88" s="24">
        <v>0.64930555555555558</v>
      </c>
      <c r="AC88" s="24">
        <v>0.5444444444444444</v>
      </c>
      <c r="AD88" s="24">
        <v>0.10277777777777779</v>
      </c>
      <c r="AE88" s="24">
        <v>6.9444444444444447E-4</v>
      </c>
      <c r="AF88" t="s">
        <v>2650</v>
      </c>
      <c r="AG88" t="s">
        <v>3526</v>
      </c>
      <c r="AH88" t="s">
        <v>3527</v>
      </c>
      <c r="AI88" t="s">
        <v>3528</v>
      </c>
      <c r="AJ88" t="s">
        <v>3494</v>
      </c>
      <c r="AK88" t="s">
        <v>3529</v>
      </c>
      <c r="AL88" t="s">
        <v>3530</v>
      </c>
      <c r="AM88" t="s">
        <v>3531</v>
      </c>
      <c r="AN88" t="s">
        <v>3532</v>
      </c>
      <c r="AO88" t="s">
        <v>3533</v>
      </c>
      <c r="AP88" t="s">
        <v>3534</v>
      </c>
      <c r="AQ88" t="s">
        <v>3535</v>
      </c>
      <c r="AR88">
        <v>191</v>
      </c>
      <c r="AS88" t="s">
        <v>3536</v>
      </c>
      <c r="AT88">
        <v>172</v>
      </c>
      <c r="AU88">
        <v>34</v>
      </c>
      <c r="AV88">
        <v>7</v>
      </c>
      <c r="AW88">
        <v>11</v>
      </c>
      <c r="AX88" t="s">
        <v>3537</v>
      </c>
    </row>
    <row r="89" spans="1:50" x14ac:dyDescent="0.25">
      <c r="A89">
        <v>84</v>
      </c>
      <c r="B89" t="s">
        <v>3156</v>
      </c>
      <c r="C89" t="s">
        <v>35</v>
      </c>
      <c r="D89">
        <v>27</v>
      </c>
      <c r="E89" t="s">
        <v>2504</v>
      </c>
      <c r="F89">
        <v>73</v>
      </c>
      <c r="G89">
        <v>25</v>
      </c>
      <c r="H89">
        <v>27</v>
      </c>
      <c r="I89">
        <v>52</v>
      </c>
      <c r="J89">
        <v>12</v>
      </c>
      <c r="K89">
        <v>11</v>
      </c>
      <c r="L89">
        <v>14</v>
      </c>
      <c r="M89">
        <v>11</v>
      </c>
      <c r="N89">
        <v>0</v>
      </c>
      <c r="O89">
        <v>3</v>
      </c>
      <c r="P89">
        <v>0</v>
      </c>
      <c r="Q89">
        <v>22</v>
      </c>
      <c r="R89">
        <v>4</v>
      </c>
      <c r="S89">
        <v>1</v>
      </c>
      <c r="T89">
        <v>5</v>
      </c>
      <c r="U89">
        <v>3</v>
      </c>
      <c r="V89">
        <v>36</v>
      </c>
      <c r="W89">
        <v>15</v>
      </c>
      <c r="X89">
        <v>1</v>
      </c>
      <c r="Y89">
        <v>8</v>
      </c>
      <c r="Z89">
        <v>3</v>
      </c>
      <c r="AA89" t="s">
        <v>3538</v>
      </c>
      <c r="AB89" s="24">
        <v>0.73333333333333339</v>
      </c>
      <c r="AC89" s="24">
        <v>0.56527777777777777</v>
      </c>
      <c r="AD89" s="24">
        <v>0.12569444444444444</v>
      </c>
      <c r="AE89" s="24">
        <v>4.5833333333333337E-2</v>
      </c>
      <c r="AF89" t="s">
        <v>3344</v>
      </c>
      <c r="AG89" t="s">
        <v>3185</v>
      </c>
      <c r="AH89" t="s">
        <v>3539</v>
      </c>
      <c r="AI89" t="s">
        <v>3540</v>
      </c>
      <c r="AJ89" t="s">
        <v>3394</v>
      </c>
      <c r="AK89" t="s">
        <v>3541</v>
      </c>
      <c r="AL89" t="s">
        <v>3542</v>
      </c>
      <c r="AM89" t="s">
        <v>3543</v>
      </c>
      <c r="AN89" t="s">
        <v>3544</v>
      </c>
      <c r="AO89" t="s">
        <v>3545</v>
      </c>
      <c r="AP89" t="s">
        <v>3546</v>
      </c>
      <c r="AQ89" t="s">
        <v>3547</v>
      </c>
      <c r="AR89">
        <v>174</v>
      </c>
      <c r="AS89" t="s">
        <v>3548</v>
      </c>
      <c r="AT89">
        <v>57</v>
      </c>
      <c r="AU89">
        <v>65</v>
      </c>
      <c r="AV89">
        <v>297</v>
      </c>
      <c r="AW89">
        <v>456</v>
      </c>
      <c r="AX89" t="s">
        <v>3549</v>
      </c>
    </row>
    <row r="90" spans="1:50" x14ac:dyDescent="0.25">
      <c r="A90">
        <v>85</v>
      </c>
      <c r="B90" t="s">
        <v>3162</v>
      </c>
      <c r="C90" t="s">
        <v>15</v>
      </c>
      <c r="D90">
        <v>21</v>
      </c>
      <c r="E90" t="s">
        <v>2504</v>
      </c>
      <c r="F90">
        <v>61</v>
      </c>
      <c r="G90">
        <v>21</v>
      </c>
      <c r="H90">
        <v>31</v>
      </c>
      <c r="I90">
        <v>52</v>
      </c>
      <c r="J90">
        <v>10</v>
      </c>
      <c r="K90">
        <v>13</v>
      </c>
      <c r="L90">
        <v>18</v>
      </c>
      <c r="M90">
        <v>3</v>
      </c>
      <c r="N90">
        <v>0</v>
      </c>
      <c r="O90">
        <v>5</v>
      </c>
      <c r="P90">
        <v>2</v>
      </c>
      <c r="Q90">
        <v>20</v>
      </c>
      <c r="R90">
        <v>11</v>
      </c>
      <c r="S90">
        <v>0</v>
      </c>
      <c r="T90">
        <v>5</v>
      </c>
      <c r="U90">
        <v>1</v>
      </c>
      <c r="V90">
        <v>38</v>
      </c>
      <c r="W90">
        <v>14</v>
      </c>
      <c r="X90">
        <v>0</v>
      </c>
      <c r="Y90">
        <v>10</v>
      </c>
      <c r="Z90">
        <v>3</v>
      </c>
      <c r="AA90" t="s">
        <v>3525</v>
      </c>
      <c r="AB90" s="24">
        <v>0.80694444444444446</v>
      </c>
      <c r="AC90" s="24">
        <v>0.63541666666666663</v>
      </c>
      <c r="AD90" s="24">
        <v>0.12083333333333333</v>
      </c>
      <c r="AE90" s="24">
        <v>5.2777777777777778E-2</v>
      </c>
      <c r="AF90" t="s">
        <v>3284</v>
      </c>
      <c r="AG90" t="s">
        <v>3550</v>
      </c>
      <c r="AH90" t="s">
        <v>3551</v>
      </c>
      <c r="AI90" t="s">
        <v>2703</v>
      </c>
      <c r="AJ90" t="s">
        <v>3552</v>
      </c>
      <c r="AK90" t="s">
        <v>3553</v>
      </c>
      <c r="AL90" t="s">
        <v>3009</v>
      </c>
      <c r="AM90" t="s">
        <v>3554</v>
      </c>
      <c r="AN90" t="s">
        <v>3555</v>
      </c>
      <c r="AO90" t="s">
        <v>3556</v>
      </c>
      <c r="AP90" t="s">
        <v>3557</v>
      </c>
      <c r="AQ90" t="s">
        <v>2805</v>
      </c>
      <c r="AR90">
        <v>142</v>
      </c>
      <c r="AS90" t="s">
        <v>3558</v>
      </c>
      <c r="AT90">
        <v>39</v>
      </c>
      <c r="AU90">
        <v>30</v>
      </c>
      <c r="AV90">
        <v>476</v>
      </c>
      <c r="AW90">
        <v>547</v>
      </c>
      <c r="AX90" t="s">
        <v>3559</v>
      </c>
    </row>
    <row r="91" spans="1:50" x14ac:dyDescent="0.25">
      <c r="A91">
        <v>86</v>
      </c>
      <c r="B91" t="s">
        <v>3156</v>
      </c>
      <c r="C91" t="s">
        <v>1778</v>
      </c>
      <c r="D91">
        <v>21</v>
      </c>
      <c r="E91" t="s">
        <v>2504</v>
      </c>
      <c r="F91">
        <v>81</v>
      </c>
      <c r="G91">
        <v>20</v>
      </c>
      <c r="H91">
        <v>32</v>
      </c>
      <c r="I91">
        <v>52</v>
      </c>
      <c r="J91">
        <v>27</v>
      </c>
      <c r="K91">
        <v>-7</v>
      </c>
      <c r="L91">
        <v>15</v>
      </c>
      <c r="M91">
        <v>3</v>
      </c>
      <c r="N91">
        <v>2</v>
      </c>
      <c r="O91">
        <v>1</v>
      </c>
      <c r="P91">
        <v>0</v>
      </c>
      <c r="Q91">
        <v>25</v>
      </c>
      <c r="R91">
        <v>7</v>
      </c>
      <c r="S91">
        <v>0</v>
      </c>
      <c r="T91">
        <v>3</v>
      </c>
      <c r="U91">
        <v>0</v>
      </c>
      <c r="V91">
        <v>40</v>
      </c>
      <c r="W91">
        <v>10</v>
      </c>
      <c r="X91">
        <v>2</v>
      </c>
      <c r="Y91">
        <v>4</v>
      </c>
      <c r="Z91">
        <v>0</v>
      </c>
      <c r="AA91" t="s">
        <v>3560</v>
      </c>
      <c r="AB91" s="24">
        <v>0.75069444444444444</v>
      </c>
      <c r="AC91" s="24">
        <v>0.59375</v>
      </c>
      <c r="AD91" s="24">
        <v>8.0555555555555561E-2</v>
      </c>
      <c r="AE91" s="24">
        <v>7.5694444444444439E-2</v>
      </c>
      <c r="AF91" t="s">
        <v>3561</v>
      </c>
      <c r="AG91" t="s">
        <v>2784</v>
      </c>
      <c r="AH91" t="s">
        <v>2681</v>
      </c>
      <c r="AI91" t="s">
        <v>2927</v>
      </c>
      <c r="AJ91" t="s">
        <v>2864</v>
      </c>
      <c r="AK91" t="s">
        <v>3562</v>
      </c>
      <c r="AL91" t="s">
        <v>3563</v>
      </c>
      <c r="AM91" t="s">
        <v>3564</v>
      </c>
      <c r="AN91" t="s">
        <v>3565</v>
      </c>
      <c r="AO91" t="s">
        <v>3025</v>
      </c>
      <c r="AP91" t="s">
        <v>2859</v>
      </c>
      <c r="AQ91" t="s">
        <v>3535</v>
      </c>
      <c r="AR91">
        <v>158</v>
      </c>
      <c r="AS91" t="s">
        <v>3566</v>
      </c>
      <c r="AT91">
        <v>65</v>
      </c>
      <c r="AU91">
        <v>41</v>
      </c>
      <c r="AV91">
        <v>756</v>
      </c>
      <c r="AW91">
        <v>742</v>
      </c>
      <c r="AX91" t="s">
        <v>3567</v>
      </c>
    </row>
    <row r="92" spans="1:50" x14ac:dyDescent="0.25">
      <c r="A92">
        <v>87</v>
      </c>
      <c r="B92" t="s">
        <v>3161</v>
      </c>
      <c r="C92" t="s">
        <v>106</v>
      </c>
      <c r="D92">
        <v>25</v>
      </c>
      <c r="E92" t="s">
        <v>2504</v>
      </c>
      <c r="F92">
        <v>75</v>
      </c>
      <c r="G92">
        <v>17</v>
      </c>
      <c r="H92">
        <v>35</v>
      </c>
      <c r="I92">
        <v>52</v>
      </c>
      <c r="J92">
        <v>39</v>
      </c>
      <c r="K92">
        <v>8</v>
      </c>
      <c r="L92">
        <v>12</v>
      </c>
      <c r="M92">
        <v>5</v>
      </c>
      <c r="N92">
        <v>0</v>
      </c>
      <c r="O92">
        <v>3</v>
      </c>
      <c r="P92">
        <v>0</v>
      </c>
      <c r="Q92">
        <v>25</v>
      </c>
      <c r="R92">
        <v>10</v>
      </c>
      <c r="S92">
        <v>0</v>
      </c>
      <c r="T92">
        <v>4</v>
      </c>
      <c r="U92">
        <v>1</v>
      </c>
      <c r="V92">
        <v>37</v>
      </c>
      <c r="W92">
        <v>15</v>
      </c>
      <c r="X92">
        <v>0</v>
      </c>
      <c r="Y92">
        <v>7</v>
      </c>
      <c r="Z92">
        <v>1</v>
      </c>
      <c r="AA92" t="s">
        <v>3538</v>
      </c>
      <c r="AB92" s="24">
        <v>0.79652777777777783</v>
      </c>
      <c r="AC92" s="24">
        <v>0.60902777777777783</v>
      </c>
      <c r="AD92" s="24">
        <v>0.11527777777777777</v>
      </c>
      <c r="AE92" s="24">
        <v>7.0833333333333331E-2</v>
      </c>
      <c r="AF92" t="s">
        <v>3399</v>
      </c>
      <c r="AG92" t="s">
        <v>3319</v>
      </c>
      <c r="AH92" t="s">
        <v>3568</v>
      </c>
      <c r="AI92" t="s">
        <v>3569</v>
      </c>
      <c r="AJ92" t="s">
        <v>3570</v>
      </c>
      <c r="AK92" t="s">
        <v>3571</v>
      </c>
      <c r="AL92" t="s">
        <v>3572</v>
      </c>
      <c r="AM92" t="s">
        <v>3573</v>
      </c>
      <c r="AN92" t="s">
        <v>3574</v>
      </c>
      <c r="AO92" t="s">
        <v>3575</v>
      </c>
      <c r="AP92" t="s">
        <v>3576</v>
      </c>
      <c r="AQ92" t="s">
        <v>3577</v>
      </c>
      <c r="AR92">
        <v>162</v>
      </c>
      <c r="AS92" t="s">
        <v>2793</v>
      </c>
      <c r="AT92">
        <v>141</v>
      </c>
      <c r="AU92">
        <v>66</v>
      </c>
      <c r="AV92">
        <v>9</v>
      </c>
      <c r="AW92">
        <v>25</v>
      </c>
      <c r="AX92" t="s">
        <v>3578</v>
      </c>
    </row>
    <row r="93" spans="1:50" x14ac:dyDescent="0.25">
      <c r="A93">
        <v>88</v>
      </c>
      <c r="B93" t="s">
        <v>3157</v>
      </c>
      <c r="C93" t="s">
        <v>76</v>
      </c>
      <c r="D93">
        <v>31</v>
      </c>
      <c r="E93" t="s">
        <v>1719</v>
      </c>
      <c r="F93">
        <v>80</v>
      </c>
      <c r="G93">
        <v>13</v>
      </c>
      <c r="H93">
        <v>39</v>
      </c>
      <c r="I93">
        <v>52</v>
      </c>
      <c r="J93">
        <v>117</v>
      </c>
      <c r="K93">
        <v>10</v>
      </c>
      <c r="L93">
        <v>12</v>
      </c>
      <c r="M93">
        <v>1</v>
      </c>
      <c r="N93">
        <v>0</v>
      </c>
      <c r="O93">
        <v>1</v>
      </c>
      <c r="P93">
        <v>0</v>
      </c>
      <c r="Q93">
        <v>24</v>
      </c>
      <c r="R93">
        <v>13</v>
      </c>
      <c r="S93">
        <v>2</v>
      </c>
      <c r="T93">
        <v>9</v>
      </c>
      <c r="U93">
        <v>3</v>
      </c>
      <c r="V93">
        <v>36</v>
      </c>
      <c r="W93">
        <v>14</v>
      </c>
      <c r="X93">
        <v>2</v>
      </c>
      <c r="Y93">
        <v>10</v>
      </c>
      <c r="Z93">
        <v>3</v>
      </c>
      <c r="AA93" t="s">
        <v>3525</v>
      </c>
      <c r="AB93" s="25">
        <v>1.1430555555555555</v>
      </c>
      <c r="AC93" s="24">
        <v>0.90694444444444444</v>
      </c>
      <c r="AD93" s="24">
        <v>0.13819444444444443</v>
      </c>
      <c r="AE93" s="24">
        <v>9.7222222222222224E-2</v>
      </c>
      <c r="AF93" t="s">
        <v>3579</v>
      </c>
      <c r="AG93" t="s">
        <v>3284</v>
      </c>
      <c r="AH93" t="s">
        <v>2798</v>
      </c>
      <c r="AI93" t="s">
        <v>3580</v>
      </c>
      <c r="AJ93" t="s">
        <v>3581</v>
      </c>
      <c r="AK93" t="s">
        <v>3582</v>
      </c>
      <c r="AL93" t="s">
        <v>3583</v>
      </c>
      <c r="AM93" t="s">
        <v>2907</v>
      </c>
      <c r="AN93" t="s">
        <v>3584</v>
      </c>
      <c r="AO93" t="s">
        <v>3094</v>
      </c>
      <c r="AP93" t="s">
        <v>2589</v>
      </c>
      <c r="AQ93" t="s">
        <v>3585</v>
      </c>
      <c r="AR93">
        <v>241</v>
      </c>
      <c r="AS93" t="s">
        <v>3586</v>
      </c>
      <c r="AT93">
        <v>183</v>
      </c>
      <c r="AU93">
        <v>124</v>
      </c>
      <c r="AV93">
        <v>0</v>
      </c>
      <c r="AW93">
        <v>0</v>
      </c>
      <c r="AX93" t="s">
        <v>2579</v>
      </c>
    </row>
    <row r="94" spans="1:50" x14ac:dyDescent="0.25">
      <c r="A94">
        <v>89</v>
      </c>
      <c r="B94" t="s">
        <v>3168</v>
      </c>
      <c r="C94" t="s">
        <v>10</v>
      </c>
      <c r="D94">
        <v>29</v>
      </c>
      <c r="E94" t="s">
        <v>2504</v>
      </c>
      <c r="F94">
        <v>76</v>
      </c>
      <c r="G94">
        <v>12</v>
      </c>
      <c r="H94">
        <v>40</v>
      </c>
      <c r="I94">
        <v>52</v>
      </c>
      <c r="J94">
        <v>28</v>
      </c>
      <c r="K94">
        <v>-10</v>
      </c>
      <c r="L94">
        <v>7</v>
      </c>
      <c r="M94">
        <v>5</v>
      </c>
      <c r="N94">
        <v>0</v>
      </c>
      <c r="O94">
        <v>0</v>
      </c>
      <c r="P94">
        <v>0</v>
      </c>
      <c r="Q94">
        <v>25</v>
      </c>
      <c r="R94">
        <v>14</v>
      </c>
      <c r="S94">
        <v>1</v>
      </c>
      <c r="T94">
        <v>10</v>
      </c>
      <c r="U94">
        <v>5</v>
      </c>
      <c r="V94">
        <v>32</v>
      </c>
      <c r="W94">
        <v>19</v>
      </c>
      <c r="X94">
        <v>1</v>
      </c>
      <c r="Y94">
        <v>10</v>
      </c>
      <c r="Z94">
        <v>5</v>
      </c>
      <c r="AA94" t="s">
        <v>3587</v>
      </c>
      <c r="AB94" s="24">
        <v>0.86388888888888893</v>
      </c>
      <c r="AC94" s="24">
        <v>0.66041666666666665</v>
      </c>
      <c r="AD94" s="24">
        <v>0.125</v>
      </c>
      <c r="AE94" s="24">
        <v>7.8472222222222221E-2</v>
      </c>
      <c r="AF94" t="s">
        <v>3588</v>
      </c>
      <c r="AG94" t="s">
        <v>3589</v>
      </c>
      <c r="AH94" t="s">
        <v>3590</v>
      </c>
      <c r="AI94" t="s">
        <v>3591</v>
      </c>
      <c r="AJ94" t="s">
        <v>2853</v>
      </c>
      <c r="AK94" t="s">
        <v>2540</v>
      </c>
      <c r="AL94" t="s">
        <v>3381</v>
      </c>
      <c r="AM94" t="s">
        <v>3512</v>
      </c>
      <c r="AN94" t="s">
        <v>3592</v>
      </c>
      <c r="AO94" t="s">
        <v>3593</v>
      </c>
      <c r="AP94" t="s">
        <v>3510</v>
      </c>
      <c r="AQ94" t="s">
        <v>3594</v>
      </c>
      <c r="AR94">
        <v>150</v>
      </c>
      <c r="AS94" t="s">
        <v>3595</v>
      </c>
      <c r="AT94">
        <v>78</v>
      </c>
      <c r="AU94">
        <v>59</v>
      </c>
      <c r="AV94">
        <v>892</v>
      </c>
      <c r="AW94">
        <v>801</v>
      </c>
      <c r="AX94" t="s">
        <v>3596</v>
      </c>
    </row>
    <row r="95" spans="1:50" x14ac:dyDescent="0.25">
      <c r="A95">
        <v>90</v>
      </c>
      <c r="B95" t="s">
        <v>3158</v>
      </c>
      <c r="C95" t="s">
        <v>131</v>
      </c>
      <c r="D95">
        <v>23</v>
      </c>
      <c r="E95" t="s">
        <v>2504</v>
      </c>
      <c r="F95">
        <v>71</v>
      </c>
      <c r="G95">
        <v>33</v>
      </c>
      <c r="H95">
        <v>18</v>
      </c>
      <c r="I95">
        <v>51</v>
      </c>
      <c r="J95">
        <v>12</v>
      </c>
      <c r="K95">
        <v>10</v>
      </c>
      <c r="L95">
        <v>28</v>
      </c>
      <c r="M95">
        <v>5</v>
      </c>
      <c r="N95">
        <v>0</v>
      </c>
      <c r="O95">
        <v>10</v>
      </c>
      <c r="P95">
        <v>1</v>
      </c>
      <c r="Q95">
        <v>11</v>
      </c>
      <c r="R95">
        <v>7</v>
      </c>
      <c r="S95">
        <v>0</v>
      </c>
      <c r="T95">
        <v>3</v>
      </c>
      <c r="U95">
        <v>1</v>
      </c>
      <c r="V95">
        <v>39</v>
      </c>
      <c r="W95">
        <v>12</v>
      </c>
      <c r="X95">
        <v>0</v>
      </c>
      <c r="Y95">
        <v>13</v>
      </c>
      <c r="Z95">
        <v>2</v>
      </c>
      <c r="AA95" t="s">
        <v>3597</v>
      </c>
      <c r="AB95" s="24">
        <v>0.72361111111111109</v>
      </c>
      <c r="AC95" s="24">
        <v>0.62986111111111109</v>
      </c>
      <c r="AD95" s="24">
        <v>9.2361111111111116E-2</v>
      </c>
      <c r="AE95" s="24">
        <v>6.9444444444444447E-4</v>
      </c>
      <c r="AF95" t="s">
        <v>3598</v>
      </c>
      <c r="AG95" t="s">
        <v>3599</v>
      </c>
      <c r="AH95" t="s">
        <v>3600</v>
      </c>
      <c r="AI95" t="s">
        <v>3601</v>
      </c>
      <c r="AJ95" t="s">
        <v>3393</v>
      </c>
      <c r="AK95" t="s">
        <v>3541</v>
      </c>
      <c r="AL95" t="s">
        <v>3602</v>
      </c>
      <c r="AM95" t="s">
        <v>3603</v>
      </c>
      <c r="AN95" t="s">
        <v>3604</v>
      </c>
      <c r="AO95" t="s">
        <v>3428</v>
      </c>
      <c r="AP95" t="s">
        <v>3605</v>
      </c>
      <c r="AQ95" t="s">
        <v>3606</v>
      </c>
      <c r="AR95">
        <v>177</v>
      </c>
      <c r="AS95" t="s">
        <v>3128</v>
      </c>
      <c r="AT95">
        <v>81</v>
      </c>
      <c r="AU95">
        <v>32</v>
      </c>
      <c r="AV95">
        <v>62</v>
      </c>
      <c r="AW95">
        <v>85</v>
      </c>
      <c r="AX95" t="s">
        <v>3607</v>
      </c>
    </row>
    <row r="96" spans="1:50" x14ac:dyDescent="0.25">
      <c r="A96">
        <v>91</v>
      </c>
      <c r="B96" t="s">
        <v>3157</v>
      </c>
      <c r="C96" t="s">
        <v>1785</v>
      </c>
      <c r="D96">
        <v>32</v>
      </c>
      <c r="E96" t="s">
        <v>2504</v>
      </c>
      <c r="F96">
        <v>79</v>
      </c>
      <c r="G96">
        <v>32</v>
      </c>
      <c r="H96">
        <v>19</v>
      </c>
      <c r="I96">
        <v>51</v>
      </c>
      <c r="J96">
        <v>24</v>
      </c>
      <c r="K96">
        <v>-2</v>
      </c>
      <c r="L96">
        <v>19</v>
      </c>
      <c r="M96">
        <v>13</v>
      </c>
      <c r="N96">
        <v>0</v>
      </c>
      <c r="O96">
        <v>2</v>
      </c>
      <c r="P96">
        <v>0</v>
      </c>
      <c r="Q96">
        <v>14</v>
      </c>
      <c r="R96">
        <v>5</v>
      </c>
      <c r="S96">
        <v>0</v>
      </c>
      <c r="T96">
        <v>2</v>
      </c>
      <c r="U96">
        <v>0</v>
      </c>
      <c r="V96">
        <v>33</v>
      </c>
      <c r="W96">
        <v>18</v>
      </c>
      <c r="X96">
        <v>0</v>
      </c>
      <c r="Y96">
        <v>4</v>
      </c>
      <c r="Z96">
        <v>0</v>
      </c>
      <c r="AA96" t="s">
        <v>3608</v>
      </c>
      <c r="AB96" s="24">
        <v>0.68333333333333324</v>
      </c>
      <c r="AC96" s="24">
        <v>0.5541666666666667</v>
      </c>
      <c r="AD96" s="24">
        <v>0.12222222222222223</v>
      </c>
      <c r="AE96" s="24">
        <v>6.9444444444444441E-3</v>
      </c>
      <c r="AF96" t="s">
        <v>3609</v>
      </c>
      <c r="AG96" t="s">
        <v>3610</v>
      </c>
      <c r="AH96" t="s">
        <v>3611</v>
      </c>
      <c r="AI96" t="s">
        <v>2547</v>
      </c>
      <c r="AJ96" t="s">
        <v>3612</v>
      </c>
      <c r="AK96" t="s">
        <v>3613</v>
      </c>
      <c r="AL96" t="s">
        <v>3614</v>
      </c>
      <c r="AM96" t="s">
        <v>3615</v>
      </c>
      <c r="AN96" t="s">
        <v>3616</v>
      </c>
      <c r="AO96" t="s">
        <v>2602</v>
      </c>
      <c r="AP96" t="s">
        <v>3617</v>
      </c>
      <c r="AQ96" t="s">
        <v>3431</v>
      </c>
      <c r="AR96">
        <v>209</v>
      </c>
      <c r="AS96" t="s">
        <v>3618</v>
      </c>
      <c r="AT96">
        <v>89</v>
      </c>
      <c r="AU96">
        <v>43</v>
      </c>
      <c r="AV96">
        <v>2</v>
      </c>
      <c r="AW96">
        <v>2</v>
      </c>
      <c r="AX96" t="s">
        <v>2647</v>
      </c>
    </row>
    <row r="97" spans="1:50" x14ac:dyDescent="0.25">
      <c r="A97">
        <v>92</v>
      </c>
      <c r="B97" t="s">
        <v>3156</v>
      </c>
      <c r="C97" t="s">
        <v>1782</v>
      </c>
      <c r="D97">
        <v>26</v>
      </c>
      <c r="E97" t="s">
        <v>2504</v>
      </c>
      <c r="F97">
        <v>75</v>
      </c>
      <c r="G97">
        <v>30</v>
      </c>
      <c r="H97">
        <v>21</v>
      </c>
      <c r="I97">
        <v>51</v>
      </c>
      <c r="J97">
        <v>38</v>
      </c>
      <c r="K97">
        <v>-21</v>
      </c>
      <c r="L97">
        <v>22</v>
      </c>
      <c r="M97">
        <v>8</v>
      </c>
      <c r="N97">
        <v>0</v>
      </c>
      <c r="O97">
        <v>6</v>
      </c>
      <c r="P97">
        <v>1</v>
      </c>
      <c r="Q97">
        <v>11</v>
      </c>
      <c r="R97">
        <v>10</v>
      </c>
      <c r="S97">
        <v>0</v>
      </c>
      <c r="T97">
        <v>3</v>
      </c>
      <c r="U97">
        <v>1</v>
      </c>
      <c r="V97">
        <v>33</v>
      </c>
      <c r="W97">
        <v>18</v>
      </c>
      <c r="X97">
        <v>0</v>
      </c>
      <c r="Y97">
        <v>9</v>
      </c>
      <c r="Z97">
        <v>2</v>
      </c>
      <c r="AA97" t="s">
        <v>3608</v>
      </c>
      <c r="AB97" s="24">
        <v>0.70486111111111116</v>
      </c>
      <c r="AC97" s="24">
        <v>0.59097222222222223</v>
      </c>
      <c r="AD97" s="24">
        <v>0.1125</v>
      </c>
      <c r="AE97" s="24">
        <v>1.3888888888888889E-3</v>
      </c>
      <c r="AF97" t="s">
        <v>3619</v>
      </c>
      <c r="AG97" t="s">
        <v>3620</v>
      </c>
      <c r="AH97" t="s">
        <v>2840</v>
      </c>
      <c r="AI97" t="s">
        <v>3582</v>
      </c>
      <c r="AJ97" t="s">
        <v>3621</v>
      </c>
      <c r="AK97" t="s">
        <v>3622</v>
      </c>
      <c r="AL97" t="s">
        <v>3611</v>
      </c>
      <c r="AM97" t="s">
        <v>3623</v>
      </c>
      <c r="AN97" t="s">
        <v>3624</v>
      </c>
      <c r="AO97" t="s">
        <v>3625</v>
      </c>
      <c r="AP97" t="s">
        <v>2561</v>
      </c>
      <c r="AQ97" t="s">
        <v>3626</v>
      </c>
      <c r="AR97">
        <v>193</v>
      </c>
      <c r="AS97" t="s">
        <v>3097</v>
      </c>
      <c r="AT97">
        <v>105</v>
      </c>
      <c r="AU97">
        <v>17</v>
      </c>
      <c r="AV97">
        <v>122</v>
      </c>
      <c r="AW97">
        <v>148</v>
      </c>
      <c r="AX97" t="s">
        <v>3627</v>
      </c>
    </row>
    <row r="98" spans="1:50" x14ac:dyDescent="0.25">
      <c r="A98">
        <v>93</v>
      </c>
      <c r="B98" t="s">
        <v>3157</v>
      </c>
      <c r="C98" t="s">
        <v>150</v>
      </c>
      <c r="D98">
        <v>29</v>
      </c>
      <c r="E98" t="s">
        <v>2504</v>
      </c>
      <c r="F98">
        <v>79</v>
      </c>
      <c r="G98">
        <v>26</v>
      </c>
      <c r="H98">
        <v>25</v>
      </c>
      <c r="I98">
        <v>51</v>
      </c>
      <c r="J98">
        <v>55</v>
      </c>
      <c r="K98">
        <v>-4</v>
      </c>
      <c r="L98">
        <v>15</v>
      </c>
      <c r="M98">
        <v>11</v>
      </c>
      <c r="N98">
        <v>0</v>
      </c>
      <c r="O98">
        <v>5</v>
      </c>
      <c r="P98">
        <v>1</v>
      </c>
      <c r="Q98">
        <v>15</v>
      </c>
      <c r="R98">
        <v>10</v>
      </c>
      <c r="S98">
        <v>0</v>
      </c>
      <c r="T98">
        <v>4</v>
      </c>
      <c r="U98">
        <v>0</v>
      </c>
      <c r="V98">
        <v>30</v>
      </c>
      <c r="W98">
        <v>21</v>
      </c>
      <c r="X98">
        <v>0</v>
      </c>
      <c r="Y98">
        <v>9</v>
      </c>
      <c r="Z98">
        <v>1</v>
      </c>
      <c r="AA98" t="s">
        <v>3628</v>
      </c>
      <c r="AB98" s="24">
        <v>0.76736111111111116</v>
      </c>
      <c r="AC98" s="24">
        <v>0.63124999999999998</v>
      </c>
      <c r="AD98" s="24">
        <v>0.11180555555555556</v>
      </c>
      <c r="AE98" s="24">
        <v>2.4305555555555556E-2</v>
      </c>
      <c r="AF98" t="s">
        <v>3629</v>
      </c>
      <c r="AG98" t="s">
        <v>3630</v>
      </c>
      <c r="AH98" t="s">
        <v>3631</v>
      </c>
      <c r="AI98" t="s">
        <v>3632</v>
      </c>
      <c r="AJ98" t="s">
        <v>3632</v>
      </c>
      <c r="AK98" t="s">
        <v>3633</v>
      </c>
      <c r="AL98" t="s">
        <v>3634</v>
      </c>
      <c r="AM98" t="s">
        <v>3018</v>
      </c>
      <c r="AN98" t="s">
        <v>3635</v>
      </c>
      <c r="AO98" t="s">
        <v>2939</v>
      </c>
      <c r="AP98" t="s">
        <v>3293</v>
      </c>
      <c r="AQ98" t="s">
        <v>3431</v>
      </c>
      <c r="AR98">
        <v>185</v>
      </c>
      <c r="AS98" t="s">
        <v>3636</v>
      </c>
      <c r="AT98">
        <v>157</v>
      </c>
      <c r="AU98">
        <v>50</v>
      </c>
      <c r="AV98">
        <v>41</v>
      </c>
      <c r="AW98">
        <v>48</v>
      </c>
      <c r="AX98" t="s">
        <v>3637</v>
      </c>
    </row>
    <row r="99" spans="1:50" x14ac:dyDescent="0.25">
      <c r="A99">
        <v>94</v>
      </c>
      <c r="B99" t="s">
        <v>3156</v>
      </c>
      <c r="C99" t="s">
        <v>32</v>
      </c>
      <c r="D99">
        <v>26</v>
      </c>
      <c r="E99" t="s">
        <v>2504</v>
      </c>
      <c r="F99">
        <v>82</v>
      </c>
      <c r="G99">
        <v>20</v>
      </c>
      <c r="H99">
        <v>31</v>
      </c>
      <c r="I99">
        <v>51</v>
      </c>
      <c r="J99">
        <v>16</v>
      </c>
      <c r="K99">
        <v>3</v>
      </c>
      <c r="L99">
        <v>16</v>
      </c>
      <c r="M99">
        <v>4</v>
      </c>
      <c r="N99">
        <v>0</v>
      </c>
      <c r="O99">
        <v>0</v>
      </c>
      <c r="P99">
        <v>0</v>
      </c>
      <c r="Q99">
        <v>21</v>
      </c>
      <c r="R99">
        <v>10</v>
      </c>
      <c r="S99">
        <v>0</v>
      </c>
      <c r="T99">
        <v>6</v>
      </c>
      <c r="U99">
        <v>1</v>
      </c>
      <c r="V99">
        <v>37</v>
      </c>
      <c r="W99">
        <v>14</v>
      </c>
      <c r="X99">
        <v>0</v>
      </c>
      <c r="Y99">
        <v>6</v>
      </c>
      <c r="Z99">
        <v>1</v>
      </c>
      <c r="AA99" t="s">
        <v>3638</v>
      </c>
      <c r="AB99" s="24">
        <v>0.69861111111111107</v>
      </c>
      <c r="AC99" s="24">
        <v>0.60416666666666663</v>
      </c>
      <c r="AD99" s="24">
        <v>9.2361111111111116E-2</v>
      </c>
      <c r="AE99" s="24">
        <v>1.3888888888888889E-3</v>
      </c>
      <c r="AF99" t="s">
        <v>3639</v>
      </c>
      <c r="AG99" t="s">
        <v>2787</v>
      </c>
      <c r="AH99" t="s">
        <v>3404</v>
      </c>
      <c r="AI99" t="s">
        <v>3640</v>
      </c>
      <c r="AJ99" t="s">
        <v>3641</v>
      </c>
      <c r="AK99" t="s">
        <v>3642</v>
      </c>
      <c r="AL99" t="s">
        <v>3022</v>
      </c>
      <c r="AM99" t="s">
        <v>3643</v>
      </c>
      <c r="AN99" t="s">
        <v>3644</v>
      </c>
      <c r="AO99" t="s">
        <v>3012</v>
      </c>
      <c r="AP99" t="s">
        <v>2658</v>
      </c>
      <c r="AQ99" t="s">
        <v>2845</v>
      </c>
      <c r="AR99">
        <v>208</v>
      </c>
      <c r="AS99" t="s">
        <v>2730</v>
      </c>
      <c r="AT99">
        <v>26</v>
      </c>
      <c r="AU99">
        <v>37</v>
      </c>
      <c r="AV99">
        <v>10</v>
      </c>
      <c r="AW99">
        <v>10</v>
      </c>
      <c r="AX99" t="s">
        <v>2647</v>
      </c>
    </row>
    <row r="100" spans="1:50" x14ac:dyDescent="0.25">
      <c r="A100">
        <v>95</v>
      </c>
      <c r="B100" t="s">
        <v>3158</v>
      </c>
      <c r="C100" t="s">
        <v>63</v>
      </c>
      <c r="D100">
        <v>32</v>
      </c>
      <c r="E100" t="s">
        <v>2504</v>
      </c>
      <c r="F100">
        <v>76</v>
      </c>
      <c r="G100">
        <v>16</v>
      </c>
      <c r="H100">
        <v>35</v>
      </c>
      <c r="I100">
        <v>51</v>
      </c>
      <c r="J100">
        <v>53</v>
      </c>
      <c r="K100">
        <v>-2</v>
      </c>
      <c r="L100">
        <v>13</v>
      </c>
      <c r="M100">
        <v>3</v>
      </c>
      <c r="N100">
        <v>0</v>
      </c>
      <c r="O100">
        <v>2</v>
      </c>
      <c r="P100">
        <v>0</v>
      </c>
      <c r="Q100">
        <v>22</v>
      </c>
      <c r="R100">
        <v>13</v>
      </c>
      <c r="S100">
        <v>0</v>
      </c>
      <c r="T100">
        <v>5</v>
      </c>
      <c r="U100">
        <v>2</v>
      </c>
      <c r="V100">
        <v>35</v>
      </c>
      <c r="W100">
        <v>16</v>
      </c>
      <c r="X100">
        <v>0</v>
      </c>
      <c r="Y100">
        <v>7</v>
      </c>
      <c r="Z100">
        <v>2</v>
      </c>
      <c r="AA100" t="s">
        <v>3645</v>
      </c>
      <c r="AB100" s="24">
        <v>0.8041666666666667</v>
      </c>
      <c r="AC100" s="24">
        <v>0.60486111111111118</v>
      </c>
      <c r="AD100" s="24">
        <v>0.12083333333333333</v>
      </c>
      <c r="AE100" s="24">
        <v>7.7083333333333337E-2</v>
      </c>
      <c r="AF100" t="s">
        <v>3458</v>
      </c>
      <c r="AG100" t="s">
        <v>3646</v>
      </c>
      <c r="AH100" t="s">
        <v>3352</v>
      </c>
      <c r="AI100" t="s">
        <v>3106</v>
      </c>
      <c r="AJ100" t="s">
        <v>3647</v>
      </c>
      <c r="AK100" t="s">
        <v>3648</v>
      </c>
      <c r="AL100" t="s">
        <v>3649</v>
      </c>
      <c r="AM100" t="s">
        <v>2812</v>
      </c>
      <c r="AN100" t="s">
        <v>3650</v>
      </c>
      <c r="AO100" t="s">
        <v>3651</v>
      </c>
      <c r="AP100" t="s">
        <v>3652</v>
      </c>
      <c r="AQ100" t="s">
        <v>2546</v>
      </c>
      <c r="AR100">
        <v>117</v>
      </c>
      <c r="AS100" t="s">
        <v>3653</v>
      </c>
      <c r="AT100">
        <v>33</v>
      </c>
      <c r="AU100">
        <v>69</v>
      </c>
      <c r="AV100">
        <v>101</v>
      </c>
      <c r="AW100">
        <v>146</v>
      </c>
      <c r="AX100" t="s">
        <v>3654</v>
      </c>
    </row>
    <row r="101" spans="1:50" x14ac:dyDescent="0.25">
      <c r="A101">
        <v>96</v>
      </c>
      <c r="B101" t="s">
        <v>3156</v>
      </c>
      <c r="C101" t="s">
        <v>1786</v>
      </c>
      <c r="D101">
        <v>26</v>
      </c>
      <c r="E101" t="s">
        <v>1719</v>
      </c>
      <c r="F101">
        <v>78</v>
      </c>
      <c r="G101">
        <v>12</v>
      </c>
      <c r="H101">
        <v>39</v>
      </c>
      <c r="I101">
        <v>51</v>
      </c>
      <c r="J101">
        <v>34</v>
      </c>
      <c r="K101">
        <v>27</v>
      </c>
      <c r="L101">
        <v>9</v>
      </c>
      <c r="M101">
        <v>3</v>
      </c>
      <c r="N101">
        <v>0</v>
      </c>
      <c r="O101">
        <v>1</v>
      </c>
      <c r="P101">
        <v>0</v>
      </c>
      <c r="Q101">
        <v>22</v>
      </c>
      <c r="R101">
        <v>17</v>
      </c>
      <c r="S101">
        <v>0</v>
      </c>
      <c r="T101">
        <v>7</v>
      </c>
      <c r="U101">
        <v>3</v>
      </c>
      <c r="V101">
        <v>31</v>
      </c>
      <c r="W101">
        <v>20</v>
      </c>
      <c r="X101">
        <v>0</v>
      </c>
      <c r="Y101">
        <v>8</v>
      </c>
      <c r="Z101">
        <v>3</v>
      </c>
      <c r="AA101" t="s">
        <v>3655</v>
      </c>
      <c r="AB101" s="24">
        <v>0.85138888888888886</v>
      </c>
      <c r="AC101" s="24">
        <v>0.73333333333333339</v>
      </c>
      <c r="AD101" s="24">
        <v>0.11458333333333333</v>
      </c>
      <c r="AE101" s="24">
        <v>2.7777777777777779E-3</v>
      </c>
      <c r="AF101" t="s">
        <v>2900</v>
      </c>
      <c r="AG101" t="s">
        <v>3656</v>
      </c>
      <c r="AH101" t="s">
        <v>2761</v>
      </c>
      <c r="AI101" t="s">
        <v>3213</v>
      </c>
      <c r="AJ101" t="s">
        <v>3657</v>
      </c>
      <c r="AK101" t="s">
        <v>3658</v>
      </c>
      <c r="AL101" t="s">
        <v>3659</v>
      </c>
      <c r="AM101" t="s">
        <v>3660</v>
      </c>
      <c r="AN101" t="s">
        <v>3661</v>
      </c>
      <c r="AO101" t="s">
        <v>3662</v>
      </c>
      <c r="AP101" t="s">
        <v>3013</v>
      </c>
      <c r="AQ101" t="s">
        <v>3458</v>
      </c>
      <c r="AR101">
        <v>154</v>
      </c>
      <c r="AS101" t="s">
        <v>2744</v>
      </c>
      <c r="AT101">
        <v>67</v>
      </c>
      <c r="AU101">
        <v>116</v>
      </c>
      <c r="AV101">
        <v>0</v>
      </c>
      <c r="AW101">
        <v>0</v>
      </c>
      <c r="AX101" t="s">
        <v>2579</v>
      </c>
    </row>
    <row r="102" spans="1:50" x14ac:dyDescent="0.25">
      <c r="A102">
        <v>97</v>
      </c>
      <c r="B102" t="s">
        <v>3157</v>
      </c>
      <c r="C102" t="s">
        <v>708</v>
      </c>
      <c r="D102">
        <v>25</v>
      </c>
      <c r="E102" t="s">
        <v>1719</v>
      </c>
      <c r="F102">
        <v>81</v>
      </c>
      <c r="G102">
        <v>8</v>
      </c>
      <c r="H102">
        <v>43</v>
      </c>
      <c r="I102">
        <v>51</v>
      </c>
      <c r="J102">
        <v>37</v>
      </c>
      <c r="K102">
        <v>-10</v>
      </c>
      <c r="L102">
        <v>2</v>
      </c>
      <c r="M102">
        <v>6</v>
      </c>
      <c r="N102">
        <v>0</v>
      </c>
      <c r="O102">
        <v>1</v>
      </c>
      <c r="P102">
        <v>0</v>
      </c>
      <c r="Q102">
        <v>24</v>
      </c>
      <c r="R102">
        <v>19</v>
      </c>
      <c r="S102">
        <v>0</v>
      </c>
      <c r="T102">
        <v>8</v>
      </c>
      <c r="U102">
        <v>2</v>
      </c>
      <c r="V102">
        <v>26</v>
      </c>
      <c r="W102">
        <v>25</v>
      </c>
      <c r="X102">
        <v>0</v>
      </c>
      <c r="Y102">
        <v>9</v>
      </c>
      <c r="Z102">
        <v>2</v>
      </c>
      <c r="AA102" t="s">
        <v>3663</v>
      </c>
      <c r="AB102" s="24">
        <v>0.89930555555555547</v>
      </c>
      <c r="AC102" s="24">
        <v>0.74791666666666667</v>
      </c>
      <c r="AD102" s="24">
        <v>0.1361111111111111</v>
      </c>
      <c r="AE102" s="24">
        <v>1.6666666666666666E-2</v>
      </c>
      <c r="AF102" t="s">
        <v>3664</v>
      </c>
      <c r="AG102" t="s">
        <v>2933</v>
      </c>
      <c r="AH102" t="s">
        <v>3665</v>
      </c>
      <c r="AI102" t="s">
        <v>3666</v>
      </c>
      <c r="AJ102" t="s">
        <v>3667</v>
      </c>
      <c r="AK102" t="s">
        <v>3668</v>
      </c>
      <c r="AL102" t="s">
        <v>3669</v>
      </c>
      <c r="AM102" t="s">
        <v>3670</v>
      </c>
      <c r="AN102" t="s">
        <v>3671</v>
      </c>
      <c r="AO102" t="s">
        <v>3672</v>
      </c>
      <c r="AP102" t="s">
        <v>2804</v>
      </c>
      <c r="AQ102" t="s">
        <v>3673</v>
      </c>
      <c r="AR102">
        <v>208</v>
      </c>
      <c r="AS102" t="s">
        <v>3674</v>
      </c>
      <c r="AT102">
        <v>59</v>
      </c>
      <c r="AU102">
        <v>82</v>
      </c>
      <c r="AV102">
        <v>0</v>
      </c>
      <c r="AW102">
        <v>1</v>
      </c>
      <c r="AX102" t="s">
        <v>2579</v>
      </c>
    </row>
    <row r="103" spans="1:50" x14ac:dyDescent="0.25">
      <c r="A103">
        <v>98</v>
      </c>
      <c r="B103" t="s">
        <v>3156</v>
      </c>
      <c r="C103" t="s">
        <v>67</v>
      </c>
      <c r="D103">
        <v>28</v>
      </c>
      <c r="E103" t="s">
        <v>2504</v>
      </c>
      <c r="F103">
        <v>82</v>
      </c>
      <c r="G103">
        <v>23</v>
      </c>
      <c r="H103">
        <v>27</v>
      </c>
      <c r="I103">
        <v>50</v>
      </c>
      <c r="J103">
        <v>50</v>
      </c>
      <c r="K103">
        <v>-3</v>
      </c>
      <c r="L103">
        <v>11</v>
      </c>
      <c r="M103">
        <v>12</v>
      </c>
      <c r="N103">
        <v>0</v>
      </c>
      <c r="O103">
        <v>3</v>
      </c>
      <c r="P103">
        <v>0</v>
      </c>
      <c r="Q103">
        <v>14</v>
      </c>
      <c r="R103">
        <v>13</v>
      </c>
      <c r="S103">
        <v>0</v>
      </c>
      <c r="T103">
        <v>5</v>
      </c>
      <c r="U103">
        <v>0</v>
      </c>
      <c r="V103">
        <v>25</v>
      </c>
      <c r="W103">
        <v>25</v>
      </c>
      <c r="X103">
        <v>0</v>
      </c>
      <c r="Y103">
        <v>8</v>
      </c>
      <c r="Z103">
        <v>0</v>
      </c>
      <c r="AA103" t="s">
        <v>3675</v>
      </c>
      <c r="AB103" s="24">
        <v>0.71458333333333324</v>
      </c>
      <c r="AC103" s="24">
        <v>0.60069444444444442</v>
      </c>
      <c r="AD103" s="24">
        <v>0.11319444444444444</v>
      </c>
      <c r="AE103" s="24">
        <v>6.9444444444444447E-4</v>
      </c>
      <c r="AF103" t="s">
        <v>3676</v>
      </c>
      <c r="AG103" t="s">
        <v>3677</v>
      </c>
      <c r="AH103" t="s">
        <v>3678</v>
      </c>
      <c r="AI103" t="s">
        <v>2815</v>
      </c>
      <c r="AJ103" t="s">
        <v>3006</v>
      </c>
      <c r="AK103" t="s">
        <v>3679</v>
      </c>
      <c r="AL103" t="s">
        <v>3680</v>
      </c>
      <c r="AM103" t="s">
        <v>3681</v>
      </c>
      <c r="AN103" t="s">
        <v>3682</v>
      </c>
      <c r="AO103" t="s">
        <v>2561</v>
      </c>
      <c r="AP103" t="s">
        <v>2939</v>
      </c>
      <c r="AQ103" t="s">
        <v>3683</v>
      </c>
      <c r="AR103">
        <v>175</v>
      </c>
      <c r="AS103" t="s">
        <v>2861</v>
      </c>
      <c r="AT103">
        <v>202</v>
      </c>
      <c r="AU103">
        <v>20</v>
      </c>
      <c r="AV103">
        <v>4</v>
      </c>
      <c r="AW103">
        <v>3</v>
      </c>
      <c r="AX103" t="s">
        <v>2989</v>
      </c>
    </row>
    <row r="104" spans="1:50" x14ac:dyDescent="0.25">
      <c r="A104">
        <v>99</v>
      </c>
      <c r="B104" t="s">
        <v>3156</v>
      </c>
      <c r="C104" t="s">
        <v>1787</v>
      </c>
      <c r="D104">
        <v>27</v>
      </c>
      <c r="E104" t="s">
        <v>2504</v>
      </c>
      <c r="F104">
        <v>81</v>
      </c>
      <c r="G104">
        <v>18</v>
      </c>
      <c r="H104">
        <v>32</v>
      </c>
      <c r="I104">
        <v>50</v>
      </c>
      <c r="J104">
        <v>22</v>
      </c>
      <c r="K104">
        <v>10</v>
      </c>
      <c r="L104">
        <v>10</v>
      </c>
      <c r="M104">
        <v>8</v>
      </c>
      <c r="N104">
        <v>0</v>
      </c>
      <c r="O104">
        <v>1</v>
      </c>
      <c r="P104">
        <v>0</v>
      </c>
      <c r="Q104">
        <v>22</v>
      </c>
      <c r="R104">
        <v>10</v>
      </c>
      <c r="S104">
        <v>0</v>
      </c>
      <c r="T104">
        <v>6</v>
      </c>
      <c r="U104">
        <v>0</v>
      </c>
      <c r="V104">
        <v>32</v>
      </c>
      <c r="W104">
        <v>18</v>
      </c>
      <c r="X104">
        <v>0</v>
      </c>
      <c r="Y104">
        <v>7</v>
      </c>
      <c r="Z104">
        <v>0</v>
      </c>
      <c r="AA104" t="s">
        <v>3684</v>
      </c>
      <c r="AB104" s="24">
        <v>0.5708333333333333</v>
      </c>
      <c r="AC104" s="24">
        <v>0.4694444444444445</v>
      </c>
      <c r="AD104" s="24">
        <v>0.10069444444444443</v>
      </c>
      <c r="AE104" s="24">
        <v>0</v>
      </c>
      <c r="AF104" t="s">
        <v>3685</v>
      </c>
      <c r="AG104" t="s">
        <v>3686</v>
      </c>
      <c r="AH104" t="s">
        <v>3377</v>
      </c>
      <c r="AI104" t="s">
        <v>3687</v>
      </c>
      <c r="AJ104" t="s">
        <v>3688</v>
      </c>
      <c r="AK104" t="s">
        <v>3689</v>
      </c>
      <c r="AL104" t="s">
        <v>3690</v>
      </c>
      <c r="AM104" t="s">
        <v>3691</v>
      </c>
      <c r="AN104" t="s">
        <v>3692</v>
      </c>
      <c r="AO104" t="s">
        <v>3534</v>
      </c>
      <c r="AP104" t="s">
        <v>2859</v>
      </c>
      <c r="AQ104" t="s">
        <v>3693</v>
      </c>
      <c r="AR104">
        <v>178</v>
      </c>
      <c r="AS104" t="s">
        <v>3694</v>
      </c>
      <c r="AT104">
        <v>22</v>
      </c>
      <c r="AU104">
        <v>16</v>
      </c>
      <c r="AV104">
        <v>202</v>
      </c>
      <c r="AW104">
        <v>223</v>
      </c>
      <c r="AX104" t="s">
        <v>3695</v>
      </c>
    </row>
    <row r="105" spans="1:50" x14ac:dyDescent="0.25">
      <c r="A105">
        <v>100</v>
      </c>
      <c r="B105" t="s">
        <v>3158</v>
      </c>
      <c r="C105" t="s">
        <v>49</v>
      </c>
      <c r="D105">
        <v>36</v>
      </c>
      <c r="E105" t="s">
        <v>2504</v>
      </c>
      <c r="F105">
        <v>82</v>
      </c>
      <c r="G105">
        <v>15</v>
      </c>
      <c r="H105">
        <v>35</v>
      </c>
      <c r="I105">
        <v>50</v>
      </c>
      <c r="J105">
        <v>28</v>
      </c>
      <c r="K105">
        <v>-27</v>
      </c>
      <c r="L105">
        <v>14</v>
      </c>
      <c r="M105">
        <v>1</v>
      </c>
      <c r="N105">
        <v>0</v>
      </c>
      <c r="O105">
        <v>4</v>
      </c>
      <c r="P105">
        <v>2</v>
      </c>
      <c r="Q105">
        <v>21</v>
      </c>
      <c r="R105">
        <v>14</v>
      </c>
      <c r="S105">
        <v>0</v>
      </c>
      <c r="T105">
        <v>5</v>
      </c>
      <c r="U105">
        <v>1</v>
      </c>
      <c r="V105">
        <v>35</v>
      </c>
      <c r="W105">
        <v>15</v>
      </c>
      <c r="X105">
        <v>0</v>
      </c>
      <c r="Y105">
        <v>9</v>
      </c>
      <c r="Z105">
        <v>3</v>
      </c>
      <c r="AA105" t="s">
        <v>3696</v>
      </c>
      <c r="AB105" s="24">
        <v>0.79305555555555562</v>
      </c>
      <c r="AC105" s="24">
        <v>0.66180555555555554</v>
      </c>
      <c r="AD105" s="24">
        <v>0.12430555555555556</v>
      </c>
      <c r="AE105" s="24">
        <v>6.2499999999999995E-3</v>
      </c>
      <c r="AF105" t="s">
        <v>3697</v>
      </c>
      <c r="AG105" t="s">
        <v>3698</v>
      </c>
      <c r="AH105" t="s">
        <v>3699</v>
      </c>
      <c r="AI105" t="s">
        <v>3700</v>
      </c>
      <c r="AJ105" t="s">
        <v>3701</v>
      </c>
      <c r="AK105" t="s">
        <v>3702</v>
      </c>
      <c r="AL105" t="s">
        <v>3703</v>
      </c>
      <c r="AM105" t="s">
        <v>3704</v>
      </c>
      <c r="AN105" t="s">
        <v>3705</v>
      </c>
      <c r="AO105" t="s">
        <v>3706</v>
      </c>
      <c r="AP105" t="s">
        <v>2952</v>
      </c>
      <c r="AQ105" t="s">
        <v>3683</v>
      </c>
      <c r="AR105">
        <v>99</v>
      </c>
      <c r="AS105" t="s">
        <v>3707</v>
      </c>
      <c r="AT105">
        <v>15</v>
      </c>
      <c r="AU105">
        <v>11</v>
      </c>
      <c r="AV105">
        <v>611</v>
      </c>
      <c r="AW105">
        <v>635</v>
      </c>
      <c r="AX105" t="s">
        <v>3708</v>
      </c>
    </row>
    <row r="106" spans="1:50" x14ac:dyDescent="0.25">
      <c r="A106">
        <v>101</v>
      </c>
      <c r="C106" t="s">
        <v>43</v>
      </c>
      <c r="D106">
        <v>33</v>
      </c>
      <c r="E106" t="s">
        <v>2504</v>
      </c>
      <c r="F106">
        <v>68</v>
      </c>
      <c r="G106">
        <v>15</v>
      </c>
      <c r="H106">
        <v>35</v>
      </c>
      <c r="I106">
        <v>50</v>
      </c>
      <c r="J106">
        <v>29</v>
      </c>
      <c r="K106">
        <v>-18</v>
      </c>
      <c r="L106">
        <v>12</v>
      </c>
      <c r="M106">
        <v>2</v>
      </c>
      <c r="N106">
        <v>1</v>
      </c>
      <c r="O106">
        <v>4</v>
      </c>
      <c r="P106">
        <v>0</v>
      </c>
      <c r="Q106">
        <v>18</v>
      </c>
      <c r="R106">
        <v>17</v>
      </c>
      <c r="S106">
        <v>0</v>
      </c>
      <c r="T106">
        <v>3</v>
      </c>
      <c r="U106">
        <v>1</v>
      </c>
      <c r="V106">
        <v>30</v>
      </c>
      <c r="W106">
        <v>19</v>
      </c>
      <c r="X106">
        <v>1</v>
      </c>
      <c r="Y106">
        <v>7</v>
      </c>
      <c r="Z106">
        <v>1</v>
      </c>
      <c r="AA106" t="s">
        <v>2731</v>
      </c>
      <c r="AB106" s="24">
        <v>0.67361111111111116</v>
      </c>
      <c r="AC106" s="24">
        <v>0.55069444444444449</v>
      </c>
      <c r="AD106" s="24">
        <v>0.1111111111111111</v>
      </c>
      <c r="AE106" s="24">
        <v>1.1111111111111112E-2</v>
      </c>
      <c r="AF106" t="s">
        <v>3019</v>
      </c>
      <c r="AG106" t="s">
        <v>3709</v>
      </c>
      <c r="AH106" t="s">
        <v>3710</v>
      </c>
      <c r="AI106" t="s">
        <v>2786</v>
      </c>
      <c r="AJ106" t="s">
        <v>3711</v>
      </c>
      <c r="AK106" t="s">
        <v>3712</v>
      </c>
      <c r="AL106" t="s">
        <v>3713</v>
      </c>
      <c r="AM106" t="s">
        <v>3714</v>
      </c>
      <c r="AN106" t="s">
        <v>3715</v>
      </c>
      <c r="AO106" t="s">
        <v>2741</v>
      </c>
      <c r="AP106" t="s">
        <v>3716</v>
      </c>
      <c r="AQ106" t="s">
        <v>3717</v>
      </c>
      <c r="AR106">
        <v>149</v>
      </c>
      <c r="AS106" t="s">
        <v>3694</v>
      </c>
      <c r="AT106">
        <v>13</v>
      </c>
      <c r="AU106">
        <v>31</v>
      </c>
      <c r="AV106">
        <v>354</v>
      </c>
      <c r="AW106">
        <v>324</v>
      </c>
      <c r="AX106" t="s">
        <v>3718</v>
      </c>
    </row>
    <row r="107" spans="1:50" x14ac:dyDescent="0.25">
      <c r="A107">
        <v>102</v>
      </c>
      <c r="B107" t="s">
        <v>3156</v>
      </c>
      <c r="C107" t="s">
        <v>686</v>
      </c>
      <c r="D107">
        <v>23</v>
      </c>
      <c r="E107" t="s">
        <v>1719</v>
      </c>
      <c r="F107">
        <v>81</v>
      </c>
      <c r="G107">
        <v>13</v>
      </c>
      <c r="H107">
        <v>37</v>
      </c>
      <c r="I107">
        <v>50</v>
      </c>
      <c r="J107">
        <v>64</v>
      </c>
      <c r="K107">
        <v>12</v>
      </c>
      <c r="L107">
        <v>11</v>
      </c>
      <c r="M107">
        <v>2</v>
      </c>
      <c r="N107">
        <v>0</v>
      </c>
      <c r="O107">
        <v>5</v>
      </c>
      <c r="P107">
        <v>1</v>
      </c>
      <c r="Q107">
        <v>24</v>
      </c>
      <c r="R107">
        <v>12</v>
      </c>
      <c r="S107">
        <v>1</v>
      </c>
      <c r="T107">
        <v>6</v>
      </c>
      <c r="U107">
        <v>0</v>
      </c>
      <c r="V107">
        <v>35</v>
      </c>
      <c r="W107">
        <v>14</v>
      </c>
      <c r="X107">
        <v>1</v>
      </c>
      <c r="Y107">
        <v>11</v>
      </c>
      <c r="Z107">
        <v>1</v>
      </c>
      <c r="AA107" t="s">
        <v>3719</v>
      </c>
      <c r="AB107" s="24">
        <v>0.81944444444444453</v>
      </c>
      <c r="AC107" s="24">
        <v>0.68888888888888899</v>
      </c>
      <c r="AD107" s="24">
        <v>9.375E-2</v>
      </c>
      <c r="AE107" s="24">
        <v>3.6111111111111115E-2</v>
      </c>
      <c r="AF107" t="s">
        <v>3260</v>
      </c>
      <c r="AG107" t="s">
        <v>3720</v>
      </c>
      <c r="AH107" t="s">
        <v>3056</v>
      </c>
      <c r="AI107" t="s">
        <v>3445</v>
      </c>
      <c r="AJ107" t="s">
        <v>3721</v>
      </c>
      <c r="AK107" t="s">
        <v>3722</v>
      </c>
      <c r="AL107" t="s">
        <v>3458</v>
      </c>
      <c r="AM107" t="s">
        <v>3723</v>
      </c>
      <c r="AN107" t="s">
        <v>3724</v>
      </c>
      <c r="AO107" t="s">
        <v>3725</v>
      </c>
      <c r="AP107" t="s">
        <v>3588</v>
      </c>
      <c r="AQ107" t="s">
        <v>3693</v>
      </c>
      <c r="AR107">
        <v>222</v>
      </c>
      <c r="AS107" t="s">
        <v>3726</v>
      </c>
      <c r="AT107">
        <v>68</v>
      </c>
      <c r="AU107">
        <v>94</v>
      </c>
      <c r="AV107">
        <v>0</v>
      </c>
      <c r="AW107">
        <v>0</v>
      </c>
      <c r="AX107" t="s">
        <v>2579</v>
      </c>
    </row>
    <row r="108" spans="1:50" x14ac:dyDescent="0.25">
      <c r="A108">
        <v>103</v>
      </c>
      <c r="B108" t="s">
        <v>3167</v>
      </c>
      <c r="C108" t="s">
        <v>95</v>
      </c>
      <c r="D108">
        <v>26</v>
      </c>
      <c r="E108" t="s">
        <v>1719</v>
      </c>
      <c r="F108">
        <v>72</v>
      </c>
      <c r="G108">
        <v>12</v>
      </c>
      <c r="H108">
        <v>38</v>
      </c>
      <c r="I108">
        <v>50</v>
      </c>
      <c r="J108">
        <v>18</v>
      </c>
      <c r="K108">
        <v>7</v>
      </c>
      <c r="L108">
        <v>5</v>
      </c>
      <c r="M108">
        <v>7</v>
      </c>
      <c r="N108">
        <v>0</v>
      </c>
      <c r="O108">
        <v>1</v>
      </c>
      <c r="P108">
        <v>0</v>
      </c>
      <c r="Q108">
        <v>25</v>
      </c>
      <c r="R108">
        <v>12</v>
      </c>
      <c r="S108">
        <v>1</v>
      </c>
      <c r="T108">
        <v>10</v>
      </c>
      <c r="U108">
        <v>4</v>
      </c>
      <c r="V108">
        <v>30</v>
      </c>
      <c r="W108">
        <v>19</v>
      </c>
      <c r="X108">
        <v>1</v>
      </c>
      <c r="Y108">
        <v>11</v>
      </c>
      <c r="Z108">
        <v>4</v>
      </c>
      <c r="AA108" t="s">
        <v>2731</v>
      </c>
      <c r="AB108" s="25">
        <v>1.0444444444444445</v>
      </c>
      <c r="AC108" s="24">
        <v>0.82291666666666663</v>
      </c>
      <c r="AD108" s="24">
        <v>0.12569444444444444</v>
      </c>
      <c r="AE108" s="24">
        <v>9.5138888888888884E-2</v>
      </c>
      <c r="AF108" t="s">
        <v>3727</v>
      </c>
      <c r="AG108" t="s">
        <v>2958</v>
      </c>
      <c r="AH108" t="s">
        <v>3728</v>
      </c>
      <c r="AI108" t="s">
        <v>3651</v>
      </c>
      <c r="AJ108" t="s">
        <v>2723</v>
      </c>
      <c r="AK108" t="s">
        <v>3101</v>
      </c>
      <c r="AL108" t="s">
        <v>3729</v>
      </c>
      <c r="AM108" t="s">
        <v>3730</v>
      </c>
      <c r="AN108" t="s">
        <v>3731</v>
      </c>
      <c r="AO108" t="s">
        <v>3732</v>
      </c>
      <c r="AP108" t="s">
        <v>3733</v>
      </c>
      <c r="AQ108" t="s">
        <v>3353</v>
      </c>
      <c r="AR108">
        <v>217</v>
      </c>
      <c r="AS108" t="s">
        <v>3734</v>
      </c>
      <c r="AT108">
        <v>54</v>
      </c>
      <c r="AU108">
        <v>119</v>
      </c>
      <c r="AV108">
        <v>0</v>
      </c>
      <c r="AW108">
        <v>0</v>
      </c>
      <c r="AX108" t="s">
        <v>2579</v>
      </c>
    </row>
    <row r="109" spans="1:50" x14ac:dyDescent="0.25">
      <c r="A109">
        <v>104</v>
      </c>
      <c r="B109" t="s">
        <v>3156</v>
      </c>
      <c r="C109" t="s">
        <v>21</v>
      </c>
      <c r="D109">
        <v>37</v>
      </c>
      <c r="E109" t="s">
        <v>2504</v>
      </c>
      <c r="F109">
        <v>79</v>
      </c>
      <c r="G109">
        <v>7</v>
      </c>
      <c r="H109">
        <v>43</v>
      </c>
      <c r="I109">
        <v>50</v>
      </c>
      <c r="J109">
        <v>51</v>
      </c>
      <c r="K109">
        <v>7</v>
      </c>
      <c r="L109">
        <v>6</v>
      </c>
      <c r="M109">
        <v>1</v>
      </c>
      <c r="N109">
        <v>0</v>
      </c>
      <c r="O109">
        <v>0</v>
      </c>
      <c r="P109">
        <v>0</v>
      </c>
      <c r="Q109">
        <v>25</v>
      </c>
      <c r="R109">
        <v>18</v>
      </c>
      <c r="S109">
        <v>0</v>
      </c>
      <c r="T109">
        <v>10</v>
      </c>
      <c r="U109">
        <v>1</v>
      </c>
      <c r="V109">
        <v>31</v>
      </c>
      <c r="W109">
        <v>19</v>
      </c>
      <c r="X109">
        <v>0</v>
      </c>
      <c r="Y109">
        <v>10</v>
      </c>
      <c r="Z109">
        <v>1</v>
      </c>
      <c r="AA109" t="s">
        <v>2731</v>
      </c>
      <c r="AB109" s="24">
        <v>0.75208333333333333</v>
      </c>
      <c r="AC109" s="24">
        <v>0.60763888888888895</v>
      </c>
      <c r="AD109" s="24">
        <v>0.13749999999999998</v>
      </c>
      <c r="AE109" s="24">
        <v>6.9444444444444447E-4</v>
      </c>
      <c r="AF109" t="s">
        <v>3735</v>
      </c>
      <c r="AG109" t="s">
        <v>3736</v>
      </c>
      <c r="AH109" t="s">
        <v>3737</v>
      </c>
      <c r="AI109" t="s">
        <v>3738</v>
      </c>
      <c r="AJ109" t="s">
        <v>3739</v>
      </c>
      <c r="AK109" t="s">
        <v>3740</v>
      </c>
      <c r="AL109" t="s">
        <v>3741</v>
      </c>
      <c r="AM109" t="s">
        <v>3742</v>
      </c>
      <c r="AN109" t="s">
        <v>3743</v>
      </c>
      <c r="AO109" t="s">
        <v>3744</v>
      </c>
      <c r="AP109" t="s">
        <v>3040</v>
      </c>
      <c r="AQ109" t="s">
        <v>2603</v>
      </c>
      <c r="AR109">
        <v>81</v>
      </c>
      <c r="AS109" t="s">
        <v>2717</v>
      </c>
      <c r="AT109">
        <v>52</v>
      </c>
      <c r="AU109">
        <v>31</v>
      </c>
      <c r="AV109">
        <v>375</v>
      </c>
      <c r="AW109">
        <v>362</v>
      </c>
      <c r="AX109" t="s">
        <v>3745</v>
      </c>
    </row>
    <row r="110" spans="1:50" x14ac:dyDescent="0.25">
      <c r="A110">
        <v>105</v>
      </c>
      <c r="B110" t="s">
        <v>3162</v>
      </c>
      <c r="C110" t="s">
        <v>1789</v>
      </c>
      <c r="D110">
        <v>19</v>
      </c>
      <c r="E110" t="s">
        <v>2504</v>
      </c>
      <c r="F110">
        <v>82</v>
      </c>
      <c r="G110">
        <v>24</v>
      </c>
      <c r="H110">
        <v>25</v>
      </c>
      <c r="I110">
        <v>49</v>
      </c>
      <c r="J110">
        <v>26</v>
      </c>
      <c r="K110">
        <v>-1</v>
      </c>
      <c r="L110">
        <v>17</v>
      </c>
      <c r="M110">
        <v>6</v>
      </c>
      <c r="N110">
        <v>1</v>
      </c>
      <c r="O110">
        <v>4</v>
      </c>
      <c r="P110">
        <v>1</v>
      </c>
      <c r="Q110">
        <v>13</v>
      </c>
      <c r="R110">
        <v>11</v>
      </c>
      <c r="S110">
        <v>1</v>
      </c>
      <c r="T110">
        <v>2</v>
      </c>
      <c r="U110">
        <v>0</v>
      </c>
      <c r="V110">
        <v>30</v>
      </c>
      <c r="W110">
        <v>17</v>
      </c>
      <c r="X110">
        <v>2</v>
      </c>
      <c r="Y110">
        <v>6</v>
      </c>
      <c r="Z110">
        <v>1</v>
      </c>
      <c r="AA110" t="s">
        <v>3746</v>
      </c>
      <c r="AB110" s="24">
        <v>0.69930555555555562</v>
      </c>
      <c r="AC110" s="24">
        <v>0.59791666666666665</v>
      </c>
      <c r="AD110" s="24">
        <v>9.2361111111111116E-2</v>
      </c>
      <c r="AE110" s="24">
        <v>9.0277777777777787E-3</v>
      </c>
      <c r="AF110" t="s">
        <v>2918</v>
      </c>
      <c r="AG110" t="s">
        <v>3747</v>
      </c>
      <c r="AH110" t="s">
        <v>2681</v>
      </c>
      <c r="AI110" t="s">
        <v>3748</v>
      </c>
      <c r="AJ110" t="s">
        <v>3420</v>
      </c>
      <c r="AK110" t="s">
        <v>3143</v>
      </c>
      <c r="AL110" t="s">
        <v>3749</v>
      </c>
      <c r="AM110" t="s">
        <v>3750</v>
      </c>
      <c r="AN110" t="s">
        <v>3751</v>
      </c>
      <c r="AO110" t="s">
        <v>3127</v>
      </c>
      <c r="AP110" t="s">
        <v>2926</v>
      </c>
      <c r="AQ110" t="s">
        <v>3752</v>
      </c>
      <c r="AR110">
        <v>214</v>
      </c>
      <c r="AS110" t="s">
        <v>3071</v>
      </c>
      <c r="AT110">
        <v>51</v>
      </c>
      <c r="AU110">
        <v>14</v>
      </c>
      <c r="AV110">
        <v>17</v>
      </c>
      <c r="AW110">
        <v>18</v>
      </c>
      <c r="AX110" t="s">
        <v>3753</v>
      </c>
    </row>
    <row r="111" spans="1:50" x14ac:dyDescent="0.25">
      <c r="A111">
        <v>106</v>
      </c>
      <c r="B111" t="s">
        <v>3158</v>
      </c>
      <c r="C111" t="s">
        <v>147</v>
      </c>
      <c r="D111">
        <v>26</v>
      </c>
      <c r="E111" t="s">
        <v>2504</v>
      </c>
      <c r="F111">
        <v>79</v>
      </c>
      <c r="G111">
        <v>23</v>
      </c>
      <c r="H111">
        <v>26</v>
      </c>
      <c r="I111">
        <v>49</v>
      </c>
      <c r="J111">
        <v>20</v>
      </c>
      <c r="K111">
        <v>10</v>
      </c>
      <c r="L111">
        <v>17</v>
      </c>
      <c r="M111">
        <v>5</v>
      </c>
      <c r="N111">
        <v>1</v>
      </c>
      <c r="O111">
        <v>5</v>
      </c>
      <c r="P111">
        <v>0</v>
      </c>
      <c r="Q111">
        <v>22</v>
      </c>
      <c r="R111">
        <v>4</v>
      </c>
      <c r="S111">
        <v>0</v>
      </c>
      <c r="T111">
        <v>4</v>
      </c>
      <c r="U111">
        <v>0</v>
      </c>
      <c r="V111">
        <v>39</v>
      </c>
      <c r="W111">
        <v>9</v>
      </c>
      <c r="X111">
        <v>1</v>
      </c>
      <c r="Y111">
        <v>9</v>
      </c>
      <c r="Z111">
        <v>0</v>
      </c>
      <c r="AA111" t="s">
        <v>3754</v>
      </c>
      <c r="AB111" s="24">
        <v>0.77013888888888893</v>
      </c>
      <c r="AC111" s="24">
        <v>0.61944444444444446</v>
      </c>
      <c r="AD111" s="24">
        <v>8.0555555555555561E-2</v>
      </c>
      <c r="AE111" s="24">
        <v>6.8749999999999992E-2</v>
      </c>
      <c r="AF111" t="s">
        <v>2664</v>
      </c>
      <c r="AG111" t="s">
        <v>2877</v>
      </c>
      <c r="AH111" t="s">
        <v>3755</v>
      </c>
      <c r="AI111" t="s">
        <v>3142</v>
      </c>
      <c r="AJ111" t="s">
        <v>2820</v>
      </c>
      <c r="AK111" t="s">
        <v>3756</v>
      </c>
      <c r="AL111" t="s">
        <v>2924</v>
      </c>
      <c r="AM111" t="s">
        <v>3757</v>
      </c>
      <c r="AN111" t="s">
        <v>3758</v>
      </c>
      <c r="AO111" t="s">
        <v>3759</v>
      </c>
      <c r="AP111" t="s">
        <v>2939</v>
      </c>
      <c r="AQ111" t="s">
        <v>3621</v>
      </c>
      <c r="AR111">
        <v>227</v>
      </c>
      <c r="AS111" t="s">
        <v>3694</v>
      </c>
      <c r="AT111">
        <v>47</v>
      </c>
      <c r="AU111">
        <v>46</v>
      </c>
      <c r="AV111">
        <v>1</v>
      </c>
      <c r="AW111">
        <v>6</v>
      </c>
      <c r="AX111" t="s">
        <v>3760</v>
      </c>
    </row>
    <row r="112" spans="1:50" x14ac:dyDescent="0.25">
      <c r="A112">
        <v>107</v>
      </c>
      <c r="B112" t="s">
        <v>3157</v>
      </c>
      <c r="C112" t="s">
        <v>1791</v>
      </c>
      <c r="D112">
        <v>24</v>
      </c>
      <c r="E112" t="s">
        <v>2504</v>
      </c>
      <c r="F112">
        <v>76</v>
      </c>
      <c r="G112">
        <v>17</v>
      </c>
      <c r="H112">
        <v>32</v>
      </c>
      <c r="I112">
        <v>49</v>
      </c>
      <c r="J112">
        <v>18</v>
      </c>
      <c r="K112">
        <v>10</v>
      </c>
      <c r="L112">
        <v>15</v>
      </c>
      <c r="M112">
        <v>1</v>
      </c>
      <c r="N112">
        <v>1</v>
      </c>
      <c r="O112">
        <v>4</v>
      </c>
      <c r="P112">
        <v>0</v>
      </c>
      <c r="Q112">
        <v>20</v>
      </c>
      <c r="R112">
        <v>6</v>
      </c>
      <c r="S112">
        <v>6</v>
      </c>
      <c r="T112">
        <v>6</v>
      </c>
      <c r="U112">
        <v>0</v>
      </c>
      <c r="V112">
        <v>35</v>
      </c>
      <c r="W112">
        <v>7</v>
      </c>
      <c r="X112">
        <v>7</v>
      </c>
      <c r="Y112">
        <v>10</v>
      </c>
      <c r="Z112">
        <v>0</v>
      </c>
      <c r="AA112" t="s">
        <v>2781</v>
      </c>
      <c r="AB112" s="24">
        <v>0.69027777777777777</v>
      </c>
      <c r="AC112" s="24">
        <v>0.56944444444444442</v>
      </c>
      <c r="AD112" s="24">
        <v>6.0416666666666667E-2</v>
      </c>
      <c r="AE112" s="24">
        <v>5.9027777777777783E-2</v>
      </c>
      <c r="AF112" t="s">
        <v>3761</v>
      </c>
      <c r="AG112" t="s">
        <v>3762</v>
      </c>
      <c r="AH112" t="s">
        <v>3763</v>
      </c>
      <c r="AI112" t="s">
        <v>3764</v>
      </c>
      <c r="AJ112" t="s">
        <v>3765</v>
      </c>
      <c r="AK112" t="s">
        <v>3766</v>
      </c>
      <c r="AL112" t="s">
        <v>3376</v>
      </c>
      <c r="AM112" t="s">
        <v>3767</v>
      </c>
      <c r="AN112" t="s">
        <v>3768</v>
      </c>
      <c r="AO112" t="s">
        <v>3769</v>
      </c>
      <c r="AP112" t="s">
        <v>3770</v>
      </c>
      <c r="AQ112" t="s">
        <v>3771</v>
      </c>
      <c r="AR112">
        <v>143</v>
      </c>
      <c r="AS112" t="s">
        <v>3095</v>
      </c>
      <c r="AT112">
        <v>40</v>
      </c>
      <c r="AU112">
        <v>30</v>
      </c>
      <c r="AV112">
        <v>442</v>
      </c>
      <c r="AW112">
        <v>526</v>
      </c>
      <c r="AX112" t="s">
        <v>3772</v>
      </c>
    </row>
    <row r="113" spans="1:50" x14ac:dyDescent="0.25">
      <c r="A113">
        <v>108</v>
      </c>
      <c r="B113" t="s">
        <v>3158</v>
      </c>
      <c r="C113" t="s">
        <v>69</v>
      </c>
      <c r="D113">
        <v>24</v>
      </c>
      <c r="E113" t="s">
        <v>1719</v>
      </c>
      <c r="F113">
        <v>80</v>
      </c>
      <c r="G113">
        <v>13</v>
      </c>
      <c r="H113">
        <v>36</v>
      </c>
      <c r="I113">
        <v>49</v>
      </c>
      <c r="J113">
        <v>34</v>
      </c>
      <c r="K113">
        <v>2</v>
      </c>
      <c r="L113">
        <v>9</v>
      </c>
      <c r="M113">
        <v>4</v>
      </c>
      <c r="N113">
        <v>0</v>
      </c>
      <c r="O113">
        <v>3</v>
      </c>
      <c r="P113">
        <v>0</v>
      </c>
      <c r="Q113">
        <v>23</v>
      </c>
      <c r="R113">
        <v>13</v>
      </c>
      <c r="S113">
        <v>0</v>
      </c>
      <c r="T113">
        <v>5</v>
      </c>
      <c r="U113">
        <v>1</v>
      </c>
      <c r="V113">
        <v>32</v>
      </c>
      <c r="W113">
        <v>17</v>
      </c>
      <c r="X113">
        <v>0</v>
      </c>
      <c r="Y113">
        <v>8</v>
      </c>
      <c r="Z113">
        <v>1</v>
      </c>
      <c r="AA113" t="s">
        <v>3746</v>
      </c>
      <c r="AB113" s="24">
        <v>0.97361111111111109</v>
      </c>
      <c r="AC113" s="24">
        <v>0.83194444444444438</v>
      </c>
      <c r="AD113" s="24">
        <v>0.13194444444444445</v>
      </c>
      <c r="AE113" s="24">
        <v>9.0277777777777787E-3</v>
      </c>
      <c r="AF113" t="s">
        <v>3773</v>
      </c>
      <c r="AG113" t="s">
        <v>3774</v>
      </c>
      <c r="AH113" t="s">
        <v>3775</v>
      </c>
      <c r="AI113" t="s">
        <v>2814</v>
      </c>
      <c r="AJ113" t="s">
        <v>3776</v>
      </c>
      <c r="AK113" t="s">
        <v>3777</v>
      </c>
      <c r="AL113" t="s">
        <v>3778</v>
      </c>
      <c r="AM113" t="s">
        <v>3779</v>
      </c>
      <c r="AN113" t="s">
        <v>3780</v>
      </c>
      <c r="AO113" t="s">
        <v>3094</v>
      </c>
      <c r="AP113" t="s">
        <v>3781</v>
      </c>
      <c r="AQ113" t="s">
        <v>3782</v>
      </c>
      <c r="AR113">
        <v>124</v>
      </c>
      <c r="AS113" t="s">
        <v>2793</v>
      </c>
      <c r="AT113">
        <v>42</v>
      </c>
      <c r="AU113">
        <v>117</v>
      </c>
      <c r="AV113">
        <v>1</v>
      </c>
      <c r="AW113">
        <v>0</v>
      </c>
      <c r="AX113" t="s">
        <v>3783</v>
      </c>
    </row>
    <row r="114" spans="1:50" x14ac:dyDescent="0.25">
      <c r="A114">
        <v>109</v>
      </c>
      <c r="B114" t="s">
        <v>3156</v>
      </c>
      <c r="C114" t="s">
        <v>124</v>
      </c>
      <c r="D114">
        <v>35</v>
      </c>
      <c r="E114" t="s">
        <v>2504</v>
      </c>
      <c r="F114">
        <v>80</v>
      </c>
      <c r="G114">
        <v>24</v>
      </c>
      <c r="H114">
        <v>24</v>
      </c>
      <c r="I114">
        <v>48</v>
      </c>
      <c r="J114">
        <v>50</v>
      </c>
      <c r="K114">
        <v>14</v>
      </c>
      <c r="L114">
        <v>19</v>
      </c>
      <c r="M114">
        <v>5</v>
      </c>
      <c r="N114">
        <v>0</v>
      </c>
      <c r="O114">
        <v>4</v>
      </c>
      <c r="P114">
        <v>0</v>
      </c>
      <c r="Q114">
        <v>19</v>
      </c>
      <c r="R114">
        <v>5</v>
      </c>
      <c r="S114">
        <v>0</v>
      </c>
      <c r="T114">
        <v>4</v>
      </c>
      <c r="U114">
        <v>0</v>
      </c>
      <c r="V114">
        <v>38</v>
      </c>
      <c r="W114">
        <v>10</v>
      </c>
      <c r="X114">
        <v>0</v>
      </c>
      <c r="Y114">
        <v>8</v>
      </c>
      <c r="Z114">
        <v>0</v>
      </c>
      <c r="AA114" t="s">
        <v>3784</v>
      </c>
      <c r="AB114" s="24">
        <v>0.64444444444444449</v>
      </c>
      <c r="AC114" s="24">
        <v>0.54166666666666663</v>
      </c>
      <c r="AD114" s="24">
        <v>8.6111111111111124E-2</v>
      </c>
      <c r="AE114" s="24">
        <v>1.5972222222222224E-2</v>
      </c>
      <c r="AF114" t="s">
        <v>3785</v>
      </c>
      <c r="AG114" t="s">
        <v>3785</v>
      </c>
      <c r="AH114" t="s">
        <v>2776</v>
      </c>
      <c r="AI114" t="s">
        <v>3786</v>
      </c>
      <c r="AJ114" t="s">
        <v>3786</v>
      </c>
      <c r="AK114" t="s">
        <v>3382</v>
      </c>
      <c r="AL114" t="s">
        <v>2522</v>
      </c>
      <c r="AM114" t="s">
        <v>2522</v>
      </c>
      <c r="AN114" t="s">
        <v>3787</v>
      </c>
      <c r="AO114" t="s">
        <v>3788</v>
      </c>
      <c r="AP114" t="s">
        <v>3788</v>
      </c>
      <c r="AQ114" t="s">
        <v>2531</v>
      </c>
      <c r="AR114">
        <v>167</v>
      </c>
      <c r="AS114" t="s">
        <v>3548</v>
      </c>
      <c r="AT114">
        <v>28</v>
      </c>
      <c r="AU114">
        <v>41</v>
      </c>
      <c r="AV114">
        <v>64</v>
      </c>
      <c r="AW114">
        <v>53</v>
      </c>
      <c r="AX114" t="s">
        <v>3789</v>
      </c>
    </row>
    <row r="115" spans="1:50" x14ac:dyDescent="0.25">
      <c r="A115">
        <v>110</v>
      </c>
      <c r="B115" t="s">
        <v>4134</v>
      </c>
      <c r="C115" t="s">
        <v>116</v>
      </c>
      <c r="D115">
        <v>32</v>
      </c>
      <c r="E115" t="s">
        <v>2504</v>
      </c>
      <c r="F115">
        <v>68</v>
      </c>
      <c r="G115">
        <v>17</v>
      </c>
      <c r="H115">
        <v>31</v>
      </c>
      <c r="I115">
        <v>48</v>
      </c>
      <c r="J115">
        <v>22</v>
      </c>
      <c r="K115">
        <v>-5</v>
      </c>
      <c r="L115">
        <v>12</v>
      </c>
      <c r="M115">
        <v>5</v>
      </c>
      <c r="N115">
        <v>0</v>
      </c>
      <c r="O115">
        <v>2</v>
      </c>
      <c r="P115">
        <v>0</v>
      </c>
      <c r="Q115">
        <v>23</v>
      </c>
      <c r="R115">
        <v>8</v>
      </c>
      <c r="S115">
        <v>0</v>
      </c>
      <c r="T115">
        <v>2</v>
      </c>
      <c r="U115">
        <v>0</v>
      </c>
      <c r="V115">
        <v>35</v>
      </c>
      <c r="W115">
        <v>13</v>
      </c>
      <c r="X115">
        <v>0</v>
      </c>
      <c r="Y115">
        <v>4</v>
      </c>
      <c r="Z115">
        <v>0</v>
      </c>
      <c r="AA115" t="s">
        <v>3790</v>
      </c>
      <c r="AB115" s="24">
        <v>0.60069444444444442</v>
      </c>
      <c r="AC115" s="24">
        <v>0.48749999999999999</v>
      </c>
      <c r="AD115" s="24">
        <v>0.11180555555555556</v>
      </c>
      <c r="AE115" s="24">
        <v>0</v>
      </c>
      <c r="AF115" t="s">
        <v>3791</v>
      </c>
      <c r="AG115" t="s">
        <v>3792</v>
      </c>
      <c r="AH115" t="s">
        <v>3793</v>
      </c>
      <c r="AI115" t="s">
        <v>3794</v>
      </c>
      <c r="AJ115" t="s">
        <v>3795</v>
      </c>
      <c r="AK115" t="s">
        <v>3796</v>
      </c>
      <c r="AL115" t="s">
        <v>3797</v>
      </c>
      <c r="AM115" t="s">
        <v>3323</v>
      </c>
      <c r="AN115" t="s">
        <v>3798</v>
      </c>
      <c r="AO115" t="s">
        <v>3036</v>
      </c>
      <c r="AP115" t="s">
        <v>3799</v>
      </c>
      <c r="AQ115" t="s">
        <v>3800</v>
      </c>
      <c r="AR115">
        <v>133</v>
      </c>
      <c r="AS115" t="s">
        <v>2874</v>
      </c>
      <c r="AT115">
        <v>29</v>
      </c>
      <c r="AU115">
        <v>5</v>
      </c>
      <c r="AV115">
        <v>6</v>
      </c>
      <c r="AW115">
        <v>9</v>
      </c>
      <c r="AX115" t="s">
        <v>3388</v>
      </c>
    </row>
    <row r="116" spans="1:50" x14ac:dyDescent="0.25">
      <c r="A116">
        <v>111</v>
      </c>
      <c r="B116" t="s">
        <v>3156</v>
      </c>
      <c r="C116" t="s">
        <v>142</v>
      </c>
      <c r="D116">
        <v>26</v>
      </c>
      <c r="E116" t="s">
        <v>1719</v>
      </c>
      <c r="F116">
        <v>80</v>
      </c>
      <c r="G116">
        <v>14</v>
      </c>
      <c r="H116">
        <v>34</v>
      </c>
      <c r="I116">
        <v>48</v>
      </c>
      <c r="J116">
        <v>24</v>
      </c>
      <c r="K116">
        <v>3</v>
      </c>
      <c r="L116">
        <v>8</v>
      </c>
      <c r="M116">
        <v>6</v>
      </c>
      <c r="N116">
        <v>0</v>
      </c>
      <c r="O116">
        <v>4</v>
      </c>
      <c r="P116">
        <v>0</v>
      </c>
      <c r="Q116">
        <v>21</v>
      </c>
      <c r="R116">
        <v>13</v>
      </c>
      <c r="S116">
        <v>0</v>
      </c>
      <c r="T116">
        <v>9</v>
      </c>
      <c r="U116">
        <v>0</v>
      </c>
      <c r="V116">
        <v>29</v>
      </c>
      <c r="W116">
        <v>19</v>
      </c>
      <c r="X116">
        <v>0</v>
      </c>
      <c r="Y116">
        <v>13</v>
      </c>
      <c r="Z116">
        <v>0</v>
      </c>
      <c r="AA116" t="s">
        <v>3801</v>
      </c>
      <c r="AB116" s="25">
        <v>1.0534722222222224</v>
      </c>
      <c r="AC116" s="24">
        <v>0.82500000000000007</v>
      </c>
      <c r="AD116" s="24">
        <v>0.10208333333333335</v>
      </c>
      <c r="AE116" s="24">
        <v>0.12569444444444444</v>
      </c>
      <c r="AF116" t="s">
        <v>2545</v>
      </c>
      <c r="AG116" t="s">
        <v>3802</v>
      </c>
      <c r="AH116" t="s">
        <v>3486</v>
      </c>
      <c r="AI116" t="s">
        <v>3803</v>
      </c>
      <c r="AJ116" t="s">
        <v>3804</v>
      </c>
      <c r="AK116" t="s">
        <v>2959</v>
      </c>
      <c r="AL116" t="s">
        <v>3805</v>
      </c>
      <c r="AM116" t="s">
        <v>3806</v>
      </c>
      <c r="AN116" t="s">
        <v>2513</v>
      </c>
      <c r="AO116" t="s">
        <v>3807</v>
      </c>
      <c r="AP116" t="s">
        <v>3808</v>
      </c>
      <c r="AQ116" t="s">
        <v>2531</v>
      </c>
      <c r="AR116">
        <v>181</v>
      </c>
      <c r="AS116" t="s">
        <v>3809</v>
      </c>
      <c r="AT116">
        <v>38</v>
      </c>
      <c r="AU116">
        <v>158</v>
      </c>
      <c r="AV116">
        <v>0</v>
      </c>
      <c r="AW116">
        <v>1</v>
      </c>
      <c r="AX116" t="s">
        <v>2579</v>
      </c>
    </row>
    <row r="117" spans="1:50" x14ac:dyDescent="0.25">
      <c r="A117">
        <v>112</v>
      </c>
      <c r="B117" t="s">
        <v>3157</v>
      </c>
      <c r="C117" t="s">
        <v>1792</v>
      </c>
      <c r="D117">
        <v>19</v>
      </c>
      <c r="E117" t="s">
        <v>2504</v>
      </c>
      <c r="F117">
        <v>76</v>
      </c>
      <c r="G117">
        <v>13</v>
      </c>
      <c r="H117">
        <v>35</v>
      </c>
      <c r="I117">
        <v>48</v>
      </c>
      <c r="J117">
        <v>105</v>
      </c>
      <c r="K117">
        <v>14</v>
      </c>
      <c r="L117">
        <v>10</v>
      </c>
      <c r="M117">
        <v>3</v>
      </c>
      <c r="N117">
        <v>0</v>
      </c>
      <c r="O117">
        <v>2</v>
      </c>
      <c r="P117">
        <v>0</v>
      </c>
      <c r="Q117">
        <v>25</v>
      </c>
      <c r="R117">
        <v>10</v>
      </c>
      <c r="S117">
        <v>0</v>
      </c>
      <c r="T117">
        <v>6</v>
      </c>
      <c r="U117">
        <v>0</v>
      </c>
      <c r="V117">
        <v>35</v>
      </c>
      <c r="W117">
        <v>13</v>
      </c>
      <c r="X117">
        <v>0</v>
      </c>
      <c r="Y117">
        <v>8</v>
      </c>
      <c r="Z117">
        <v>0</v>
      </c>
      <c r="AA117" t="s">
        <v>3790</v>
      </c>
      <c r="AB117" s="24">
        <v>0.61041666666666672</v>
      </c>
      <c r="AC117" s="24">
        <v>0.52569444444444446</v>
      </c>
      <c r="AD117" s="24">
        <v>8.4027777777777771E-2</v>
      </c>
      <c r="AE117" s="24">
        <v>6.9444444444444447E-4</v>
      </c>
      <c r="AF117" t="s">
        <v>3270</v>
      </c>
      <c r="AG117" t="s">
        <v>2627</v>
      </c>
      <c r="AH117" t="s">
        <v>3810</v>
      </c>
      <c r="AI117" t="s">
        <v>3811</v>
      </c>
      <c r="AJ117" t="s">
        <v>3812</v>
      </c>
      <c r="AK117" t="s">
        <v>3382</v>
      </c>
      <c r="AL117" t="s">
        <v>3053</v>
      </c>
      <c r="AM117" t="s">
        <v>3813</v>
      </c>
      <c r="AN117" t="s">
        <v>3814</v>
      </c>
      <c r="AO117" t="s">
        <v>3049</v>
      </c>
      <c r="AP117" t="s">
        <v>3652</v>
      </c>
      <c r="AQ117" t="s">
        <v>3815</v>
      </c>
      <c r="AR117">
        <v>142</v>
      </c>
      <c r="AS117" t="s">
        <v>3816</v>
      </c>
      <c r="AT117">
        <v>65</v>
      </c>
      <c r="AU117">
        <v>22</v>
      </c>
      <c r="AV117">
        <v>8</v>
      </c>
      <c r="AW117">
        <v>15</v>
      </c>
      <c r="AX117" t="s">
        <v>3817</v>
      </c>
    </row>
    <row r="118" spans="1:50" x14ac:dyDescent="0.25">
      <c r="A118">
        <v>113</v>
      </c>
      <c r="B118" t="s">
        <v>3158</v>
      </c>
      <c r="C118" t="s">
        <v>83</v>
      </c>
      <c r="D118">
        <v>27</v>
      </c>
      <c r="E118" t="s">
        <v>2504</v>
      </c>
      <c r="F118">
        <v>76</v>
      </c>
      <c r="G118">
        <v>12</v>
      </c>
      <c r="H118">
        <v>36</v>
      </c>
      <c r="I118">
        <v>48</v>
      </c>
      <c r="J118">
        <v>18</v>
      </c>
      <c r="K118">
        <v>0</v>
      </c>
      <c r="L118">
        <v>10</v>
      </c>
      <c r="M118">
        <v>2</v>
      </c>
      <c r="N118">
        <v>0</v>
      </c>
      <c r="O118">
        <v>2</v>
      </c>
      <c r="P118">
        <v>0</v>
      </c>
      <c r="Q118">
        <v>29</v>
      </c>
      <c r="R118">
        <v>7</v>
      </c>
      <c r="S118">
        <v>0</v>
      </c>
      <c r="T118">
        <v>5</v>
      </c>
      <c r="U118">
        <v>2</v>
      </c>
      <c r="V118">
        <v>39</v>
      </c>
      <c r="W118">
        <v>9</v>
      </c>
      <c r="X118">
        <v>0</v>
      </c>
      <c r="Y118">
        <v>7</v>
      </c>
      <c r="Z118">
        <v>2</v>
      </c>
      <c r="AA118" t="s">
        <v>2917</v>
      </c>
      <c r="AB118" s="24">
        <v>0.72569444444444453</v>
      </c>
      <c r="AC118" s="24">
        <v>0.6069444444444444</v>
      </c>
      <c r="AD118" s="24">
        <v>0.1173611111111111</v>
      </c>
      <c r="AE118" s="24">
        <v>6.9444444444444447E-4</v>
      </c>
      <c r="AF118" t="s">
        <v>3040</v>
      </c>
      <c r="AG118" t="s">
        <v>3217</v>
      </c>
      <c r="AH118" t="s">
        <v>3818</v>
      </c>
      <c r="AI118" t="s">
        <v>3819</v>
      </c>
      <c r="AJ118" t="s">
        <v>2653</v>
      </c>
      <c r="AK118" t="s">
        <v>3147</v>
      </c>
      <c r="AL118" t="s">
        <v>3820</v>
      </c>
      <c r="AM118" t="s">
        <v>3821</v>
      </c>
      <c r="AN118" t="s">
        <v>3822</v>
      </c>
      <c r="AO118" t="s">
        <v>3593</v>
      </c>
      <c r="AP118" t="s">
        <v>3336</v>
      </c>
      <c r="AQ118" t="s">
        <v>3815</v>
      </c>
      <c r="AR118">
        <v>165</v>
      </c>
      <c r="AS118" t="s">
        <v>3823</v>
      </c>
      <c r="AT118">
        <v>54</v>
      </c>
      <c r="AU118">
        <v>20</v>
      </c>
      <c r="AV118">
        <v>4</v>
      </c>
      <c r="AW118">
        <v>1</v>
      </c>
      <c r="AX118" t="s">
        <v>3824</v>
      </c>
    </row>
    <row r="119" spans="1:50" x14ac:dyDescent="0.25">
      <c r="A119">
        <v>114</v>
      </c>
      <c r="B119" t="s">
        <v>3157</v>
      </c>
      <c r="C119" t="s">
        <v>1795</v>
      </c>
      <c r="D119">
        <v>24</v>
      </c>
      <c r="E119" t="s">
        <v>2504</v>
      </c>
      <c r="F119">
        <v>79</v>
      </c>
      <c r="G119">
        <v>22</v>
      </c>
      <c r="H119">
        <v>25</v>
      </c>
      <c r="I119">
        <v>47</v>
      </c>
      <c r="J119">
        <v>30</v>
      </c>
      <c r="K119">
        <v>34</v>
      </c>
      <c r="L119">
        <v>21</v>
      </c>
      <c r="M119">
        <v>1</v>
      </c>
      <c r="N119">
        <v>0</v>
      </c>
      <c r="O119">
        <v>3</v>
      </c>
      <c r="P119">
        <v>0</v>
      </c>
      <c r="Q119">
        <v>25</v>
      </c>
      <c r="R119">
        <v>0</v>
      </c>
      <c r="S119">
        <v>0</v>
      </c>
      <c r="T119">
        <v>2</v>
      </c>
      <c r="U119">
        <v>0</v>
      </c>
      <c r="V119">
        <v>46</v>
      </c>
      <c r="W119">
        <v>1</v>
      </c>
      <c r="X119">
        <v>0</v>
      </c>
      <c r="Y119">
        <v>5</v>
      </c>
      <c r="Z119">
        <v>0</v>
      </c>
      <c r="AA119" t="s">
        <v>3825</v>
      </c>
      <c r="AB119" s="24">
        <v>0.63680555555555551</v>
      </c>
      <c r="AC119" s="24">
        <v>0.6</v>
      </c>
      <c r="AD119" s="24">
        <v>1.0416666666666666E-2</v>
      </c>
      <c r="AE119" s="24">
        <v>2.4999999999999998E-2</v>
      </c>
      <c r="AF119" t="s">
        <v>3826</v>
      </c>
      <c r="AG119" t="s">
        <v>3089</v>
      </c>
      <c r="AH119" t="s">
        <v>3763</v>
      </c>
      <c r="AI119" t="s">
        <v>3827</v>
      </c>
      <c r="AJ119" t="s">
        <v>3828</v>
      </c>
      <c r="AK119" t="s">
        <v>2507</v>
      </c>
      <c r="AL119" t="s">
        <v>3829</v>
      </c>
      <c r="AM119" t="s">
        <v>3830</v>
      </c>
      <c r="AN119" t="s">
        <v>3829</v>
      </c>
      <c r="AO119" t="s">
        <v>3316</v>
      </c>
      <c r="AP119" t="s">
        <v>3293</v>
      </c>
      <c r="AQ119" t="s">
        <v>3831</v>
      </c>
      <c r="AR119">
        <v>172</v>
      </c>
      <c r="AS119" t="s">
        <v>2874</v>
      </c>
      <c r="AT119">
        <v>73</v>
      </c>
      <c r="AU119">
        <v>42</v>
      </c>
      <c r="AV119">
        <v>1</v>
      </c>
      <c r="AW119">
        <v>4</v>
      </c>
      <c r="AX119" t="s">
        <v>2662</v>
      </c>
    </row>
    <row r="120" spans="1:50" x14ac:dyDescent="0.25">
      <c r="A120">
        <v>115</v>
      </c>
      <c r="B120" t="s">
        <v>3156</v>
      </c>
      <c r="C120" t="s">
        <v>65</v>
      </c>
      <c r="D120">
        <v>29</v>
      </c>
      <c r="E120" t="s">
        <v>2504</v>
      </c>
      <c r="F120">
        <v>59</v>
      </c>
      <c r="G120">
        <v>21</v>
      </c>
      <c r="H120">
        <v>26</v>
      </c>
      <c r="I120">
        <v>47</v>
      </c>
      <c r="J120">
        <v>18</v>
      </c>
      <c r="K120">
        <v>-7</v>
      </c>
      <c r="L120">
        <v>15</v>
      </c>
      <c r="M120">
        <v>6</v>
      </c>
      <c r="N120">
        <v>0</v>
      </c>
      <c r="O120">
        <v>3</v>
      </c>
      <c r="P120">
        <v>1</v>
      </c>
      <c r="Q120">
        <v>20</v>
      </c>
      <c r="R120">
        <v>6</v>
      </c>
      <c r="S120">
        <v>0</v>
      </c>
      <c r="T120">
        <v>4</v>
      </c>
      <c r="U120">
        <v>0</v>
      </c>
      <c r="V120">
        <v>35</v>
      </c>
      <c r="W120">
        <v>12</v>
      </c>
      <c r="X120">
        <v>0</v>
      </c>
      <c r="Y120">
        <v>7</v>
      </c>
      <c r="Z120">
        <v>1</v>
      </c>
      <c r="AA120" t="s">
        <v>3832</v>
      </c>
      <c r="AB120" s="24">
        <v>0.73125000000000007</v>
      </c>
      <c r="AC120" s="24">
        <v>0.58888888888888891</v>
      </c>
      <c r="AD120" s="24">
        <v>9.375E-2</v>
      </c>
      <c r="AE120" s="24">
        <v>4.7222222222222221E-2</v>
      </c>
      <c r="AF120" t="s">
        <v>3833</v>
      </c>
      <c r="AG120" t="s">
        <v>3834</v>
      </c>
      <c r="AH120" t="s">
        <v>3835</v>
      </c>
      <c r="AI120" t="s">
        <v>3836</v>
      </c>
      <c r="AJ120" t="s">
        <v>3572</v>
      </c>
      <c r="AK120" t="s">
        <v>3837</v>
      </c>
      <c r="AL120" t="s">
        <v>3838</v>
      </c>
      <c r="AM120" t="s">
        <v>3838</v>
      </c>
      <c r="AN120" t="s">
        <v>3839</v>
      </c>
      <c r="AO120" t="s">
        <v>3840</v>
      </c>
      <c r="AP120" t="s">
        <v>3841</v>
      </c>
      <c r="AQ120" t="s">
        <v>2940</v>
      </c>
      <c r="AR120">
        <v>119</v>
      </c>
      <c r="AS120" t="s">
        <v>2916</v>
      </c>
      <c r="AT120">
        <v>35</v>
      </c>
      <c r="AU120">
        <v>23</v>
      </c>
      <c r="AV120">
        <v>610</v>
      </c>
      <c r="AW120">
        <v>487</v>
      </c>
      <c r="AX120" t="s">
        <v>3842</v>
      </c>
    </row>
    <row r="121" spans="1:50" x14ac:dyDescent="0.25">
      <c r="A121">
        <v>116</v>
      </c>
      <c r="B121" t="s">
        <v>3156</v>
      </c>
      <c r="C121" t="s">
        <v>130</v>
      </c>
      <c r="D121">
        <v>21</v>
      </c>
      <c r="E121" t="s">
        <v>2504</v>
      </c>
      <c r="F121">
        <v>79</v>
      </c>
      <c r="G121">
        <v>17</v>
      </c>
      <c r="H121">
        <v>30</v>
      </c>
      <c r="I121">
        <v>47</v>
      </c>
      <c r="J121">
        <v>8</v>
      </c>
      <c r="K121">
        <v>-11</v>
      </c>
      <c r="L121">
        <v>8</v>
      </c>
      <c r="M121">
        <v>9</v>
      </c>
      <c r="N121">
        <v>0</v>
      </c>
      <c r="O121">
        <v>3</v>
      </c>
      <c r="P121">
        <v>0</v>
      </c>
      <c r="Q121">
        <v>22</v>
      </c>
      <c r="R121">
        <v>8</v>
      </c>
      <c r="S121">
        <v>0</v>
      </c>
      <c r="T121">
        <v>3</v>
      </c>
      <c r="U121">
        <v>0</v>
      </c>
      <c r="V121">
        <v>30</v>
      </c>
      <c r="W121">
        <v>17</v>
      </c>
      <c r="X121">
        <v>0</v>
      </c>
      <c r="Y121">
        <v>6</v>
      </c>
      <c r="Z121">
        <v>0</v>
      </c>
      <c r="AA121" t="s">
        <v>3843</v>
      </c>
      <c r="AB121" s="24">
        <v>0.71736111111111101</v>
      </c>
      <c r="AC121" s="24">
        <v>0.59305555555555556</v>
      </c>
      <c r="AD121" s="24">
        <v>0.12152777777777778</v>
      </c>
      <c r="AE121" s="24">
        <v>2.0833333333333333E-3</v>
      </c>
      <c r="AF121" t="s">
        <v>3059</v>
      </c>
      <c r="AG121" t="s">
        <v>3844</v>
      </c>
      <c r="AH121" t="s">
        <v>3845</v>
      </c>
      <c r="AI121" t="s">
        <v>2952</v>
      </c>
      <c r="AJ121" t="s">
        <v>3846</v>
      </c>
      <c r="AK121" t="s">
        <v>3847</v>
      </c>
      <c r="AL121" t="s">
        <v>3392</v>
      </c>
      <c r="AM121" t="s">
        <v>3845</v>
      </c>
      <c r="AN121" t="s">
        <v>3848</v>
      </c>
      <c r="AO121" t="s">
        <v>3849</v>
      </c>
      <c r="AP121" t="s">
        <v>3294</v>
      </c>
      <c r="AQ121" t="s">
        <v>3831</v>
      </c>
      <c r="AR121">
        <v>178</v>
      </c>
      <c r="AS121" t="s">
        <v>2730</v>
      </c>
      <c r="AT121">
        <v>21</v>
      </c>
      <c r="AU121">
        <v>40</v>
      </c>
      <c r="AV121">
        <v>86</v>
      </c>
      <c r="AW121">
        <v>124</v>
      </c>
      <c r="AX121" t="s">
        <v>3850</v>
      </c>
    </row>
    <row r="122" spans="1:50" x14ac:dyDescent="0.25">
      <c r="A122">
        <v>117</v>
      </c>
      <c r="B122" t="s">
        <v>3157</v>
      </c>
      <c r="C122" t="s">
        <v>149</v>
      </c>
      <c r="D122">
        <v>34</v>
      </c>
      <c r="E122" t="s">
        <v>2504</v>
      </c>
      <c r="F122">
        <v>78</v>
      </c>
      <c r="G122">
        <v>13</v>
      </c>
      <c r="H122">
        <v>34</v>
      </c>
      <c r="I122">
        <v>47</v>
      </c>
      <c r="J122">
        <v>4</v>
      </c>
      <c r="K122">
        <v>2</v>
      </c>
      <c r="L122">
        <v>13</v>
      </c>
      <c r="M122">
        <v>0</v>
      </c>
      <c r="N122">
        <v>0</v>
      </c>
      <c r="O122">
        <v>2</v>
      </c>
      <c r="P122">
        <v>0</v>
      </c>
      <c r="Q122">
        <v>27</v>
      </c>
      <c r="R122">
        <v>7</v>
      </c>
      <c r="S122">
        <v>0</v>
      </c>
      <c r="T122">
        <v>5</v>
      </c>
      <c r="U122">
        <v>0</v>
      </c>
      <c r="V122">
        <v>40</v>
      </c>
      <c r="W122">
        <v>7</v>
      </c>
      <c r="X122">
        <v>0</v>
      </c>
      <c r="Y122">
        <v>7</v>
      </c>
      <c r="Z122">
        <v>0</v>
      </c>
      <c r="AA122" t="s">
        <v>3447</v>
      </c>
      <c r="AB122" s="24">
        <v>0.59236111111111112</v>
      </c>
      <c r="AC122" s="24">
        <v>0.50763888888888886</v>
      </c>
      <c r="AD122" s="24">
        <v>4.6527777777777779E-2</v>
      </c>
      <c r="AE122" s="24">
        <v>3.7499999999999999E-2</v>
      </c>
      <c r="AF122" t="s">
        <v>3851</v>
      </c>
      <c r="AG122" t="s">
        <v>3852</v>
      </c>
      <c r="AH122" t="s">
        <v>3853</v>
      </c>
      <c r="AI122" t="s">
        <v>3854</v>
      </c>
      <c r="AJ122" t="s">
        <v>3855</v>
      </c>
      <c r="AK122" t="s">
        <v>2870</v>
      </c>
      <c r="AL122" t="s">
        <v>3830</v>
      </c>
      <c r="AM122" t="s">
        <v>3856</v>
      </c>
      <c r="AN122" t="s">
        <v>3856</v>
      </c>
      <c r="AO122" t="s">
        <v>3732</v>
      </c>
      <c r="AP122" t="s">
        <v>3184</v>
      </c>
      <c r="AQ122" t="s">
        <v>3857</v>
      </c>
      <c r="AR122">
        <v>176</v>
      </c>
      <c r="AS122" t="s">
        <v>3858</v>
      </c>
      <c r="AT122">
        <v>44</v>
      </c>
      <c r="AU122">
        <v>39</v>
      </c>
      <c r="AV122">
        <v>39</v>
      </c>
      <c r="AW122">
        <v>39</v>
      </c>
      <c r="AX122" t="s">
        <v>2647</v>
      </c>
    </row>
    <row r="123" spans="1:50" x14ac:dyDescent="0.25">
      <c r="A123">
        <v>118</v>
      </c>
      <c r="B123" t="s">
        <v>3157</v>
      </c>
      <c r="C123" t="s">
        <v>3859</v>
      </c>
      <c r="D123">
        <v>19</v>
      </c>
      <c r="E123" t="s">
        <v>1719</v>
      </c>
      <c r="F123">
        <v>78</v>
      </c>
      <c r="G123">
        <v>11</v>
      </c>
      <c r="H123">
        <v>36</v>
      </c>
      <c r="I123">
        <v>47</v>
      </c>
      <c r="J123">
        <v>14</v>
      </c>
      <c r="K123">
        <v>17</v>
      </c>
      <c r="L123">
        <v>7</v>
      </c>
      <c r="M123">
        <v>4</v>
      </c>
      <c r="N123">
        <v>0</v>
      </c>
      <c r="O123">
        <v>1</v>
      </c>
      <c r="P123">
        <v>1</v>
      </c>
      <c r="Q123">
        <v>19</v>
      </c>
      <c r="R123">
        <v>17</v>
      </c>
      <c r="S123">
        <v>0</v>
      </c>
      <c r="T123">
        <v>5</v>
      </c>
      <c r="U123">
        <v>1</v>
      </c>
      <c r="V123">
        <v>26</v>
      </c>
      <c r="W123">
        <v>21</v>
      </c>
      <c r="X123">
        <v>0</v>
      </c>
      <c r="Y123">
        <v>6</v>
      </c>
      <c r="Z123">
        <v>2</v>
      </c>
      <c r="AA123" t="s">
        <v>3860</v>
      </c>
      <c r="AB123" s="24">
        <v>0.87083333333333324</v>
      </c>
      <c r="AC123" s="24">
        <v>0.72291666666666676</v>
      </c>
      <c r="AD123" s="24">
        <v>0.11597222222222221</v>
      </c>
      <c r="AE123" s="24">
        <v>3.125E-2</v>
      </c>
      <c r="AF123" t="s">
        <v>2602</v>
      </c>
      <c r="AG123" t="s">
        <v>3861</v>
      </c>
      <c r="AH123" t="s">
        <v>2808</v>
      </c>
      <c r="AI123" t="s">
        <v>3386</v>
      </c>
      <c r="AJ123" t="s">
        <v>3862</v>
      </c>
      <c r="AK123" t="s">
        <v>3863</v>
      </c>
      <c r="AL123" t="s">
        <v>2539</v>
      </c>
      <c r="AM123" t="s">
        <v>3864</v>
      </c>
      <c r="AN123" t="s">
        <v>3865</v>
      </c>
      <c r="AO123" t="s">
        <v>3866</v>
      </c>
      <c r="AP123" t="s">
        <v>3324</v>
      </c>
      <c r="AQ123" t="s">
        <v>3857</v>
      </c>
      <c r="AR123">
        <v>188</v>
      </c>
      <c r="AS123" t="s">
        <v>3726</v>
      </c>
      <c r="AT123">
        <v>41</v>
      </c>
      <c r="AU123">
        <v>90</v>
      </c>
      <c r="AV123">
        <v>0</v>
      </c>
      <c r="AW123">
        <v>0</v>
      </c>
      <c r="AX123" t="s">
        <v>2579</v>
      </c>
    </row>
    <row r="124" spans="1:50" x14ac:dyDescent="0.25">
      <c r="A124">
        <v>119</v>
      </c>
      <c r="B124" t="s">
        <v>3156</v>
      </c>
      <c r="C124" t="s">
        <v>123</v>
      </c>
      <c r="D124">
        <v>37</v>
      </c>
      <c r="E124" t="s">
        <v>2504</v>
      </c>
      <c r="F124">
        <v>82</v>
      </c>
      <c r="G124">
        <v>27</v>
      </c>
      <c r="H124">
        <v>19</v>
      </c>
      <c r="I124">
        <v>46</v>
      </c>
      <c r="J124">
        <v>28</v>
      </c>
      <c r="K124">
        <v>4</v>
      </c>
      <c r="L124">
        <v>20</v>
      </c>
      <c r="M124">
        <v>7</v>
      </c>
      <c r="N124">
        <v>0</v>
      </c>
      <c r="O124">
        <v>6</v>
      </c>
      <c r="P124">
        <v>0</v>
      </c>
      <c r="Q124">
        <v>10</v>
      </c>
      <c r="R124">
        <v>9</v>
      </c>
      <c r="S124">
        <v>0</v>
      </c>
      <c r="T124">
        <v>4</v>
      </c>
      <c r="U124">
        <v>1</v>
      </c>
      <c r="V124">
        <v>30</v>
      </c>
      <c r="W124">
        <v>16</v>
      </c>
      <c r="X124">
        <v>0</v>
      </c>
      <c r="Y124">
        <v>10</v>
      </c>
      <c r="Z124">
        <v>1</v>
      </c>
      <c r="AA124" t="s">
        <v>3867</v>
      </c>
      <c r="AB124" s="24">
        <v>0.71458333333333324</v>
      </c>
      <c r="AC124" s="24">
        <v>0.5805555555555556</v>
      </c>
      <c r="AD124" s="24">
        <v>0.12430555555555556</v>
      </c>
      <c r="AE124" s="24">
        <v>3.472222222222222E-3</v>
      </c>
      <c r="AF124" t="s">
        <v>3677</v>
      </c>
      <c r="AG124" t="s">
        <v>3761</v>
      </c>
      <c r="AH124" t="s">
        <v>3868</v>
      </c>
      <c r="AI124" t="s">
        <v>2563</v>
      </c>
      <c r="AJ124" t="s">
        <v>3869</v>
      </c>
      <c r="AK124" t="s">
        <v>3550</v>
      </c>
      <c r="AL124" t="s">
        <v>2599</v>
      </c>
      <c r="AM124" t="s">
        <v>3870</v>
      </c>
      <c r="AN124" t="s">
        <v>3871</v>
      </c>
      <c r="AO124" t="s">
        <v>2939</v>
      </c>
      <c r="AP124" t="s">
        <v>3069</v>
      </c>
      <c r="AQ124" t="s">
        <v>2715</v>
      </c>
      <c r="AR124">
        <v>190</v>
      </c>
      <c r="AS124" t="s">
        <v>2564</v>
      </c>
      <c r="AT124">
        <v>82</v>
      </c>
      <c r="AU124">
        <v>32</v>
      </c>
      <c r="AV124">
        <v>115</v>
      </c>
      <c r="AW124">
        <v>100</v>
      </c>
      <c r="AX124" t="s">
        <v>3872</v>
      </c>
    </row>
    <row r="125" spans="1:50" x14ac:dyDescent="0.25">
      <c r="A125">
        <v>120</v>
      </c>
      <c r="B125" t="s">
        <v>4135</v>
      </c>
      <c r="C125" t="s">
        <v>139</v>
      </c>
      <c r="D125">
        <v>26</v>
      </c>
      <c r="E125" t="s">
        <v>2504</v>
      </c>
      <c r="F125">
        <v>82</v>
      </c>
      <c r="G125">
        <v>25</v>
      </c>
      <c r="H125">
        <v>21</v>
      </c>
      <c r="I125">
        <v>46</v>
      </c>
      <c r="J125">
        <v>26</v>
      </c>
      <c r="K125">
        <v>-8</v>
      </c>
      <c r="L125">
        <v>20</v>
      </c>
      <c r="M125">
        <v>5</v>
      </c>
      <c r="N125">
        <v>0</v>
      </c>
      <c r="O125">
        <v>5</v>
      </c>
      <c r="P125">
        <v>0</v>
      </c>
      <c r="Q125">
        <v>18</v>
      </c>
      <c r="R125">
        <v>3</v>
      </c>
      <c r="S125">
        <v>0</v>
      </c>
      <c r="T125">
        <v>1</v>
      </c>
      <c r="U125">
        <v>1</v>
      </c>
      <c r="V125">
        <v>38</v>
      </c>
      <c r="W125">
        <v>8</v>
      </c>
      <c r="X125">
        <v>0</v>
      </c>
      <c r="Y125">
        <v>6</v>
      </c>
      <c r="Z125">
        <v>1</v>
      </c>
      <c r="AA125" t="s">
        <v>3873</v>
      </c>
      <c r="AB125" s="24">
        <v>0.71944444444444444</v>
      </c>
      <c r="AC125" s="24">
        <v>0.61875000000000002</v>
      </c>
      <c r="AD125" s="24">
        <v>9.8611111111111108E-2</v>
      </c>
      <c r="AE125" s="24">
        <v>1.3888888888888889E-3</v>
      </c>
      <c r="AF125" t="s">
        <v>3641</v>
      </c>
      <c r="AG125" t="s">
        <v>3874</v>
      </c>
      <c r="AH125" t="s">
        <v>3875</v>
      </c>
      <c r="AI125" t="s">
        <v>3876</v>
      </c>
      <c r="AJ125" t="s">
        <v>3877</v>
      </c>
      <c r="AK125" t="s">
        <v>3878</v>
      </c>
      <c r="AL125" t="s">
        <v>3879</v>
      </c>
      <c r="AM125" t="s">
        <v>3311</v>
      </c>
      <c r="AN125" t="s">
        <v>3880</v>
      </c>
      <c r="AO125" t="s">
        <v>2926</v>
      </c>
      <c r="AP125" t="s">
        <v>3881</v>
      </c>
      <c r="AQ125" t="s">
        <v>2715</v>
      </c>
      <c r="AR125">
        <v>166</v>
      </c>
      <c r="AS125" t="s">
        <v>3409</v>
      </c>
      <c r="AT125">
        <v>92</v>
      </c>
      <c r="AU125">
        <v>24</v>
      </c>
      <c r="AV125">
        <v>8</v>
      </c>
      <c r="AW125">
        <v>5</v>
      </c>
      <c r="AX125" t="s">
        <v>3882</v>
      </c>
    </row>
    <row r="126" spans="1:50" x14ac:dyDescent="0.25">
      <c r="A126">
        <v>121</v>
      </c>
      <c r="B126" t="s">
        <v>3156</v>
      </c>
      <c r="C126" t="s">
        <v>1797</v>
      </c>
      <c r="D126">
        <v>28</v>
      </c>
      <c r="E126" t="s">
        <v>2504</v>
      </c>
      <c r="F126">
        <v>82</v>
      </c>
      <c r="G126">
        <v>18</v>
      </c>
      <c r="H126">
        <v>28</v>
      </c>
      <c r="I126">
        <v>46</v>
      </c>
      <c r="J126">
        <v>54</v>
      </c>
      <c r="K126">
        <v>-2</v>
      </c>
      <c r="L126">
        <v>14</v>
      </c>
      <c r="M126">
        <v>3</v>
      </c>
      <c r="N126">
        <v>1</v>
      </c>
      <c r="O126">
        <v>3</v>
      </c>
      <c r="P126">
        <v>1</v>
      </c>
      <c r="Q126">
        <v>18</v>
      </c>
      <c r="R126">
        <v>10</v>
      </c>
      <c r="S126">
        <v>0</v>
      </c>
      <c r="T126">
        <v>4</v>
      </c>
      <c r="U126">
        <v>0</v>
      </c>
      <c r="V126">
        <v>32</v>
      </c>
      <c r="W126">
        <v>13</v>
      </c>
      <c r="X126">
        <v>1</v>
      </c>
      <c r="Y126">
        <v>7</v>
      </c>
      <c r="Z126">
        <v>1</v>
      </c>
      <c r="AA126" t="s">
        <v>3484</v>
      </c>
      <c r="AB126" s="24">
        <v>0.72083333333333333</v>
      </c>
      <c r="AC126" s="24">
        <v>0.58472222222222225</v>
      </c>
      <c r="AD126" s="24">
        <v>8.819444444444445E-2</v>
      </c>
      <c r="AE126" s="24">
        <v>4.7222222222222221E-2</v>
      </c>
      <c r="AF126" t="s">
        <v>3387</v>
      </c>
      <c r="AG126" t="s">
        <v>3883</v>
      </c>
      <c r="AH126" t="s">
        <v>3017</v>
      </c>
      <c r="AI126" t="s">
        <v>3884</v>
      </c>
      <c r="AJ126" t="s">
        <v>3499</v>
      </c>
      <c r="AK126" t="s">
        <v>3885</v>
      </c>
      <c r="AL126" t="s">
        <v>3886</v>
      </c>
      <c r="AM126" t="s">
        <v>3887</v>
      </c>
      <c r="AN126" t="s">
        <v>3888</v>
      </c>
      <c r="AO126" t="s">
        <v>3244</v>
      </c>
      <c r="AP126" t="s">
        <v>2899</v>
      </c>
      <c r="AQ126" t="s">
        <v>2715</v>
      </c>
      <c r="AR126">
        <v>151</v>
      </c>
      <c r="AS126" t="s">
        <v>3095</v>
      </c>
      <c r="AT126">
        <v>87</v>
      </c>
      <c r="AU126">
        <v>28</v>
      </c>
      <c r="AV126">
        <v>32</v>
      </c>
      <c r="AW126">
        <v>34</v>
      </c>
      <c r="AX126" t="s">
        <v>2806</v>
      </c>
    </row>
    <row r="127" spans="1:50" x14ac:dyDescent="0.25">
      <c r="A127">
        <v>122</v>
      </c>
      <c r="B127" t="s">
        <v>3161</v>
      </c>
      <c r="C127" t="s">
        <v>3889</v>
      </c>
      <c r="D127">
        <v>44</v>
      </c>
      <c r="E127" t="s">
        <v>2504</v>
      </c>
      <c r="F127">
        <v>82</v>
      </c>
      <c r="G127">
        <v>16</v>
      </c>
      <c r="H127">
        <v>30</v>
      </c>
      <c r="I127">
        <v>46</v>
      </c>
      <c r="J127">
        <v>56</v>
      </c>
      <c r="K127">
        <v>2</v>
      </c>
      <c r="L127">
        <v>8</v>
      </c>
      <c r="M127">
        <v>8</v>
      </c>
      <c r="N127">
        <v>0</v>
      </c>
      <c r="O127">
        <v>2</v>
      </c>
      <c r="P127">
        <v>0</v>
      </c>
      <c r="Q127">
        <v>25</v>
      </c>
      <c r="R127">
        <v>5</v>
      </c>
      <c r="S127">
        <v>0</v>
      </c>
      <c r="T127">
        <v>4</v>
      </c>
      <c r="U127">
        <v>0</v>
      </c>
      <c r="V127">
        <v>33</v>
      </c>
      <c r="W127">
        <v>13</v>
      </c>
      <c r="X127">
        <v>0</v>
      </c>
      <c r="Y127">
        <v>6</v>
      </c>
      <c r="Z127">
        <v>0</v>
      </c>
      <c r="AA127" t="s">
        <v>3484</v>
      </c>
      <c r="AB127" s="24">
        <v>0.70763888888888893</v>
      </c>
      <c r="AC127" s="24">
        <v>0.59375</v>
      </c>
      <c r="AD127" s="24">
        <v>0.11597222222222221</v>
      </c>
      <c r="AE127" s="24">
        <v>0</v>
      </c>
      <c r="AF127" t="s">
        <v>3890</v>
      </c>
      <c r="AG127" t="s">
        <v>3891</v>
      </c>
      <c r="AH127" t="s">
        <v>3892</v>
      </c>
      <c r="AI127" t="s">
        <v>3893</v>
      </c>
      <c r="AJ127" t="s">
        <v>3894</v>
      </c>
      <c r="AK127" t="s">
        <v>3895</v>
      </c>
      <c r="AL127" t="s">
        <v>3896</v>
      </c>
      <c r="AM127" t="s">
        <v>3897</v>
      </c>
      <c r="AN127" t="s">
        <v>3898</v>
      </c>
      <c r="AO127" t="s">
        <v>3513</v>
      </c>
      <c r="AP127" t="s">
        <v>2515</v>
      </c>
      <c r="AQ127" t="s">
        <v>2715</v>
      </c>
      <c r="AR127">
        <v>181</v>
      </c>
      <c r="AS127" t="s">
        <v>3504</v>
      </c>
      <c r="AT127">
        <v>21</v>
      </c>
      <c r="AU127">
        <v>4</v>
      </c>
      <c r="AV127">
        <v>1</v>
      </c>
      <c r="AW127">
        <v>1</v>
      </c>
      <c r="AX127" t="s">
        <v>2647</v>
      </c>
    </row>
    <row r="128" spans="1:50" x14ac:dyDescent="0.25">
      <c r="A128">
        <v>123</v>
      </c>
      <c r="B128" t="s">
        <v>3157</v>
      </c>
      <c r="C128" t="s">
        <v>705</v>
      </c>
      <c r="D128">
        <v>25</v>
      </c>
      <c r="E128" t="s">
        <v>1719</v>
      </c>
      <c r="F128">
        <v>81</v>
      </c>
      <c r="G128">
        <v>11</v>
      </c>
      <c r="H128">
        <v>35</v>
      </c>
      <c r="I128">
        <v>46</v>
      </c>
      <c r="J128">
        <v>12</v>
      </c>
      <c r="K128">
        <v>-3</v>
      </c>
      <c r="L128">
        <v>8</v>
      </c>
      <c r="M128">
        <v>3</v>
      </c>
      <c r="N128">
        <v>0</v>
      </c>
      <c r="O128">
        <v>1</v>
      </c>
      <c r="P128">
        <v>0</v>
      </c>
      <c r="Q128">
        <v>23</v>
      </c>
      <c r="R128">
        <v>12</v>
      </c>
      <c r="S128">
        <v>0</v>
      </c>
      <c r="T128">
        <v>8</v>
      </c>
      <c r="U128">
        <v>2</v>
      </c>
      <c r="V128">
        <v>31</v>
      </c>
      <c r="W128">
        <v>15</v>
      </c>
      <c r="X128">
        <v>0</v>
      </c>
      <c r="Y128">
        <v>9</v>
      </c>
      <c r="Z128">
        <v>2</v>
      </c>
      <c r="AA128" t="s">
        <v>3899</v>
      </c>
      <c r="AB128" s="24">
        <v>0.94652777777777775</v>
      </c>
      <c r="AC128" s="24">
        <v>0.78333333333333333</v>
      </c>
      <c r="AD128" s="24">
        <v>0.13055555555555556</v>
      </c>
      <c r="AE128" s="24">
        <v>3.2638888888888891E-2</v>
      </c>
      <c r="AF128" t="s">
        <v>3280</v>
      </c>
      <c r="AG128" t="s">
        <v>3900</v>
      </c>
      <c r="AH128" t="s">
        <v>3230</v>
      </c>
      <c r="AI128" t="s">
        <v>3901</v>
      </c>
      <c r="AJ128" t="s">
        <v>3902</v>
      </c>
      <c r="AK128" t="s">
        <v>2517</v>
      </c>
      <c r="AL128" t="s">
        <v>3800</v>
      </c>
      <c r="AM128" t="s">
        <v>2992</v>
      </c>
      <c r="AN128" t="s">
        <v>3903</v>
      </c>
      <c r="AO128" t="s">
        <v>3904</v>
      </c>
      <c r="AP128" t="s">
        <v>2858</v>
      </c>
      <c r="AQ128" t="s">
        <v>3091</v>
      </c>
      <c r="AR128">
        <v>137</v>
      </c>
      <c r="AS128" t="s">
        <v>3595</v>
      </c>
      <c r="AT128">
        <v>77</v>
      </c>
      <c r="AU128">
        <v>109</v>
      </c>
      <c r="AV128">
        <v>0</v>
      </c>
      <c r="AW128">
        <v>0</v>
      </c>
      <c r="AX128" t="s">
        <v>2579</v>
      </c>
    </row>
    <row r="129" spans="1:50" x14ac:dyDescent="0.25">
      <c r="A129">
        <v>124</v>
      </c>
      <c r="B129" t="s">
        <v>4135</v>
      </c>
      <c r="C129" t="s">
        <v>676</v>
      </c>
      <c r="D129">
        <v>37</v>
      </c>
      <c r="E129" t="s">
        <v>2504</v>
      </c>
      <c r="F129">
        <v>73</v>
      </c>
      <c r="G129">
        <v>26</v>
      </c>
      <c r="H129">
        <v>19</v>
      </c>
      <c r="I129">
        <v>45</v>
      </c>
      <c r="J129">
        <v>8</v>
      </c>
      <c r="K129">
        <v>7</v>
      </c>
      <c r="L129">
        <v>20</v>
      </c>
      <c r="M129">
        <v>5</v>
      </c>
      <c r="N129">
        <v>1</v>
      </c>
      <c r="O129">
        <v>7</v>
      </c>
      <c r="P129">
        <v>3</v>
      </c>
      <c r="Q129">
        <v>13</v>
      </c>
      <c r="R129">
        <v>6</v>
      </c>
      <c r="S129">
        <v>0</v>
      </c>
      <c r="T129">
        <v>3</v>
      </c>
      <c r="U129">
        <v>0</v>
      </c>
      <c r="V129">
        <v>33</v>
      </c>
      <c r="W129">
        <v>11</v>
      </c>
      <c r="X129">
        <v>1</v>
      </c>
      <c r="Y129">
        <v>10</v>
      </c>
      <c r="Z129">
        <v>3</v>
      </c>
      <c r="AA129" t="s">
        <v>3905</v>
      </c>
      <c r="AB129" s="24">
        <v>0.70208333333333339</v>
      </c>
      <c r="AC129" s="24">
        <v>0.56666666666666665</v>
      </c>
      <c r="AD129" s="24">
        <v>7.1527777777777787E-2</v>
      </c>
      <c r="AE129" s="24">
        <v>6.3194444444444442E-2</v>
      </c>
      <c r="AF129" t="s">
        <v>3679</v>
      </c>
      <c r="AG129" t="s">
        <v>3413</v>
      </c>
      <c r="AH129" t="s">
        <v>3906</v>
      </c>
      <c r="AI129" t="s">
        <v>3907</v>
      </c>
      <c r="AJ129" t="s">
        <v>3496</v>
      </c>
      <c r="AK129" t="s">
        <v>3908</v>
      </c>
      <c r="AL129" t="s">
        <v>3909</v>
      </c>
      <c r="AM129" t="s">
        <v>3910</v>
      </c>
      <c r="AN129" t="s">
        <v>3911</v>
      </c>
      <c r="AO129" t="s">
        <v>3840</v>
      </c>
      <c r="AP129" t="s">
        <v>3912</v>
      </c>
      <c r="AQ129" t="s">
        <v>3913</v>
      </c>
      <c r="AR129">
        <v>167</v>
      </c>
      <c r="AS129" t="s">
        <v>3914</v>
      </c>
      <c r="AT129">
        <v>32</v>
      </c>
      <c r="AU129">
        <v>36</v>
      </c>
      <c r="AV129">
        <v>5</v>
      </c>
      <c r="AW129">
        <v>9</v>
      </c>
      <c r="AX129" t="s">
        <v>3915</v>
      </c>
    </row>
    <row r="130" spans="1:50" x14ac:dyDescent="0.25">
      <c r="A130">
        <v>125</v>
      </c>
      <c r="B130" t="s">
        <v>3159</v>
      </c>
      <c r="C130" t="s">
        <v>1803</v>
      </c>
      <c r="D130">
        <v>28</v>
      </c>
      <c r="E130" t="s">
        <v>2504</v>
      </c>
      <c r="F130">
        <v>64</v>
      </c>
      <c r="G130">
        <v>22</v>
      </c>
      <c r="H130">
        <v>23</v>
      </c>
      <c r="I130">
        <v>45</v>
      </c>
      <c r="J130">
        <v>30</v>
      </c>
      <c r="K130">
        <v>9</v>
      </c>
      <c r="L130">
        <v>18</v>
      </c>
      <c r="M130">
        <v>4</v>
      </c>
      <c r="N130">
        <v>0</v>
      </c>
      <c r="O130">
        <v>7</v>
      </c>
      <c r="P130">
        <v>1</v>
      </c>
      <c r="Q130">
        <v>19</v>
      </c>
      <c r="R130">
        <v>4</v>
      </c>
      <c r="S130">
        <v>0</v>
      </c>
      <c r="T130">
        <v>5</v>
      </c>
      <c r="U130">
        <v>1</v>
      </c>
      <c r="V130">
        <v>37</v>
      </c>
      <c r="W130">
        <v>8</v>
      </c>
      <c r="X130">
        <v>0</v>
      </c>
      <c r="Y130">
        <v>12</v>
      </c>
      <c r="Z130">
        <v>2</v>
      </c>
      <c r="AA130" t="s">
        <v>3536</v>
      </c>
      <c r="AB130" s="24">
        <v>0.74375000000000002</v>
      </c>
      <c r="AC130" s="24">
        <v>0.61041666666666672</v>
      </c>
      <c r="AD130" s="24">
        <v>9.8611111111111108E-2</v>
      </c>
      <c r="AE130" s="24">
        <v>3.4027777777777775E-2</v>
      </c>
      <c r="AF130" t="s">
        <v>3774</v>
      </c>
      <c r="AG130" t="s">
        <v>3907</v>
      </c>
      <c r="AH130" t="s">
        <v>3916</v>
      </c>
      <c r="AI130" t="s">
        <v>3863</v>
      </c>
      <c r="AJ130" t="s">
        <v>3833</v>
      </c>
      <c r="AK130" t="s">
        <v>3917</v>
      </c>
      <c r="AL130" t="s">
        <v>3918</v>
      </c>
      <c r="AM130" t="s">
        <v>3918</v>
      </c>
      <c r="AN130" t="s">
        <v>3919</v>
      </c>
      <c r="AO130" t="s">
        <v>3556</v>
      </c>
      <c r="AP130" t="s">
        <v>3280</v>
      </c>
      <c r="AQ130" t="s">
        <v>3851</v>
      </c>
      <c r="AR130">
        <v>105</v>
      </c>
      <c r="AS130" t="s">
        <v>3920</v>
      </c>
      <c r="AT130">
        <v>18</v>
      </c>
      <c r="AU130">
        <v>27</v>
      </c>
      <c r="AV130">
        <v>416</v>
      </c>
      <c r="AW130">
        <v>505</v>
      </c>
      <c r="AX130" t="s">
        <v>3921</v>
      </c>
    </row>
    <row r="131" spans="1:50" x14ac:dyDescent="0.25">
      <c r="A131">
        <v>126</v>
      </c>
      <c r="B131" t="s">
        <v>3157</v>
      </c>
      <c r="C131" t="s">
        <v>1799</v>
      </c>
      <c r="D131">
        <v>25</v>
      </c>
      <c r="E131" t="s">
        <v>2504</v>
      </c>
      <c r="F131">
        <v>81</v>
      </c>
      <c r="G131">
        <v>20</v>
      </c>
      <c r="H131">
        <v>25</v>
      </c>
      <c r="I131">
        <v>45</v>
      </c>
      <c r="J131">
        <v>36</v>
      </c>
      <c r="K131">
        <v>-6</v>
      </c>
      <c r="L131">
        <v>19</v>
      </c>
      <c r="M131">
        <v>1</v>
      </c>
      <c r="N131">
        <v>0</v>
      </c>
      <c r="O131">
        <v>4</v>
      </c>
      <c r="P131">
        <v>1</v>
      </c>
      <c r="Q131">
        <v>19</v>
      </c>
      <c r="R131">
        <v>5</v>
      </c>
      <c r="S131">
        <v>1</v>
      </c>
      <c r="T131">
        <v>4</v>
      </c>
      <c r="U131">
        <v>0</v>
      </c>
      <c r="V131">
        <v>38</v>
      </c>
      <c r="W131">
        <v>6</v>
      </c>
      <c r="X131">
        <v>1</v>
      </c>
      <c r="Y131">
        <v>8</v>
      </c>
      <c r="Z131">
        <v>1</v>
      </c>
      <c r="AA131" t="s">
        <v>2902</v>
      </c>
      <c r="AB131" s="24">
        <v>0.65138888888888891</v>
      </c>
      <c r="AC131" s="24">
        <v>0.54722222222222217</v>
      </c>
      <c r="AD131" s="24">
        <v>7.7777777777777779E-2</v>
      </c>
      <c r="AE131" s="24">
        <v>2.4999999999999998E-2</v>
      </c>
      <c r="AF131" t="s">
        <v>3221</v>
      </c>
      <c r="AG131" t="s">
        <v>3883</v>
      </c>
      <c r="AH131" t="s">
        <v>3678</v>
      </c>
      <c r="AI131" t="s">
        <v>3922</v>
      </c>
      <c r="AJ131" t="s">
        <v>3922</v>
      </c>
      <c r="AK131" t="s">
        <v>3923</v>
      </c>
      <c r="AL131" t="s">
        <v>3924</v>
      </c>
      <c r="AM131" t="s">
        <v>3749</v>
      </c>
      <c r="AN131" t="s">
        <v>3925</v>
      </c>
      <c r="AO131" t="s">
        <v>3025</v>
      </c>
      <c r="AP131" t="s">
        <v>3926</v>
      </c>
      <c r="AQ131" t="s">
        <v>3927</v>
      </c>
      <c r="AR131">
        <v>173</v>
      </c>
      <c r="AS131" t="s">
        <v>2548</v>
      </c>
      <c r="AT131">
        <v>50</v>
      </c>
      <c r="AU131">
        <v>48</v>
      </c>
      <c r="AV131">
        <v>346</v>
      </c>
      <c r="AW131">
        <v>445</v>
      </c>
      <c r="AX131" t="s">
        <v>3928</v>
      </c>
    </row>
    <row r="132" spans="1:50" x14ac:dyDescent="0.25">
      <c r="A132">
        <v>127</v>
      </c>
      <c r="B132" t="s">
        <v>3157</v>
      </c>
      <c r="C132" t="s">
        <v>92</v>
      </c>
      <c r="D132">
        <v>26</v>
      </c>
      <c r="E132" t="s">
        <v>2504</v>
      </c>
      <c r="F132">
        <v>66</v>
      </c>
      <c r="G132">
        <v>19</v>
      </c>
      <c r="H132">
        <v>26</v>
      </c>
      <c r="I132">
        <v>45</v>
      </c>
      <c r="J132">
        <v>28</v>
      </c>
      <c r="K132">
        <v>-5</v>
      </c>
      <c r="L132">
        <v>13</v>
      </c>
      <c r="M132">
        <v>6</v>
      </c>
      <c r="N132">
        <v>0</v>
      </c>
      <c r="O132">
        <v>3</v>
      </c>
      <c r="P132">
        <v>1</v>
      </c>
      <c r="Q132">
        <v>15</v>
      </c>
      <c r="R132">
        <v>11</v>
      </c>
      <c r="S132">
        <v>0</v>
      </c>
      <c r="T132">
        <v>5</v>
      </c>
      <c r="U132">
        <v>1</v>
      </c>
      <c r="V132">
        <v>28</v>
      </c>
      <c r="W132">
        <v>17</v>
      </c>
      <c r="X132">
        <v>0</v>
      </c>
      <c r="Y132">
        <v>8</v>
      </c>
      <c r="Z132">
        <v>2</v>
      </c>
      <c r="AA132" t="s">
        <v>3929</v>
      </c>
      <c r="AB132" s="24">
        <v>0.78333333333333333</v>
      </c>
      <c r="AC132" s="24">
        <v>0.57916666666666672</v>
      </c>
      <c r="AD132" s="24">
        <v>0.11875000000000001</v>
      </c>
      <c r="AE132" s="24">
        <v>8.5416666666666655E-2</v>
      </c>
      <c r="AF132" t="s">
        <v>3930</v>
      </c>
      <c r="AG132" t="s">
        <v>3931</v>
      </c>
      <c r="AH132" t="s">
        <v>3932</v>
      </c>
      <c r="AI132" t="s">
        <v>3300</v>
      </c>
      <c r="AJ132" t="s">
        <v>3933</v>
      </c>
      <c r="AK132" t="s">
        <v>3934</v>
      </c>
      <c r="AL132" t="s">
        <v>3935</v>
      </c>
      <c r="AM132" t="s">
        <v>3936</v>
      </c>
      <c r="AN132" t="s">
        <v>3937</v>
      </c>
      <c r="AO132" t="s">
        <v>3479</v>
      </c>
      <c r="AP132" t="s">
        <v>3938</v>
      </c>
      <c r="AQ132" t="s">
        <v>3939</v>
      </c>
      <c r="AR132">
        <v>130</v>
      </c>
      <c r="AS132" t="s">
        <v>2954</v>
      </c>
      <c r="AT132">
        <v>46</v>
      </c>
      <c r="AU132">
        <v>30</v>
      </c>
      <c r="AV132">
        <v>583</v>
      </c>
      <c r="AW132">
        <v>539</v>
      </c>
      <c r="AX132" t="s">
        <v>3940</v>
      </c>
    </row>
    <row r="133" spans="1:50" x14ac:dyDescent="0.25">
      <c r="A133">
        <v>128</v>
      </c>
      <c r="B133" t="s">
        <v>3157</v>
      </c>
      <c r="C133" t="s">
        <v>52</v>
      </c>
      <c r="D133">
        <v>28</v>
      </c>
      <c r="E133" t="s">
        <v>2504</v>
      </c>
      <c r="F133">
        <v>65</v>
      </c>
      <c r="G133">
        <v>19</v>
      </c>
      <c r="H133">
        <v>26</v>
      </c>
      <c r="I133">
        <v>45</v>
      </c>
      <c r="J133">
        <v>24</v>
      </c>
      <c r="K133">
        <v>-7</v>
      </c>
      <c r="L133">
        <v>12</v>
      </c>
      <c r="M133">
        <v>7</v>
      </c>
      <c r="N133">
        <v>0</v>
      </c>
      <c r="O133">
        <v>2</v>
      </c>
      <c r="P133">
        <v>1</v>
      </c>
      <c r="Q133">
        <v>10</v>
      </c>
      <c r="R133">
        <v>16</v>
      </c>
      <c r="S133">
        <v>0</v>
      </c>
      <c r="T133">
        <v>8</v>
      </c>
      <c r="U133">
        <v>1</v>
      </c>
      <c r="V133">
        <v>22</v>
      </c>
      <c r="W133">
        <v>23</v>
      </c>
      <c r="X133">
        <v>0</v>
      </c>
      <c r="Y133">
        <v>10</v>
      </c>
      <c r="Z133">
        <v>2</v>
      </c>
      <c r="AA133" t="s">
        <v>3941</v>
      </c>
      <c r="AB133" s="24">
        <v>0.79027777777777775</v>
      </c>
      <c r="AC133" s="24">
        <v>0.65208333333333335</v>
      </c>
      <c r="AD133" s="24">
        <v>0.13333333333333333</v>
      </c>
      <c r="AE133" s="24">
        <v>4.8611111111111112E-3</v>
      </c>
      <c r="AF133" t="s">
        <v>3311</v>
      </c>
      <c r="AG133" t="s">
        <v>3942</v>
      </c>
      <c r="AH133" t="s">
        <v>3382</v>
      </c>
      <c r="AI133" t="s">
        <v>2993</v>
      </c>
      <c r="AJ133" t="s">
        <v>3943</v>
      </c>
      <c r="AK133" t="s">
        <v>3124</v>
      </c>
      <c r="AL133" t="s">
        <v>3123</v>
      </c>
      <c r="AM133" t="s">
        <v>3944</v>
      </c>
      <c r="AN133" t="s">
        <v>3945</v>
      </c>
      <c r="AO133" t="s">
        <v>3151</v>
      </c>
      <c r="AP133" t="s">
        <v>3625</v>
      </c>
      <c r="AQ133" t="s">
        <v>3946</v>
      </c>
      <c r="AR133">
        <v>156</v>
      </c>
      <c r="AS133" t="s">
        <v>2964</v>
      </c>
      <c r="AT133">
        <v>53</v>
      </c>
      <c r="AU133">
        <v>25</v>
      </c>
      <c r="AV133">
        <v>54</v>
      </c>
      <c r="AW133">
        <v>45</v>
      </c>
      <c r="AX133" t="s">
        <v>3947</v>
      </c>
    </row>
    <row r="134" spans="1:50" x14ac:dyDescent="0.25">
      <c r="A134">
        <v>129</v>
      </c>
      <c r="B134" t="s">
        <v>3158</v>
      </c>
      <c r="C134" t="s">
        <v>107</v>
      </c>
      <c r="D134">
        <v>23</v>
      </c>
      <c r="E134" t="s">
        <v>2504</v>
      </c>
      <c r="F134">
        <v>82</v>
      </c>
      <c r="G134">
        <v>16</v>
      </c>
      <c r="H134">
        <v>29</v>
      </c>
      <c r="I134">
        <v>45</v>
      </c>
      <c r="J134">
        <v>16</v>
      </c>
      <c r="K134">
        <v>-10</v>
      </c>
      <c r="L134">
        <v>12</v>
      </c>
      <c r="M134">
        <v>4</v>
      </c>
      <c r="N134">
        <v>0</v>
      </c>
      <c r="O134">
        <v>3</v>
      </c>
      <c r="P134">
        <v>0</v>
      </c>
      <c r="Q134">
        <v>22</v>
      </c>
      <c r="R134">
        <v>6</v>
      </c>
      <c r="S134">
        <v>1</v>
      </c>
      <c r="T134">
        <v>2</v>
      </c>
      <c r="U134">
        <v>0</v>
      </c>
      <c r="V134">
        <v>34</v>
      </c>
      <c r="W134">
        <v>10</v>
      </c>
      <c r="X134">
        <v>1</v>
      </c>
      <c r="Y134">
        <v>5</v>
      </c>
      <c r="Z134">
        <v>0</v>
      </c>
      <c r="AA134" t="s">
        <v>3370</v>
      </c>
      <c r="AB134" s="24">
        <v>0.72083333333333333</v>
      </c>
      <c r="AC134" s="24">
        <v>0.6166666666666667</v>
      </c>
      <c r="AD134" s="24">
        <v>8.819444444444445E-2</v>
      </c>
      <c r="AE134" s="24">
        <v>1.5277777777777777E-2</v>
      </c>
      <c r="AF134" t="s">
        <v>3948</v>
      </c>
      <c r="AG134" t="s">
        <v>3949</v>
      </c>
      <c r="AH134" t="s">
        <v>3950</v>
      </c>
      <c r="AI134" t="s">
        <v>3951</v>
      </c>
      <c r="AJ134" t="s">
        <v>3952</v>
      </c>
      <c r="AK134" t="s">
        <v>3953</v>
      </c>
      <c r="AL134" t="s">
        <v>3517</v>
      </c>
      <c r="AM134" t="s">
        <v>3954</v>
      </c>
      <c r="AN134" t="s">
        <v>3955</v>
      </c>
      <c r="AO134" t="s">
        <v>3513</v>
      </c>
      <c r="AP134" t="s">
        <v>2616</v>
      </c>
      <c r="AQ134" t="s">
        <v>3956</v>
      </c>
      <c r="AR134">
        <v>186</v>
      </c>
      <c r="AS134" t="s">
        <v>2717</v>
      </c>
      <c r="AT134">
        <v>43</v>
      </c>
      <c r="AU134">
        <v>33</v>
      </c>
      <c r="AV134">
        <v>457</v>
      </c>
      <c r="AW134">
        <v>460</v>
      </c>
      <c r="AX134" t="s">
        <v>3957</v>
      </c>
    </row>
    <row r="135" spans="1:50" x14ac:dyDescent="0.25">
      <c r="A135">
        <v>130</v>
      </c>
      <c r="B135" t="s">
        <v>3156</v>
      </c>
      <c r="C135" t="s">
        <v>120</v>
      </c>
      <c r="D135">
        <v>28</v>
      </c>
      <c r="E135" t="s">
        <v>2504</v>
      </c>
      <c r="F135">
        <v>75</v>
      </c>
      <c r="G135">
        <v>16</v>
      </c>
      <c r="H135">
        <v>29</v>
      </c>
      <c r="I135">
        <v>45</v>
      </c>
      <c r="J135">
        <v>38</v>
      </c>
      <c r="K135">
        <v>-1</v>
      </c>
      <c r="L135">
        <v>11</v>
      </c>
      <c r="M135">
        <v>4</v>
      </c>
      <c r="N135">
        <v>1</v>
      </c>
      <c r="O135">
        <v>3</v>
      </c>
      <c r="P135">
        <v>0</v>
      </c>
      <c r="Q135">
        <v>25</v>
      </c>
      <c r="R135">
        <v>4</v>
      </c>
      <c r="S135">
        <v>0</v>
      </c>
      <c r="T135">
        <v>4</v>
      </c>
      <c r="U135">
        <v>1</v>
      </c>
      <c r="V135">
        <v>36</v>
      </c>
      <c r="W135">
        <v>8</v>
      </c>
      <c r="X135">
        <v>1</v>
      </c>
      <c r="Y135">
        <v>7</v>
      </c>
      <c r="Z135">
        <v>1</v>
      </c>
      <c r="AA135" t="s">
        <v>3536</v>
      </c>
      <c r="AB135" s="24">
        <v>0.77708333333333324</v>
      </c>
      <c r="AC135" s="24">
        <v>0.61805555555555558</v>
      </c>
      <c r="AD135" s="24">
        <v>9.375E-2</v>
      </c>
      <c r="AE135" s="24">
        <v>6.5277777777777782E-2</v>
      </c>
      <c r="AF135" t="s">
        <v>3958</v>
      </c>
      <c r="AG135" t="s">
        <v>2881</v>
      </c>
      <c r="AH135" t="s">
        <v>3729</v>
      </c>
      <c r="AI135" t="s">
        <v>3951</v>
      </c>
      <c r="AJ135" t="s">
        <v>3959</v>
      </c>
      <c r="AK135" t="s">
        <v>3960</v>
      </c>
      <c r="AL135" t="s">
        <v>3961</v>
      </c>
      <c r="AM135" t="s">
        <v>3961</v>
      </c>
      <c r="AN135" t="s">
        <v>2585</v>
      </c>
      <c r="AO135" t="s">
        <v>3962</v>
      </c>
      <c r="AP135" t="s">
        <v>3963</v>
      </c>
      <c r="AQ135" t="s">
        <v>2531</v>
      </c>
      <c r="AR135">
        <v>164</v>
      </c>
      <c r="AS135" t="s">
        <v>3964</v>
      </c>
      <c r="AT135">
        <v>139</v>
      </c>
      <c r="AU135">
        <v>29</v>
      </c>
      <c r="AV135">
        <v>689</v>
      </c>
      <c r="AW135">
        <v>477</v>
      </c>
      <c r="AX135" t="s">
        <v>3965</v>
      </c>
    </row>
    <row r="136" spans="1:50" x14ac:dyDescent="0.25">
      <c r="A136">
        <v>131</v>
      </c>
      <c r="B136" t="s">
        <v>3156</v>
      </c>
      <c r="C136" t="s">
        <v>1804</v>
      </c>
      <c r="D136">
        <v>31</v>
      </c>
      <c r="E136" t="s">
        <v>2504</v>
      </c>
      <c r="F136">
        <v>80</v>
      </c>
      <c r="G136">
        <v>14</v>
      </c>
      <c r="H136">
        <v>31</v>
      </c>
      <c r="I136">
        <v>45</v>
      </c>
      <c r="J136">
        <v>33</v>
      </c>
      <c r="K136">
        <v>-8</v>
      </c>
      <c r="L136">
        <v>7</v>
      </c>
      <c r="M136">
        <v>6</v>
      </c>
      <c r="N136">
        <v>1</v>
      </c>
      <c r="O136">
        <v>1</v>
      </c>
      <c r="P136">
        <v>0</v>
      </c>
      <c r="Q136">
        <v>24</v>
      </c>
      <c r="R136">
        <v>6</v>
      </c>
      <c r="S136">
        <v>1</v>
      </c>
      <c r="T136">
        <v>2</v>
      </c>
      <c r="U136">
        <v>1</v>
      </c>
      <c r="V136">
        <v>31</v>
      </c>
      <c r="W136">
        <v>12</v>
      </c>
      <c r="X136">
        <v>2</v>
      </c>
      <c r="Y136">
        <v>3</v>
      </c>
      <c r="Z136">
        <v>1</v>
      </c>
      <c r="AA136" t="s">
        <v>3966</v>
      </c>
      <c r="AB136" s="24">
        <v>0.8208333333333333</v>
      </c>
      <c r="AC136" s="24">
        <v>0.61249999999999993</v>
      </c>
      <c r="AD136" s="24">
        <v>0.10555555555555556</v>
      </c>
      <c r="AE136" s="24">
        <v>9.5138888888888884E-2</v>
      </c>
      <c r="AF136" t="s">
        <v>3967</v>
      </c>
      <c r="AG136" t="s">
        <v>3968</v>
      </c>
      <c r="AH136" t="s">
        <v>2599</v>
      </c>
      <c r="AI136" t="s">
        <v>3969</v>
      </c>
      <c r="AJ136" t="s">
        <v>3054</v>
      </c>
      <c r="AK136" t="s">
        <v>3277</v>
      </c>
      <c r="AL136" t="s">
        <v>2790</v>
      </c>
      <c r="AM136" t="s">
        <v>2790</v>
      </c>
      <c r="AN136" t="s">
        <v>3970</v>
      </c>
      <c r="AO136" t="s">
        <v>3807</v>
      </c>
      <c r="AP136" t="s">
        <v>3971</v>
      </c>
      <c r="AQ136" t="s">
        <v>3972</v>
      </c>
      <c r="AR136">
        <v>126</v>
      </c>
      <c r="AS136" t="s">
        <v>3973</v>
      </c>
      <c r="AT136">
        <v>81</v>
      </c>
      <c r="AU136">
        <v>26</v>
      </c>
      <c r="AV136">
        <v>884</v>
      </c>
      <c r="AW136">
        <v>733</v>
      </c>
      <c r="AX136" t="s">
        <v>3974</v>
      </c>
    </row>
    <row r="137" spans="1:50" x14ac:dyDescent="0.25">
      <c r="A137">
        <v>132</v>
      </c>
      <c r="B137" t="s">
        <v>3156</v>
      </c>
      <c r="C137" t="s">
        <v>1800</v>
      </c>
      <c r="D137">
        <v>28</v>
      </c>
      <c r="E137" t="s">
        <v>2504</v>
      </c>
      <c r="F137">
        <v>65</v>
      </c>
      <c r="G137">
        <v>13</v>
      </c>
      <c r="H137">
        <v>32</v>
      </c>
      <c r="I137">
        <v>45</v>
      </c>
      <c r="J137">
        <v>30</v>
      </c>
      <c r="K137">
        <v>-11</v>
      </c>
      <c r="L137">
        <v>10</v>
      </c>
      <c r="M137">
        <v>3</v>
      </c>
      <c r="N137">
        <v>0</v>
      </c>
      <c r="O137">
        <v>3</v>
      </c>
      <c r="P137">
        <v>0</v>
      </c>
      <c r="Q137">
        <v>20</v>
      </c>
      <c r="R137">
        <v>12</v>
      </c>
      <c r="S137">
        <v>0</v>
      </c>
      <c r="T137">
        <v>5</v>
      </c>
      <c r="U137">
        <v>0</v>
      </c>
      <c r="V137">
        <v>30</v>
      </c>
      <c r="W137">
        <v>15</v>
      </c>
      <c r="X137">
        <v>0</v>
      </c>
      <c r="Y137">
        <v>8</v>
      </c>
      <c r="Z137">
        <v>0</v>
      </c>
      <c r="AA137" t="s">
        <v>2863</v>
      </c>
      <c r="AB137" s="24">
        <v>0.67847222222222225</v>
      </c>
      <c r="AC137" s="24">
        <v>0.56736111111111109</v>
      </c>
      <c r="AD137" s="24">
        <v>0.10972222222222222</v>
      </c>
      <c r="AE137" s="24">
        <v>1.3888888888888889E-3</v>
      </c>
      <c r="AF137" t="s">
        <v>3494</v>
      </c>
      <c r="AG137" t="s">
        <v>2522</v>
      </c>
      <c r="AH137" t="s">
        <v>3975</v>
      </c>
      <c r="AI137" t="s">
        <v>3976</v>
      </c>
      <c r="AJ137" t="s">
        <v>3044</v>
      </c>
      <c r="AK137" t="s">
        <v>3977</v>
      </c>
      <c r="AL137" t="s">
        <v>3978</v>
      </c>
      <c r="AM137" t="s">
        <v>3979</v>
      </c>
      <c r="AN137" t="s">
        <v>3980</v>
      </c>
      <c r="AO137" t="s">
        <v>3981</v>
      </c>
      <c r="AP137" t="s">
        <v>3445</v>
      </c>
      <c r="AQ137" t="s">
        <v>3946</v>
      </c>
      <c r="AR137">
        <v>134</v>
      </c>
      <c r="AS137" t="s">
        <v>3982</v>
      </c>
      <c r="AT137">
        <v>97</v>
      </c>
      <c r="AU137">
        <v>26</v>
      </c>
      <c r="AV137">
        <v>97</v>
      </c>
      <c r="AW137">
        <v>92</v>
      </c>
      <c r="AX137" t="s">
        <v>3983</v>
      </c>
    </row>
    <row r="138" spans="1:50" x14ac:dyDescent="0.25">
      <c r="A138">
        <v>133</v>
      </c>
      <c r="B138" t="s">
        <v>3158</v>
      </c>
      <c r="C138" t="s">
        <v>1802</v>
      </c>
      <c r="D138">
        <v>22</v>
      </c>
      <c r="E138" t="s">
        <v>2504</v>
      </c>
      <c r="F138">
        <v>72</v>
      </c>
      <c r="G138">
        <v>11</v>
      </c>
      <c r="H138">
        <v>34</v>
      </c>
      <c r="I138">
        <v>45</v>
      </c>
      <c r="J138">
        <v>16</v>
      </c>
      <c r="K138">
        <v>-2</v>
      </c>
      <c r="L138">
        <v>8</v>
      </c>
      <c r="M138">
        <v>2</v>
      </c>
      <c r="N138">
        <v>1</v>
      </c>
      <c r="O138">
        <v>0</v>
      </c>
      <c r="P138">
        <v>0</v>
      </c>
      <c r="Q138">
        <v>21</v>
      </c>
      <c r="R138">
        <v>9</v>
      </c>
      <c r="S138">
        <v>4</v>
      </c>
      <c r="T138">
        <v>9</v>
      </c>
      <c r="U138">
        <v>1</v>
      </c>
      <c r="V138">
        <v>29</v>
      </c>
      <c r="W138">
        <v>11</v>
      </c>
      <c r="X138">
        <v>5</v>
      </c>
      <c r="Y138">
        <v>9</v>
      </c>
      <c r="Z138">
        <v>1</v>
      </c>
      <c r="AA138" t="s">
        <v>3905</v>
      </c>
      <c r="AB138" s="24">
        <v>0.75694444444444453</v>
      </c>
      <c r="AC138" s="24">
        <v>0.61388888888888882</v>
      </c>
      <c r="AD138" s="24">
        <v>9.1666666666666674E-2</v>
      </c>
      <c r="AE138" s="24">
        <v>5.1388888888888894E-2</v>
      </c>
      <c r="AF138" t="s">
        <v>3984</v>
      </c>
      <c r="AG138" t="s">
        <v>2737</v>
      </c>
      <c r="AH138" t="s">
        <v>3136</v>
      </c>
      <c r="AI138" t="s">
        <v>3985</v>
      </c>
      <c r="AJ138" t="s">
        <v>2532</v>
      </c>
      <c r="AK138" t="s">
        <v>3986</v>
      </c>
      <c r="AL138" t="s">
        <v>2953</v>
      </c>
      <c r="AM138" t="s">
        <v>3987</v>
      </c>
      <c r="AN138" t="s">
        <v>3988</v>
      </c>
      <c r="AO138" t="s">
        <v>3989</v>
      </c>
      <c r="AP138" t="s">
        <v>3990</v>
      </c>
      <c r="AQ138" t="s">
        <v>3991</v>
      </c>
      <c r="AR138">
        <v>151</v>
      </c>
      <c r="AS138" t="s">
        <v>3823</v>
      </c>
      <c r="AT138">
        <v>99</v>
      </c>
      <c r="AU138">
        <v>43</v>
      </c>
      <c r="AV138">
        <v>353</v>
      </c>
      <c r="AW138">
        <v>282</v>
      </c>
      <c r="AX138" t="s">
        <v>3992</v>
      </c>
    </row>
    <row r="139" spans="1:50" x14ac:dyDescent="0.25">
      <c r="A139">
        <v>134</v>
      </c>
      <c r="B139" t="s">
        <v>3162</v>
      </c>
      <c r="C139" t="s">
        <v>152</v>
      </c>
      <c r="D139">
        <v>22</v>
      </c>
      <c r="E139" t="s">
        <v>1719</v>
      </c>
      <c r="F139">
        <v>79</v>
      </c>
      <c r="G139">
        <v>6</v>
      </c>
      <c r="H139">
        <v>39</v>
      </c>
      <c r="I139">
        <v>45</v>
      </c>
      <c r="J139">
        <v>58</v>
      </c>
      <c r="K139">
        <v>-9</v>
      </c>
      <c r="L139">
        <v>5</v>
      </c>
      <c r="M139">
        <v>1</v>
      </c>
      <c r="N139">
        <v>0</v>
      </c>
      <c r="O139">
        <v>2</v>
      </c>
      <c r="P139">
        <v>2</v>
      </c>
      <c r="Q139">
        <v>14</v>
      </c>
      <c r="R139">
        <v>24</v>
      </c>
      <c r="S139">
        <v>1</v>
      </c>
      <c r="T139">
        <v>6</v>
      </c>
      <c r="U139">
        <v>0</v>
      </c>
      <c r="V139">
        <v>19</v>
      </c>
      <c r="W139">
        <v>25</v>
      </c>
      <c r="X139">
        <v>1</v>
      </c>
      <c r="Y139">
        <v>8</v>
      </c>
      <c r="Z139">
        <v>2</v>
      </c>
      <c r="AA139" t="s">
        <v>3993</v>
      </c>
      <c r="AB139" s="25">
        <v>1.1027777777777776</v>
      </c>
      <c r="AC139" s="24">
        <v>0.84513888888888899</v>
      </c>
      <c r="AD139" s="24">
        <v>0.13263888888888889</v>
      </c>
      <c r="AE139" s="24">
        <v>0.12430555555555556</v>
      </c>
      <c r="AF139" t="s">
        <v>3994</v>
      </c>
      <c r="AG139" t="s">
        <v>3208</v>
      </c>
      <c r="AH139" t="s">
        <v>3995</v>
      </c>
      <c r="AI139" t="s">
        <v>3996</v>
      </c>
      <c r="AJ139" t="s">
        <v>2659</v>
      </c>
      <c r="AK139" t="s">
        <v>3399</v>
      </c>
      <c r="AL139" t="s">
        <v>3997</v>
      </c>
      <c r="AM139" t="s">
        <v>3998</v>
      </c>
      <c r="AN139" t="s">
        <v>3999</v>
      </c>
      <c r="AO139" t="s">
        <v>4000</v>
      </c>
      <c r="AP139" t="s">
        <v>2732</v>
      </c>
      <c r="AQ139" t="s">
        <v>3508</v>
      </c>
      <c r="AR139">
        <v>186</v>
      </c>
      <c r="AS139" t="s">
        <v>4001</v>
      </c>
      <c r="AT139">
        <v>195</v>
      </c>
      <c r="AU139">
        <v>161</v>
      </c>
      <c r="AV139">
        <v>0</v>
      </c>
      <c r="AW139">
        <v>0</v>
      </c>
      <c r="AX139" t="s">
        <v>2579</v>
      </c>
    </row>
    <row r="140" spans="1:50" x14ac:dyDescent="0.25">
      <c r="A140">
        <v>135</v>
      </c>
      <c r="B140" t="s">
        <v>3156</v>
      </c>
      <c r="C140" t="s">
        <v>1808</v>
      </c>
      <c r="D140">
        <v>24</v>
      </c>
      <c r="E140" t="s">
        <v>2504</v>
      </c>
      <c r="F140">
        <v>80</v>
      </c>
      <c r="G140">
        <v>24</v>
      </c>
      <c r="H140">
        <v>20</v>
      </c>
      <c r="I140">
        <v>44</v>
      </c>
      <c r="J140">
        <v>13</v>
      </c>
      <c r="K140">
        <v>5</v>
      </c>
      <c r="L140">
        <v>20</v>
      </c>
      <c r="M140">
        <v>3</v>
      </c>
      <c r="N140">
        <v>1</v>
      </c>
      <c r="O140">
        <v>5</v>
      </c>
      <c r="P140">
        <v>2</v>
      </c>
      <c r="Q140">
        <v>14</v>
      </c>
      <c r="R140">
        <v>5</v>
      </c>
      <c r="S140">
        <v>1</v>
      </c>
      <c r="T140">
        <v>7</v>
      </c>
      <c r="U140">
        <v>3</v>
      </c>
      <c r="V140">
        <v>34</v>
      </c>
      <c r="W140">
        <v>8</v>
      </c>
      <c r="X140">
        <v>2</v>
      </c>
      <c r="Y140">
        <v>12</v>
      </c>
      <c r="Z140">
        <v>5</v>
      </c>
      <c r="AA140" t="s">
        <v>4002</v>
      </c>
      <c r="AB140" s="24">
        <v>0.6791666666666667</v>
      </c>
      <c r="AC140" s="24">
        <v>0.53402777777777777</v>
      </c>
      <c r="AD140" s="24">
        <v>9.9999999999999992E-2</v>
      </c>
      <c r="AE140" s="24">
        <v>4.4444444444444446E-2</v>
      </c>
      <c r="AF140" t="s">
        <v>3274</v>
      </c>
      <c r="AG140" t="s">
        <v>4003</v>
      </c>
      <c r="AH140" t="s">
        <v>3571</v>
      </c>
      <c r="AI140" t="s">
        <v>4004</v>
      </c>
      <c r="AJ140" t="s">
        <v>3019</v>
      </c>
      <c r="AK140" t="s">
        <v>4005</v>
      </c>
      <c r="AL140" t="s">
        <v>2757</v>
      </c>
      <c r="AM140" t="s">
        <v>4006</v>
      </c>
      <c r="AN140" t="s">
        <v>4007</v>
      </c>
      <c r="AO140" t="s">
        <v>3788</v>
      </c>
      <c r="AP140" t="s">
        <v>3036</v>
      </c>
      <c r="AQ140" t="s">
        <v>3081</v>
      </c>
      <c r="AR140">
        <v>187</v>
      </c>
      <c r="AS140" t="s">
        <v>2874</v>
      </c>
      <c r="AT140">
        <v>124</v>
      </c>
      <c r="AU140">
        <v>31</v>
      </c>
      <c r="AV140">
        <v>10</v>
      </c>
      <c r="AW140">
        <v>14</v>
      </c>
      <c r="AX140" t="s">
        <v>4008</v>
      </c>
    </row>
    <row r="141" spans="1:50" x14ac:dyDescent="0.25">
      <c r="A141">
        <v>136</v>
      </c>
      <c r="B141" t="s">
        <v>4135</v>
      </c>
      <c r="C141" t="s">
        <v>1805</v>
      </c>
      <c r="D141">
        <v>25</v>
      </c>
      <c r="E141" t="s">
        <v>2504</v>
      </c>
      <c r="F141">
        <v>82</v>
      </c>
      <c r="G141">
        <v>22</v>
      </c>
      <c r="H141">
        <v>22</v>
      </c>
      <c r="I141">
        <v>44</v>
      </c>
      <c r="J141">
        <v>58</v>
      </c>
      <c r="K141">
        <v>14</v>
      </c>
      <c r="L141">
        <v>18</v>
      </c>
      <c r="M141">
        <v>4</v>
      </c>
      <c r="N141">
        <v>0</v>
      </c>
      <c r="O141">
        <v>5</v>
      </c>
      <c r="P141">
        <v>0</v>
      </c>
      <c r="Q141">
        <v>17</v>
      </c>
      <c r="R141">
        <v>5</v>
      </c>
      <c r="S141">
        <v>0</v>
      </c>
      <c r="T141">
        <v>5</v>
      </c>
      <c r="U141">
        <v>0</v>
      </c>
      <c r="V141">
        <v>35</v>
      </c>
      <c r="W141">
        <v>9</v>
      </c>
      <c r="X141">
        <v>0</v>
      </c>
      <c r="Y141">
        <v>10</v>
      </c>
      <c r="Z141">
        <v>0</v>
      </c>
      <c r="AA141" t="s">
        <v>4009</v>
      </c>
      <c r="AB141" s="24">
        <v>0.61388888888888882</v>
      </c>
      <c r="AC141" s="24">
        <v>0.5444444444444444</v>
      </c>
      <c r="AD141" s="24">
        <v>6.805555555555555E-2</v>
      </c>
      <c r="AE141" s="24">
        <v>0</v>
      </c>
      <c r="AF141" t="s">
        <v>2945</v>
      </c>
      <c r="AG141" t="s">
        <v>2945</v>
      </c>
      <c r="AH141" t="s">
        <v>3021</v>
      </c>
      <c r="AI141" t="s">
        <v>4010</v>
      </c>
      <c r="AJ141" t="s">
        <v>4011</v>
      </c>
      <c r="AK141" t="s">
        <v>4012</v>
      </c>
      <c r="AL141" t="s">
        <v>4013</v>
      </c>
      <c r="AM141" t="s">
        <v>3183</v>
      </c>
      <c r="AN141" t="s">
        <v>4014</v>
      </c>
      <c r="AO141" t="s">
        <v>3139</v>
      </c>
      <c r="AP141" t="s">
        <v>3139</v>
      </c>
      <c r="AQ141" t="s">
        <v>3189</v>
      </c>
      <c r="AR141">
        <v>155</v>
      </c>
      <c r="AS141" t="s">
        <v>2564</v>
      </c>
      <c r="AT141">
        <v>147</v>
      </c>
      <c r="AU141">
        <v>45</v>
      </c>
      <c r="AV141">
        <v>2</v>
      </c>
      <c r="AW141">
        <v>5</v>
      </c>
      <c r="AX141" t="s">
        <v>4015</v>
      </c>
    </row>
    <row r="142" spans="1:50" x14ac:dyDescent="0.25">
      <c r="A142">
        <v>137</v>
      </c>
      <c r="B142" t="s">
        <v>3158</v>
      </c>
      <c r="C142" t="s">
        <v>4016</v>
      </c>
      <c r="D142">
        <v>29</v>
      </c>
      <c r="E142" t="s">
        <v>2504</v>
      </c>
      <c r="F142">
        <v>70</v>
      </c>
      <c r="G142">
        <v>21</v>
      </c>
      <c r="H142">
        <v>23</v>
      </c>
      <c r="I142">
        <v>44</v>
      </c>
      <c r="J142">
        <v>28</v>
      </c>
      <c r="K142">
        <v>16</v>
      </c>
      <c r="L142">
        <v>11</v>
      </c>
      <c r="M142">
        <v>10</v>
      </c>
      <c r="N142">
        <v>0</v>
      </c>
      <c r="O142">
        <v>6</v>
      </c>
      <c r="P142">
        <v>0</v>
      </c>
      <c r="Q142">
        <v>16</v>
      </c>
      <c r="R142">
        <v>7</v>
      </c>
      <c r="S142">
        <v>0</v>
      </c>
      <c r="T142">
        <v>4</v>
      </c>
      <c r="U142">
        <v>0</v>
      </c>
      <c r="V142">
        <v>27</v>
      </c>
      <c r="W142">
        <v>17</v>
      </c>
      <c r="X142">
        <v>0</v>
      </c>
      <c r="Y142">
        <v>10</v>
      </c>
      <c r="Z142">
        <v>0</v>
      </c>
      <c r="AA142" t="s">
        <v>4017</v>
      </c>
      <c r="AB142" s="24">
        <v>0.6645833333333333</v>
      </c>
      <c r="AC142" s="24">
        <v>0.53888888888888886</v>
      </c>
      <c r="AD142" s="24">
        <v>0.125</v>
      </c>
      <c r="AE142" s="24">
        <v>0</v>
      </c>
      <c r="AF142" t="s">
        <v>4018</v>
      </c>
      <c r="AG142" t="s">
        <v>2670</v>
      </c>
      <c r="AH142" t="s">
        <v>3916</v>
      </c>
      <c r="AI142" t="s">
        <v>4019</v>
      </c>
      <c r="AJ142" t="s">
        <v>4020</v>
      </c>
      <c r="AK142" t="s">
        <v>3090</v>
      </c>
      <c r="AL142" t="s">
        <v>4021</v>
      </c>
      <c r="AM142" t="s">
        <v>4022</v>
      </c>
      <c r="AN142" t="s">
        <v>4023</v>
      </c>
      <c r="AO142" t="s">
        <v>3788</v>
      </c>
      <c r="AP142" t="s">
        <v>2939</v>
      </c>
      <c r="AQ142" t="s">
        <v>2702</v>
      </c>
      <c r="AR142">
        <v>223</v>
      </c>
      <c r="AS142" t="s">
        <v>3434</v>
      </c>
      <c r="AT142">
        <v>227</v>
      </c>
      <c r="AU142">
        <v>62</v>
      </c>
      <c r="AV142">
        <v>3</v>
      </c>
      <c r="AW142">
        <v>8</v>
      </c>
      <c r="AX142" t="s">
        <v>4024</v>
      </c>
    </row>
    <row r="143" spans="1:50" x14ac:dyDescent="0.25">
      <c r="A143">
        <v>138</v>
      </c>
      <c r="B143" t="s">
        <v>3161</v>
      </c>
      <c r="C143" t="s">
        <v>4025</v>
      </c>
      <c r="D143">
        <v>28</v>
      </c>
      <c r="E143" t="s">
        <v>2504</v>
      </c>
      <c r="F143">
        <v>82</v>
      </c>
      <c r="G143">
        <v>17</v>
      </c>
      <c r="H143">
        <v>27</v>
      </c>
      <c r="I143">
        <v>44</v>
      </c>
      <c r="J143">
        <v>58</v>
      </c>
      <c r="K143">
        <v>13</v>
      </c>
      <c r="L143">
        <v>12</v>
      </c>
      <c r="M143">
        <v>3</v>
      </c>
      <c r="N143">
        <v>2</v>
      </c>
      <c r="O143">
        <v>1</v>
      </c>
      <c r="P143">
        <v>1</v>
      </c>
      <c r="Q143">
        <v>21</v>
      </c>
      <c r="R143">
        <v>5</v>
      </c>
      <c r="S143">
        <v>1</v>
      </c>
      <c r="T143">
        <v>11</v>
      </c>
      <c r="U143">
        <v>3</v>
      </c>
      <c r="V143">
        <v>33</v>
      </c>
      <c r="W143">
        <v>8</v>
      </c>
      <c r="X143">
        <v>3</v>
      </c>
      <c r="Y143">
        <v>12</v>
      </c>
      <c r="Z143">
        <v>4</v>
      </c>
      <c r="AA143" t="s">
        <v>4002</v>
      </c>
      <c r="AB143" s="24">
        <v>0.71111111111111114</v>
      </c>
      <c r="AC143" s="24">
        <v>0.57708333333333328</v>
      </c>
      <c r="AD143" s="24">
        <v>4.9305555555555554E-2</v>
      </c>
      <c r="AE143" s="24">
        <v>8.4722222222222213E-2</v>
      </c>
      <c r="AF143" t="s">
        <v>4026</v>
      </c>
      <c r="AG143" t="s">
        <v>2824</v>
      </c>
      <c r="AH143" t="s">
        <v>2627</v>
      </c>
      <c r="AI143" t="s">
        <v>4027</v>
      </c>
      <c r="AJ143" t="s">
        <v>4028</v>
      </c>
      <c r="AK143" t="s">
        <v>4029</v>
      </c>
      <c r="AL143" t="s">
        <v>4030</v>
      </c>
      <c r="AM143" t="s">
        <v>4031</v>
      </c>
      <c r="AN143" t="s">
        <v>4032</v>
      </c>
      <c r="AO143" t="s">
        <v>2844</v>
      </c>
      <c r="AP143" t="s">
        <v>2939</v>
      </c>
      <c r="AQ143" t="s">
        <v>3189</v>
      </c>
      <c r="AR143">
        <v>202</v>
      </c>
      <c r="AS143" t="s">
        <v>3495</v>
      </c>
      <c r="AT143">
        <v>60</v>
      </c>
      <c r="AU143">
        <v>48</v>
      </c>
      <c r="AV143">
        <v>13</v>
      </c>
      <c r="AW143">
        <v>16</v>
      </c>
      <c r="AX143" t="s">
        <v>4033</v>
      </c>
    </row>
    <row r="144" spans="1:50" x14ac:dyDescent="0.25">
      <c r="A144">
        <v>139</v>
      </c>
      <c r="B144" t="s">
        <v>3157</v>
      </c>
      <c r="C144" t="s">
        <v>37</v>
      </c>
      <c r="D144">
        <v>22</v>
      </c>
      <c r="E144" t="s">
        <v>2504</v>
      </c>
      <c r="F144">
        <v>61</v>
      </c>
      <c r="G144">
        <v>17</v>
      </c>
      <c r="H144">
        <v>27</v>
      </c>
      <c r="I144">
        <v>44</v>
      </c>
      <c r="J144">
        <v>24</v>
      </c>
      <c r="K144">
        <v>-5</v>
      </c>
      <c r="L144">
        <v>11</v>
      </c>
      <c r="M144">
        <v>6</v>
      </c>
      <c r="N144">
        <v>0</v>
      </c>
      <c r="O144">
        <v>6</v>
      </c>
      <c r="P144">
        <v>5</v>
      </c>
      <c r="Q144">
        <v>18</v>
      </c>
      <c r="R144">
        <v>9</v>
      </c>
      <c r="S144">
        <v>0</v>
      </c>
      <c r="T144">
        <v>6</v>
      </c>
      <c r="U144">
        <v>1</v>
      </c>
      <c r="V144">
        <v>29</v>
      </c>
      <c r="W144">
        <v>15</v>
      </c>
      <c r="X144">
        <v>0</v>
      </c>
      <c r="Y144">
        <v>12</v>
      </c>
      <c r="Z144">
        <v>6</v>
      </c>
      <c r="AA144" t="s">
        <v>4034</v>
      </c>
      <c r="AB144" s="24">
        <v>0.66319444444444442</v>
      </c>
      <c r="AC144" s="24">
        <v>0.56666666666666665</v>
      </c>
      <c r="AD144" s="24">
        <v>9.4444444444444442E-2</v>
      </c>
      <c r="AE144" s="24">
        <v>1.3888888888888889E-3</v>
      </c>
      <c r="AF144" t="s">
        <v>4035</v>
      </c>
      <c r="AG144" t="s">
        <v>3885</v>
      </c>
      <c r="AH144" t="s">
        <v>4036</v>
      </c>
      <c r="AI144" t="s">
        <v>3804</v>
      </c>
      <c r="AJ144" t="s">
        <v>3739</v>
      </c>
      <c r="AK144" t="s">
        <v>4037</v>
      </c>
      <c r="AL144" t="s">
        <v>2852</v>
      </c>
      <c r="AM144" t="s">
        <v>4038</v>
      </c>
      <c r="AN144" t="s">
        <v>4039</v>
      </c>
      <c r="AO144" t="s">
        <v>4040</v>
      </c>
      <c r="AP144" t="s">
        <v>4041</v>
      </c>
      <c r="AQ144" t="s">
        <v>3240</v>
      </c>
      <c r="AR144">
        <v>104</v>
      </c>
      <c r="AS144" t="s">
        <v>3318</v>
      </c>
      <c r="AT144">
        <v>36</v>
      </c>
      <c r="AU144">
        <v>32</v>
      </c>
      <c r="AV144">
        <v>273</v>
      </c>
      <c r="AW144">
        <v>368</v>
      </c>
      <c r="AX144" t="s">
        <v>4042</v>
      </c>
    </row>
    <row r="145" spans="1:50" x14ac:dyDescent="0.25">
      <c r="A145">
        <v>140</v>
      </c>
      <c r="B145" t="s">
        <v>3158</v>
      </c>
      <c r="C145" t="s">
        <v>56</v>
      </c>
      <c r="D145">
        <v>36</v>
      </c>
      <c r="E145" t="s">
        <v>2504</v>
      </c>
      <c r="F145">
        <v>82</v>
      </c>
      <c r="G145">
        <v>15</v>
      </c>
      <c r="H145">
        <v>29</v>
      </c>
      <c r="I145">
        <v>44</v>
      </c>
      <c r="J145">
        <v>32</v>
      </c>
      <c r="K145">
        <v>-16</v>
      </c>
      <c r="L145">
        <v>9</v>
      </c>
      <c r="M145">
        <v>6</v>
      </c>
      <c r="N145">
        <v>0</v>
      </c>
      <c r="O145">
        <v>3</v>
      </c>
      <c r="P145">
        <v>1</v>
      </c>
      <c r="Q145">
        <v>21</v>
      </c>
      <c r="R145">
        <v>8</v>
      </c>
      <c r="S145">
        <v>0</v>
      </c>
      <c r="T145">
        <v>5</v>
      </c>
      <c r="U145">
        <v>2</v>
      </c>
      <c r="V145">
        <v>30</v>
      </c>
      <c r="W145">
        <v>14</v>
      </c>
      <c r="X145">
        <v>0</v>
      </c>
      <c r="Y145">
        <v>8</v>
      </c>
      <c r="Z145">
        <v>3</v>
      </c>
      <c r="AA145" t="s">
        <v>4043</v>
      </c>
      <c r="AB145" s="24">
        <v>0.76597222222222217</v>
      </c>
      <c r="AC145" s="24">
        <v>0.63958333333333328</v>
      </c>
      <c r="AD145" s="24">
        <v>0.12152777777777778</v>
      </c>
      <c r="AE145" s="24">
        <v>4.8611111111111112E-3</v>
      </c>
      <c r="AF145" t="s">
        <v>3037</v>
      </c>
      <c r="AG145" t="s">
        <v>3765</v>
      </c>
      <c r="AH145" t="s">
        <v>2696</v>
      </c>
      <c r="AI145" t="s">
        <v>4044</v>
      </c>
      <c r="AJ145" t="s">
        <v>3046</v>
      </c>
      <c r="AK145" t="s">
        <v>4045</v>
      </c>
      <c r="AL145" t="s">
        <v>4046</v>
      </c>
      <c r="AM145" t="s">
        <v>4047</v>
      </c>
      <c r="AN145" t="s">
        <v>4048</v>
      </c>
      <c r="AO145" t="s">
        <v>3706</v>
      </c>
      <c r="AP145" t="s">
        <v>2616</v>
      </c>
      <c r="AQ145" t="s">
        <v>3189</v>
      </c>
      <c r="AR145">
        <v>216</v>
      </c>
      <c r="AS145" t="s">
        <v>4049</v>
      </c>
      <c r="AT145">
        <v>20</v>
      </c>
      <c r="AU145">
        <v>18</v>
      </c>
      <c r="AV145">
        <v>3</v>
      </c>
      <c r="AW145">
        <v>3</v>
      </c>
      <c r="AX145" t="s">
        <v>2647</v>
      </c>
    </row>
    <row r="146" spans="1:50" x14ac:dyDescent="0.25">
      <c r="A146">
        <v>141</v>
      </c>
      <c r="B146" t="s">
        <v>3156</v>
      </c>
      <c r="C146" t="s">
        <v>103</v>
      </c>
      <c r="D146">
        <v>27</v>
      </c>
      <c r="E146" t="s">
        <v>1719</v>
      </c>
      <c r="F146">
        <v>82</v>
      </c>
      <c r="G146">
        <v>12</v>
      </c>
      <c r="H146">
        <v>32</v>
      </c>
      <c r="I146">
        <v>44</v>
      </c>
      <c r="J146">
        <v>46</v>
      </c>
      <c r="K146">
        <v>8</v>
      </c>
      <c r="L146">
        <v>7</v>
      </c>
      <c r="M146">
        <v>5</v>
      </c>
      <c r="N146">
        <v>0</v>
      </c>
      <c r="O146">
        <v>1</v>
      </c>
      <c r="P146">
        <v>1</v>
      </c>
      <c r="Q146">
        <v>17</v>
      </c>
      <c r="R146">
        <v>14</v>
      </c>
      <c r="S146">
        <v>1</v>
      </c>
      <c r="T146">
        <v>9</v>
      </c>
      <c r="U146">
        <v>4</v>
      </c>
      <c r="V146">
        <v>24</v>
      </c>
      <c r="W146">
        <v>19</v>
      </c>
      <c r="X146">
        <v>1</v>
      </c>
      <c r="Y146">
        <v>10</v>
      </c>
      <c r="Z146">
        <v>5</v>
      </c>
      <c r="AA146" t="s">
        <v>4050</v>
      </c>
      <c r="AB146" s="25">
        <v>1.1291666666666667</v>
      </c>
      <c r="AC146" s="24">
        <v>0.88611111111111107</v>
      </c>
      <c r="AD146" s="24">
        <v>0.13749999999999998</v>
      </c>
      <c r="AE146" s="24">
        <v>0.10555555555555556</v>
      </c>
      <c r="AF146" t="s">
        <v>4051</v>
      </c>
      <c r="AG146" t="s">
        <v>3776</v>
      </c>
      <c r="AH146" t="s">
        <v>2532</v>
      </c>
      <c r="AI146" t="s">
        <v>3617</v>
      </c>
      <c r="AJ146" t="s">
        <v>2617</v>
      </c>
      <c r="AK146" t="s">
        <v>3207</v>
      </c>
      <c r="AL146" t="s">
        <v>4052</v>
      </c>
      <c r="AM146" t="s">
        <v>4053</v>
      </c>
      <c r="AN146" t="s">
        <v>4054</v>
      </c>
      <c r="AO146" t="s">
        <v>4055</v>
      </c>
      <c r="AP146" t="s">
        <v>2872</v>
      </c>
      <c r="AQ146" t="s">
        <v>3189</v>
      </c>
      <c r="AR146">
        <v>181</v>
      </c>
      <c r="AS146" t="s">
        <v>4056</v>
      </c>
      <c r="AT146">
        <v>129</v>
      </c>
      <c r="AU146">
        <v>109</v>
      </c>
      <c r="AV146">
        <v>1</v>
      </c>
      <c r="AW146">
        <v>0</v>
      </c>
      <c r="AX146" t="s">
        <v>3783</v>
      </c>
    </row>
    <row r="147" spans="1:50" x14ac:dyDescent="0.25">
      <c r="A147">
        <v>142</v>
      </c>
      <c r="B147" t="s">
        <v>3156</v>
      </c>
      <c r="C147" t="s">
        <v>462</v>
      </c>
      <c r="D147">
        <v>25</v>
      </c>
      <c r="E147" t="s">
        <v>2504</v>
      </c>
      <c r="F147">
        <v>70</v>
      </c>
      <c r="G147">
        <v>28</v>
      </c>
      <c r="H147">
        <v>15</v>
      </c>
      <c r="I147">
        <v>43</v>
      </c>
      <c r="J147">
        <v>113</v>
      </c>
      <c r="K147">
        <v>-17</v>
      </c>
      <c r="L147">
        <v>25</v>
      </c>
      <c r="M147">
        <v>3</v>
      </c>
      <c r="N147">
        <v>0</v>
      </c>
      <c r="O147">
        <v>5</v>
      </c>
      <c r="P147">
        <v>1</v>
      </c>
      <c r="Q147">
        <v>10</v>
      </c>
      <c r="R147">
        <v>5</v>
      </c>
      <c r="S147">
        <v>0</v>
      </c>
      <c r="T147">
        <v>3</v>
      </c>
      <c r="U147">
        <v>1</v>
      </c>
      <c r="V147">
        <v>35</v>
      </c>
      <c r="W147">
        <v>8</v>
      </c>
      <c r="X147">
        <v>0</v>
      </c>
      <c r="Y147">
        <v>8</v>
      </c>
      <c r="Z147">
        <v>2</v>
      </c>
      <c r="AA147" t="s">
        <v>3128</v>
      </c>
      <c r="AB147" s="24">
        <v>0.79999999999999993</v>
      </c>
      <c r="AC147" s="24">
        <v>0.67083333333333339</v>
      </c>
      <c r="AD147" s="24">
        <v>7.3611111111111113E-2</v>
      </c>
      <c r="AE147" s="24">
        <v>5.4166666666666669E-2</v>
      </c>
      <c r="AF147" t="s">
        <v>4057</v>
      </c>
      <c r="AG147" t="s">
        <v>3174</v>
      </c>
      <c r="AH147" t="s">
        <v>3365</v>
      </c>
      <c r="AI147" t="s">
        <v>4058</v>
      </c>
      <c r="AJ147" t="s">
        <v>2701</v>
      </c>
      <c r="AK147" t="s">
        <v>2656</v>
      </c>
      <c r="AL147" t="s">
        <v>4059</v>
      </c>
      <c r="AM147" t="s">
        <v>4060</v>
      </c>
      <c r="AN147" t="s">
        <v>4061</v>
      </c>
      <c r="AO147" t="s">
        <v>3625</v>
      </c>
      <c r="AP147" t="s">
        <v>4062</v>
      </c>
      <c r="AQ147" t="s">
        <v>4063</v>
      </c>
      <c r="AR147">
        <v>260</v>
      </c>
      <c r="AS147" t="s">
        <v>2888</v>
      </c>
      <c r="AT147">
        <v>109</v>
      </c>
      <c r="AU147">
        <v>29</v>
      </c>
      <c r="AV147">
        <v>55</v>
      </c>
      <c r="AW147">
        <v>67</v>
      </c>
      <c r="AX147" t="s">
        <v>4064</v>
      </c>
    </row>
    <row r="148" spans="1:50" x14ac:dyDescent="0.25">
      <c r="A148">
        <v>143</v>
      </c>
      <c r="B148" t="s">
        <v>3156</v>
      </c>
      <c r="C148" t="s">
        <v>1811</v>
      </c>
      <c r="D148">
        <v>27</v>
      </c>
      <c r="E148" t="s">
        <v>2504</v>
      </c>
      <c r="F148">
        <v>81</v>
      </c>
      <c r="G148">
        <v>22</v>
      </c>
      <c r="H148">
        <v>21</v>
      </c>
      <c r="I148">
        <v>43</v>
      </c>
      <c r="J148">
        <v>29</v>
      </c>
      <c r="K148">
        <v>21</v>
      </c>
      <c r="L148">
        <v>21</v>
      </c>
      <c r="M148">
        <v>0</v>
      </c>
      <c r="N148">
        <v>1</v>
      </c>
      <c r="O148">
        <v>6</v>
      </c>
      <c r="P148">
        <v>1</v>
      </c>
      <c r="Q148">
        <v>17</v>
      </c>
      <c r="R148">
        <v>4</v>
      </c>
      <c r="S148">
        <v>0</v>
      </c>
      <c r="T148">
        <v>3</v>
      </c>
      <c r="U148">
        <v>0</v>
      </c>
      <c r="V148">
        <v>38</v>
      </c>
      <c r="W148">
        <v>4</v>
      </c>
      <c r="X148">
        <v>1</v>
      </c>
      <c r="Y148">
        <v>9</v>
      </c>
      <c r="Z148">
        <v>1</v>
      </c>
      <c r="AA148" t="s">
        <v>4065</v>
      </c>
      <c r="AB148" s="24">
        <v>0.62708333333333333</v>
      </c>
      <c r="AC148" s="24">
        <v>0.52222222222222225</v>
      </c>
      <c r="AD148" s="24">
        <v>2.2222222222222223E-2</v>
      </c>
      <c r="AE148" s="24">
        <v>8.1944444444444445E-2</v>
      </c>
      <c r="AF148" t="s">
        <v>4066</v>
      </c>
      <c r="AG148" t="s">
        <v>3118</v>
      </c>
      <c r="AH148" t="s">
        <v>4067</v>
      </c>
      <c r="AI148" t="s">
        <v>4068</v>
      </c>
      <c r="AJ148" t="s">
        <v>4069</v>
      </c>
      <c r="AK148" t="s">
        <v>3333</v>
      </c>
      <c r="AL148" t="s">
        <v>3830</v>
      </c>
      <c r="AM148" t="s">
        <v>4070</v>
      </c>
      <c r="AN148" t="s">
        <v>4070</v>
      </c>
      <c r="AO148" t="s">
        <v>2998</v>
      </c>
      <c r="AP148" t="s">
        <v>4071</v>
      </c>
      <c r="AQ148" t="s">
        <v>2804</v>
      </c>
      <c r="AR148">
        <v>96</v>
      </c>
      <c r="AS148" t="s">
        <v>4072</v>
      </c>
      <c r="AT148">
        <v>119</v>
      </c>
      <c r="AU148">
        <v>34</v>
      </c>
      <c r="AV148">
        <v>10</v>
      </c>
      <c r="AW148">
        <v>5</v>
      </c>
      <c r="AX148" t="s">
        <v>2759</v>
      </c>
    </row>
    <row r="149" spans="1:50" x14ac:dyDescent="0.25">
      <c r="A149">
        <v>144</v>
      </c>
      <c r="B149" t="s">
        <v>3156</v>
      </c>
      <c r="C149" t="s">
        <v>693</v>
      </c>
      <c r="D149">
        <v>23</v>
      </c>
      <c r="E149" t="s">
        <v>2504</v>
      </c>
      <c r="F149">
        <v>82</v>
      </c>
      <c r="G149">
        <v>18</v>
      </c>
      <c r="H149">
        <v>25</v>
      </c>
      <c r="I149">
        <v>43</v>
      </c>
      <c r="J149">
        <v>29</v>
      </c>
      <c r="K149">
        <v>-10</v>
      </c>
      <c r="L149">
        <v>13</v>
      </c>
      <c r="M149">
        <v>5</v>
      </c>
      <c r="N149">
        <v>0</v>
      </c>
      <c r="O149">
        <v>4</v>
      </c>
      <c r="P149">
        <v>1</v>
      </c>
      <c r="Q149">
        <v>19</v>
      </c>
      <c r="R149">
        <v>6</v>
      </c>
      <c r="S149">
        <v>0</v>
      </c>
      <c r="T149">
        <v>5</v>
      </c>
      <c r="U149">
        <v>0</v>
      </c>
      <c r="V149">
        <v>32</v>
      </c>
      <c r="W149">
        <v>11</v>
      </c>
      <c r="X149">
        <v>0</v>
      </c>
      <c r="Y149">
        <v>9</v>
      </c>
      <c r="Z149">
        <v>1</v>
      </c>
      <c r="AA149" t="s">
        <v>4073</v>
      </c>
      <c r="AB149" s="24">
        <v>0.7368055555555556</v>
      </c>
      <c r="AC149" s="24">
        <v>0.5854166666666667</v>
      </c>
      <c r="AD149" s="24">
        <v>7.8472222222222221E-2</v>
      </c>
      <c r="AE149" s="24">
        <v>7.2222222222222229E-2</v>
      </c>
      <c r="AF149" t="s">
        <v>4074</v>
      </c>
      <c r="AG149" t="s">
        <v>3122</v>
      </c>
      <c r="AH149" t="s">
        <v>4075</v>
      </c>
      <c r="AI149" t="s">
        <v>3339</v>
      </c>
      <c r="AJ149" t="s">
        <v>4076</v>
      </c>
      <c r="AK149" t="s">
        <v>4077</v>
      </c>
      <c r="AL149" t="s">
        <v>4078</v>
      </c>
      <c r="AM149" t="s">
        <v>4079</v>
      </c>
      <c r="AN149" t="s">
        <v>4080</v>
      </c>
      <c r="AO149" t="s">
        <v>3244</v>
      </c>
      <c r="AP149" t="s">
        <v>2926</v>
      </c>
      <c r="AQ149" t="s">
        <v>2659</v>
      </c>
      <c r="AR149">
        <v>200</v>
      </c>
      <c r="AS149" t="s">
        <v>4081</v>
      </c>
      <c r="AT149">
        <v>47</v>
      </c>
      <c r="AU149">
        <v>35</v>
      </c>
      <c r="AV149">
        <v>556</v>
      </c>
      <c r="AW149">
        <v>712</v>
      </c>
      <c r="AX149" t="s">
        <v>4082</v>
      </c>
    </row>
    <row r="150" spans="1:50" x14ac:dyDescent="0.25">
      <c r="A150">
        <v>145</v>
      </c>
      <c r="B150" t="s">
        <v>3157</v>
      </c>
      <c r="C150" t="s">
        <v>1809</v>
      </c>
      <c r="D150">
        <v>26</v>
      </c>
      <c r="E150" t="s">
        <v>1719</v>
      </c>
      <c r="F150">
        <v>82</v>
      </c>
      <c r="G150">
        <v>9</v>
      </c>
      <c r="H150">
        <v>34</v>
      </c>
      <c r="I150">
        <v>43</v>
      </c>
      <c r="J150">
        <v>34</v>
      </c>
      <c r="K150">
        <v>24</v>
      </c>
      <c r="L150">
        <v>7</v>
      </c>
      <c r="M150">
        <v>2</v>
      </c>
      <c r="N150">
        <v>0</v>
      </c>
      <c r="O150">
        <v>2</v>
      </c>
      <c r="P150">
        <v>2</v>
      </c>
      <c r="Q150">
        <v>23</v>
      </c>
      <c r="R150">
        <v>11</v>
      </c>
      <c r="S150">
        <v>0</v>
      </c>
      <c r="T150">
        <v>9</v>
      </c>
      <c r="U150">
        <v>2</v>
      </c>
      <c r="V150">
        <v>30</v>
      </c>
      <c r="W150">
        <v>13</v>
      </c>
      <c r="X150">
        <v>0</v>
      </c>
      <c r="Y150">
        <v>11</v>
      </c>
      <c r="Z150">
        <v>4</v>
      </c>
      <c r="AA150" t="s">
        <v>3448</v>
      </c>
      <c r="AB150" s="24">
        <v>0.8965277777777777</v>
      </c>
      <c r="AC150" s="24">
        <v>0.77222222222222225</v>
      </c>
      <c r="AD150" s="24">
        <v>0.10625</v>
      </c>
      <c r="AE150" s="24">
        <v>1.4583333333333332E-2</v>
      </c>
      <c r="AF150" t="s">
        <v>4083</v>
      </c>
      <c r="AG150" t="s">
        <v>4084</v>
      </c>
      <c r="AH150" t="s">
        <v>4085</v>
      </c>
      <c r="AI150" t="s">
        <v>4086</v>
      </c>
      <c r="AJ150" t="s">
        <v>3374</v>
      </c>
      <c r="AK150" t="s">
        <v>2868</v>
      </c>
      <c r="AL150" t="s">
        <v>4087</v>
      </c>
      <c r="AM150" t="s">
        <v>4088</v>
      </c>
      <c r="AN150" t="s">
        <v>4089</v>
      </c>
      <c r="AO150" t="s">
        <v>4090</v>
      </c>
      <c r="AP150" t="s">
        <v>2545</v>
      </c>
      <c r="AQ150" t="s">
        <v>2659</v>
      </c>
      <c r="AR150">
        <v>127</v>
      </c>
      <c r="AS150" t="s">
        <v>4091</v>
      </c>
      <c r="AT150">
        <v>69</v>
      </c>
      <c r="AU150">
        <v>83</v>
      </c>
      <c r="AV150">
        <v>0</v>
      </c>
      <c r="AW150">
        <v>0</v>
      </c>
      <c r="AX150" t="s">
        <v>2579</v>
      </c>
    </row>
    <row r="151" spans="1:50" x14ac:dyDescent="0.25">
      <c r="A151">
        <v>146</v>
      </c>
      <c r="B151" t="s">
        <v>3157</v>
      </c>
      <c r="C151" t="s">
        <v>1813</v>
      </c>
      <c r="D151">
        <v>28</v>
      </c>
      <c r="E151" t="s">
        <v>2504</v>
      </c>
      <c r="F151">
        <v>81</v>
      </c>
      <c r="G151">
        <v>27</v>
      </c>
      <c r="H151">
        <v>15</v>
      </c>
      <c r="I151">
        <v>42</v>
      </c>
      <c r="J151">
        <v>95</v>
      </c>
      <c r="K151">
        <v>13</v>
      </c>
      <c r="L151">
        <v>24</v>
      </c>
      <c r="M151">
        <v>3</v>
      </c>
      <c r="N151">
        <v>0</v>
      </c>
      <c r="O151">
        <v>5</v>
      </c>
      <c r="P151">
        <v>0</v>
      </c>
      <c r="Q151">
        <v>12</v>
      </c>
      <c r="R151">
        <v>3</v>
      </c>
      <c r="S151">
        <v>0</v>
      </c>
      <c r="T151">
        <v>0</v>
      </c>
      <c r="U151">
        <v>0</v>
      </c>
      <c r="V151">
        <v>36</v>
      </c>
      <c r="W151">
        <v>6</v>
      </c>
      <c r="X151">
        <v>0</v>
      </c>
      <c r="Y151">
        <v>5</v>
      </c>
      <c r="Z151">
        <v>0</v>
      </c>
      <c r="AA151" t="s">
        <v>2781</v>
      </c>
      <c r="AB151" s="24">
        <v>0.6972222222222223</v>
      </c>
      <c r="AC151" s="24">
        <v>0.6166666666666667</v>
      </c>
      <c r="AD151" s="24">
        <v>7.9166666666666663E-2</v>
      </c>
      <c r="AE151" s="24">
        <v>6.9444444444444447E-4</v>
      </c>
      <c r="AF151" t="s">
        <v>4092</v>
      </c>
      <c r="AG151" t="s">
        <v>4093</v>
      </c>
      <c r="AH151" t="s">
        <v>3375</v>
      </c>
      <c r="AI151" t="s">
        <v>3711</v>
      </c>
      <c r="AJ151" t="s">
        <v>4094</v>
      </c>
      <c r="AK151" t="s">
        <v>4095</v>
      </c>
      <c r="AL151" t="s">
        <v>2536</v>
      </c>
      <c r="AM151" t="s">
        <v>2536</v>
      </c>
      <c r="AN151" t="s">
        <v>2776</v>
      </c>
      <c r="AO151" t="s">
        <v>3408</v>
      </c>
      <c r="AP151" t="s">
        <v>4096</v>
      </c>
      <c r="AQ151" t="s">
        <v>4097</v>
      </c>
      <c r="AR151">
        <v>178</v>
      </c>
      <c r="AS151" t="s">
        <v>3707</v>
      </c>
      <c r="AT151">
        <v>189</v>
      </c>
      <c r="AU151">
        <v>23</v>
      </c>
      <c r="AV151">
        <v>6</v>
      </c>
      <c r="AW151">
        <v>9</v>
      </c>
      <c r="AX151" t="s">
        <v>3388</v>
      </c>
    </row>
    <row r="152" spans="1:50" x14ac:dyDescent="0.25">
      <c r="A152">
        <v>147</v>
      </c>
      <c r="B152" t="s">
        <v>3157</v>
      </c>
      <c r="C152" t="s">
        <v>105</v>
      </c>
      <c r="D152">
        <v>32</v>
      </c>
      <c r="E152" t="s">
        <v>2504</v>
      </c>
      <c r="F152">
        <v>69</v>
      </c>
      <c r="G152">
        <v>19</v>
      </c>
      <c r="H152">
        <v>23</v>
      </c>
      <c r="I152">
        <v>42</v>
      </c>
      <c r="J152">
        <v>30</v>
      </c>
      <c r="K152">
        <v>-3</v>
      </c>
      <c r="L152">
        <v>13</v>
      </c>
      <c r="M152">
        <v>6</v>
      </c>
      <c r="N152">
        <v>0</v>
      </c>
      <c r="O152">
        <v>4</v>
      </c>
      <c r="P152">
        <v>0</v>
      </c>
      <c r="Q152">
        <v>17</v>
      </c>
      <c r="R152">
        <v>6</v>
      </c>
      <c r="S152">
        <v>0</v>
      </c>
      <c r="T152">
        <v>2</v>
      </c>
      <c r="U152">
        <v>0</v>
      </c>
      <c r="V152">
        <v>30</v>
      </c>
      <c r="W152">
        <v>12</v>
      </c>
      <c r="X152">
        <v>0</v>
      </c>
      <c r="Y152">
        <v>6</v>
      </c>
      <c r="Z152">
        <v>0</v>
      </c>
      <c r="AA152" t="s">
        <v>4098</v>
      </c>
      <c r="AB152" s="24">
        <v>0.72569444444444453</v>
      </c>
      <c r="AC152" s="24">
        <v>0.58680555555555558</v>
      </c>
      <c r="AD152" s="24">
        <v>9.5138888888888884E-2</v>
      </c>
      <c r="AE152" s="24">
        <v>4.3055555555555562E-2</v>
      </c>
      <c r="AF152" t="s">
        <v>3221</v>
      </c>
      <c r="AG152" t="s">
        <v>4099</v>
      </c>
      <c r="AH152" t="s">
        <v>4037</v>
      </c>
      <c r="AI152" t="s">
        <v>4100</v>
      </c>
      <c r="AJ152" t="s">
        <v>2563</v>
      </c>
      <c r="AK152" t="s">
        <v>3436</v>
      </c>
      <c r="AL152" t="s">
        <v>4101</v>
      </c>
      <c r="AM152" t="s">
        <v>4101</v>
      </c>
      <c r="AN152" t="s">
        <v>4102</v>
      </c>
      <c r="AO152" t="s">
        <v>4103</v>
      </c>
      <c r="AP152" t="s">
        <v>3408</v>
      </c>
      <c r="AQ152" t="s">
        <v>3330</v>
      </c>
      <c r="AR152">
        <v>194</v>
      </c>
      <c r="AS152" t="s">
        <v>3964</v>
      </c>
      <c r="AT152">
        <v>46</v>
      </c>
      <c r="AU152">
        <v>69</v>
      </c>
      <c r="AV152">
        <v>8</v>
      </c>
      <c r="AW152">
        <v>5</v>
      </c>
      <c r="AX152" t="s">
        <v>3882</v>
      </c>
    </row>
    <row r="153" spans="1:50" x14ac:dyDescent="0.25">
      <c r="A153">
        <v>148</v>
      </c>
      <c r="B153" t="s">
        <v>3156</v>
      </c>
      <c r="C153" t="s">
        <v>1816</v>
      </c>
      <c r="D153">
        <v>36</v>
      </c>
      <c r="E153" t="s">
        <v>2504</v>
      </c>
      <c r="F153">
        <v>72</v>
      </c>
      <c r="G153">
        <v>18</v>
      </c>
      <c r="H153">
        <v>24</v>
      </c>
      <c r="I153">
        <v>42</v>
      </c>
      <c r="J153">
        <v>55</v>
      </c>
      <c r="K153">
        <v>1</v>
      </c>
      <c r="L153">
        <v>11</v>
      </c>
      <c r="M153">
        <v>7</v>
      </c>
      <c r="N153">
        <v>0</v>
      </c>
      <c r="O153">
        <v>3</v>
      </c>
      <c r="P153">
        <v>0</v>
      </c>
      <c r="Q153">
        <v>14</v>
      </c>
      <c r="R153">
        <v>10</v>
      </c>
      <c r="S153">
        <v>0</v>
      </c>
      <c r="T153">
        <v>2</v>
      </c>
      <c r="U153">
        <v>0</v>
      </c>
      <c r="V153">
        <v>25</v>
      </c>
      <c r="W153">
        <v>17</v>
      </c>
      <c r="X153">
        <v>0</v>
      </c>
      <c r="Y153">
        <v>5</v>
      </c>
      <c r="Z153">
        <v>0</v>
      </c>
      <c r="AA153" t="s">
        <v>4104</v>
      </c>
      <c r="AB153" s="24">
        <v>0.69236111111111109</v>
      </c>
      <c r="AC153" s="24">
        <v>0.52222222222222225</v>
      </c>
      <c r="AD153" s="24">
        <v>9.5833333333333326E-2</v>
      </c>
      <c r="AE153" s="24">
        <v>7.3611111111111113E-2</v>
      </c>
      <c r="AF153" t="s">
        <v>2660</v>
      </c>
      <c r="AG153" t="s">
        <v>4105</v>
      </c>
      <c r="AH153" t="s">
        <v>4106</v>
      </c>
      <c r="AI153" t="s">
        <v>4107</v>
      </c>
      <c r="AJ153" t="s">
        <v>4108</v>
      </c>
      <c r="AK153" t="s">
        <v>3728</v>
      </c>
      <c r="AL153" t="s">
        <v>2553</v>
      </c>
      <c r="AM153" t="s">
        <v>4109</v>
      </c>
      <c r="AN153" t="s">
        <v>4110</v>
      </c>
      <c r="AO153" t="s">
        <v>3036</v>
      </c>
      <c r="AP153" t="s">
        <v>3408</v>
      </c>
      <c r="AQ153" t="s">
        <v>4111</v>
      </c>
      <c r="AR153">
        <v>120</v>
      </c>
      <c r="AS153" t="s">
        <v>4112</v>
      </c>
      <c r="AT153">
        <v>160</v>
      </c>
      <c r="AU153">
        <v>64</v>
      </c>
      <c r="AV153">
        <v>703</v>
      </c>
      <c r="AW153">
        <v>578</v>
      </c>
      <c r="AX153" t="s">
        <v>4113</v>
      </c>
    </row>
    <row r="154" spans="1:50" x14ac:dyDescent="0.25">
      <c r="A154">
        <v>149</v>
      </c>
      <c r="B154" t="s">
        <v>3156</v>
      </c>
      <c r="C154" t="s">
        <v>90</v>
      </c>
      <c r="D154">
        <v>31</v>
      </c>
      <c r="E154" t="s">
        <v>1719</v>
      </c>
      <c r="F154">
        <v>78</v>
      </c>
      <c r="G154">
        <v>17</v>
      </c>
      <c r="H154">
        <v>25</v>
      </c>
      <c r="I154">
        <v>42</v>
      </c>
      <c r="J154">
        <v>38</v>
      </c>
      <c r="K154">
        <v>20</v>
      </c>
      <c r="L154">
        <v>5</v>
      </c>
      <c r="M154">
        <v>12</v>
      </c>
      <c r="N154">
        <v>0</v>
      </c>
      <c r="O154">
        <v>4</v>
      </c>
      <c r="P154">
        <v>0</v>
      </c>
      <c r="Q154">
        <v>13</v>
      </c>
      <c r="R154">
        <v>10</v>
      </c>
      <c r="S154">
        <v>2</v>
      </c>
      <c r="T154">
        <v>7</v>
      </c>
      <c r="U154">
        <v>3</v>
      </c>
      <c r="V154">
        <v>18</v>
      </c>
      <c r="W154">
        <v>22</v>
      </c>
      <c r="X154">
        <v>2</v>
      </c>
      <c r="Y154">
        <v>11</v>
      </c>
      <c r="Z154">
        <v>3</v>
      </c>
      <c r="AA154" t="s">
        <v>4114</v>
      </c>
      <c r="AB154" s="25">
        <v>1.0444444444444445</v>
      </c>
      <c r="AC154" s="24">
        <v>0.78680555555555554</v>
      </c>
      <c r="AD154" s="24">
        <v>0.13402777777777777</v>
      </c>
      <c r="AE154" s="24">
        <v>0.12291666666666667</v>
      </c>
      <c r="AF154" t="s">
        <v>4115</v>
      </c>
      <c r="AG154" t="s">
        <v>3003</v>
      </c>
      <c r="AH154" t="s">
        <v>4116</v>
      </c>
      <c r="AI154" t="s">
        <v>4117</v>
      </c>
      <c r="AJ154" t="s">
        <v>4118</v>
      </c>
      <c r="AK154" t="s">
        <v>4119</v>
      </c>
      <c r="AL154" t="s">
        <v>4120</v>
      </c>
      <c r="AM154" t="s">
        <v>4121</v>
      </c>
      <c r="AN154" t="s">
        <v>4122</v>
      </c>
      <c r="AO154" t="s">
        <v>4123</v>
      </c>
      <c r="AP154" t="s">
        <v>2803</v>
      </c>
      <c r="AQ154" t="s">
        <v>3269</v>
      </c>
      <c r="AR154">
        <v>183</v>
      </c>
      <c r="AS154" t="s">
        <v>4065</v>
      </c>
      <c r="AT154">
        <v>140</v>
      </c>
      <c r="AU154">
        <v>157</v>
      </c>
      <c r="AV154">
        <v>0</v>
      </c>
      <c r="AW154">
        <v>0</v>
      </c>
      <c r="AX154" t="s">
        <v>2579</v>
      </c>
    </row>
    <row r="155" spans="1:50" x14ac:dyDescent="0.25">
      <c r="A155">
        <v>150</v>
      </c>
      <c r="B155" t="s">
        <v>3162</v>
      </c>
      <c r="C155" t="s">
        <v>4124</v>
      </c>
      <c r="D155">
        <v>22</v>
      </c>
      <c r="E155" t="s">
        <v>2504</v>
      </c>
      <c r="F155">
        <v>81</v>
      </c>
      <c r="G155">
        <v>15</v>
      </c>
      <c r="H155">
        <v>27</v>
      </c>
      <c r="I155">
        <v>42</v>
      </c>
      <c r="J155">
        <v>16</v>
      </c>
      <c r="K155">
        <v>-6</v>
      </c>
      <c r="L155">
        <v>10</v>
      </c>
      <c r="M155">
        <v>5</v>
      </c>
      <c r="N155">
        <v>0</v>
      </c>
      <c r="O155">
        <v>2</v>
      </c>
      <c r="P155">
        <v>1</v>
      </c>
      <c r="Q155">
        <v>17</v>
      </c>
      <c r="R155">
        <v>10</v>
      </c>
      <c r="S155">
        <v>0</v>
      </c>
      <c r="T155">
        <v>5</v>
      </c>
      <c r="U155">
        <v>2</v>
      </c>
      <c r="V155">
        <v>27</v>
      </c>
      <c r="W155">
        <v>15</v>
      </c>
      <c r="X155">
        <v>0</v>
      </c>
      <c r="Y155">
        <v>7</v>
      </c>
      <c r="Z155">
        <v>3</v>
      </c>
      <c r="AA155" t="s">
        <v>4125</v>
      </c>
      <c r="AB155" s="24">
        <v>0.67638888888888893</v>
      </c>
      <c r="AC155" s="24">
        <v>0.58263888888888882</v>
      </c>
      <c r="AD155" s="24">
        <v>9.3055555555555558E-2</v>
      </c>
      <c r="AE155" s="24">
        <v>0</v>
      </c>
      <c r="AF155" t="s">
        <v>3594</v>
      </c>
      <c r="AG155" t="s">
        <v>2896</v>
      </c>
      <c r="AH155" t="s">
        <v>4126</v>
      </c>
      <c r="AI155" t="s">
        <v>4118</v>
      </c>
      <c r="AJ155" t="s">
        <v>4127</v>
      </c>
      <c r="AK155" t="s">
        <v>4128</v>
      </c>
      <c r="AL155" t="s">
        <v>4129</v>
      </c>
      <c r="AM155" t="s">
        <v>4130</v>
      </c>
      <c r="AN155" t="s">
        <v>4131</v>
      </c>
      <c r="AO155" t="s">
        <v>4096</v>
      </c>
      <c r="AP155" t="s">
        <v>3408</v>
      </c>
      <c r="AQ155" t="s">
        <v>4097</v>
      </c>
      <c r="AR155">
        <v>169</v>
      </c>
      <c r="AS155" t="s">
        <v>4132</v>
      </c>
      <c r="AT155">
        <v>27</v>
      </c>
      <c r="AU155">
        <v>33</v>
      </c>
      <c r="AV155">
        <v>193</v>
      </c>
      <c r="AW155">
        <v>221</v>
      </c>
      <c r="AX155" t="s">
        <v>4133</v>
      </c>
    </row>
    <row r="156" spans="1:50" x14ac:dyDescent="0.25">
      <c r="A156">
        <v>151</v>
      </c>
      <c r="C156" t="s">
        <v>1814</v>
      </c>
      <c r="D156">
        <v>32</v>
      </c>
      <c r="E156" t="s">
        <v>2504</v>
      </c>
      <c r="F156">
        <v>79</v>
      </c>
      <c r="G156">
        <v>12</v>
      </c>
      <c r="H156">
        <v>30</v>
      </c>
      <c r="I156">
        <v>42</v>
      </c>
      <c r="J156">
        <v>26</v>
      </c>
      <c r="K156">
        <v>-1</v>
      </c>
      <c r="L156">
        <v>12</v>
      </c>
      <c r="M156">
        <v>0</v>
      </c>
      <c r="N156">
        <v>0</v>
      </c>
      <c r="O156">
        <v>1</v>
      </c>
      <c r="P156">
        <v>0</v>
      </c>
      <c r="Q156">
        <v>23</v>
      </c>
      <c r="R156">
        <v>7</v>
      </c>
      <c r="S156">
        <v>0</v>
      </c>
      <c r="T156">
        <v>6</v>
      </c>
      <c r="U156">
        <v>0</v>
      </c>
      <c r="V156">
        <v>35</v>
      </c>
      <c r="W156">
        <v>7</v>
      </c>
      <c r="X156">
        <v>0</v>
      </c>
      <c r="Y156">
        <v>7</v>
      </c>
      <c r="Z156">
        <v>0</v>
      </c>
      <c r="AA156" t="s">
        <v>3234</v>
      </c>
      <c r="AB156" s="24">
        <v>0.72499999999999998</v>
      </c>
      <c r="AC156" s="24">
        <v>0.57361111111111118</v>
      </c>
      <c r="AD156" s="24">
        <v>7.8472222222222221E-2</v>
      </c>
      <c r="AE156" s="24">
        <v>7.2222222222222229E-2</v>
      </c>
      <c r="AF156" t="s">
        <v>2659</v>
      </c>
      <c r="AG156" t="s">
        <v>4136</v>
      </c>
      <c r="AH156" t="s">
        <v>4137</v>
      </c>
      <c r="AI156" t="s">
        <v>4138</v>
      </c>
      <c r="AJ156" t="s">
        <v>4139</v>
      </c>
      <c r="AK156" t="s">
        <v>4140</v>
      </c>
      <c r="AL156" t="s">
        <v>3830</v>
      </c>
      <c r="AM156" t="s">
        <v>3206</v>
      </c>
      <c r="AN156" t="s">
        <v>3206</v>
      </c>
      <c r="AO156" t="s">
        <v>4141</v>
      </c>
      <c r="AP156" t="s">
        <v>3294</v>
      </c>
      <c r="AQ156" t="s">
        <v>2701</v>
      </c>
      <c r="AR156">
        <v>97</v>
      </c>
      <c r="AS156" t="s">
        <v>3337</v>
      </c>
      <c r="AT156">
        <v>26</v>
      </c>
      <c r="AU156">
        <v>39</v>
      </c>
      <c r="AV156">
        <v>556</v>
      </c>
      <c r="AW156">
        <v>606</v>
      </c>
      <c r="AX156" t="s">
        <v>4142</v>
      </c>
    </row>
    <row r="157" spans="1:50" x14ac:dyDescent="0.25">
      <c r="A157">
        <v>152</v>
      </c>
      <c r="B157" t="s">
        <v>3157</v>
      </c>
      <c r="C157" t="s">
        <v>689</v>
      </c>
      <c r="D157">
        <v>22</v>
      </c>
      <c r="E157" t="s">
        <v>1719</v>
      </c>
      <c r="F157">
        <v>75</v>
      </c>
      <c r="G157">
        <v>12</v>
      </c>
      <c r="H157">
        <v>30</v>
      </c>
      <c r="I157">
        <v>42</v>
      </c>
      <c r="J157">
        <v>24</v>
      </c>
      <c r="K157">
        <v>6</v>
      </c>
      <c r="L157">
        <v>11</v>
      </c>
      <c r="M157">
        <v>1</v>
      </c>
      <c r="N157">
        <v>0</v>
      </c>
      <c r="O157">
        <v>3</v>
      </c>
      <c r="P157">
        <v>3</v>
      </c>
      <c r="Q157">
        <v>24</v>
      </c>
      <c r="R157">
        <v>6</v>
      </c>
      <c r="S157">
        <v>0</v>
      </c>
      <c r="T157">
        <v>8</v>
      </c>
      <c r="U157">
        <v>2</v>
      </c>
      <c r="V157">
        <v>35</v>
      </c>
      <c r="W157">
        <v>7</v>
      </c>
      <c r="X157">
        <v>0</v>
      </c>
      <c r="Y157">
        <v>11</v>
      </c>
      <c r="Z157">
        <v>5</v>
      </c>
      <c r="AA157" t="s">
        <v>3234</v>
      </c>
      <c r="AB157" s="24">
        <v>0.97430555555555554</v>
      </c>
      <c r="AC157" s="24">
        <v>0.81666666666666676</v>
      </c>
      <c r="AD157" s="24">
        <v>6.8749999999999992E-2</v>
      </c>
      <c r="AE157" s="24">
        <v>8.819444444444445E-2</v>
      </c>
      <c r="AF157" t="s">
        <v>4143</v>
      </c>
      <c r="AG157" t="s">
        <v>4144</v>
      </c>
      <c r="AH157" t="s">
        <v>4145</v>
      </c>
      <c r="AI157" t="s">
        <v>4146</v>
      </c>
      <c r="AJ157" t="s">
        <v>4147</v>
      </c>
      <c r="AK157" t="s">
        <v>4148</v>
      </c>
      <c r="AL157" t="s">
        <v>2830</v>
      </c>
      <c r="AM157" t="s">
        <v>4149</v>
      </c>
      <c r="AN157" t="s">
        <v>4150</v>
      </c>
      <c r="AO157" t="s">
        <v>3725</v>
      </c>
      <c r="AP157" t="s">
        <v>3625</v>
      </c>
      <c r="AQ157" t="s">
        <v>3820</v>
      </c>
      <c r="AR157">
        <v>152</v>
      </c>
      <c r="AS157" t="s">
        <v>3014</v>
      </c>
      <c r="AT157">
        <v>61</v>
      </c>
      <c r="AU157">
        <v>118</v>
      </c>
      <c r="AV157">
        <v>0</v>
      </c>
      <c r="AW157">
        <v>0</v>
      </c>
      <c r="AX157" t="s">
        <v>2579</v>
      </c>
    </row>
    <row r="158" spans="1:50" x14ac:dyDescent="0.25">
      <c r="A158">
        <v>153</v>
      </c>
      <c r="B158" t="s">
        <v>3157</v>
      </c>
      <c r="C158" t="s">
        <v>685</v>
      </c>
      <c r="D158">
        <v>27</v>
      </c>
      <c r="E158" t="s">
        <v>1719</v>
      </c>
      <c r="F158">
        <v>77</v>
      </c>
      <c r="G158">
        <v>6</v>
      </c>
      <c r="H158">
        <v>36</v>
      </c>
      <c r="I158">
        <v>42</v>
      </c>
      <c r="J158">
        <v>37</v>
      </c>
      <c r="K158">
        <v>20</v>
      </c>
      <c r="L158">
        <v>4</v>
      </c>
      <c r="M158">
        <v>1</v>
      </c>
      <c r="N158">
        <v>1</v>
      </c>
      <c r="O158">
        <v>1</v>
      </c>
      <c r="P158">
        <v>0</v>
      </c>
      <c r="Q158">
        <v>22</v>
      </c>
      <c r="R158">
        <v>14</v>
      </c>
      <c r="S158">
        <v>0</v>
      </c>
      <c r="T158">
        <v>8</v>
      </c>
      <c r="U158">
        <v>2</v>
      </c>
      <c r="V158">
        <v>26</v>
      </c>
      <c r="W158">
        <v>15</v>
      </c>
      <c r="X158">
        <v>1</v>
      </c>
      <c r="Y158">
        <v>9</v>
      </c>
      <c r="Z158">
        <v>2</v>
      </c>
      <c r="AA158" t="s">
        <v>4125</v>
      </c>
      <c r="AB158" s="25">
        <v>1.0145833333333334</v>
      </c>
      <c r="AC158" s="24">
        <v>0.78680555555555554</v>
      </c>
      <c r="AD158" s="24">
        <v>0.12847222222222224</v>
      </c>
      <c r="AE158" s="24">
        <v>9.7916666666666666E-2</v>
      </c>
      <c r="AF158" t="s">
        <v>4151</v>
      </c>
      <c r="AG158" t="s">
        <v>3863</v>
      </c>
      <c r="AH158" t="s">
        <v>4152</v>
      </c>
      <c r="AI158" t="s">
        <v>4153</v>
      </c>
      <c r="AJ158" t="s">
        <v>3374</v>
      </c>
      <c r="AK158" t="s">
        <v>4154</v>
      </c>
      <c r="AL158" t="s">
        <v>4155</v>
      </c>
      <c r="AM158" t="s">
        <v>4156</v>
      </c>
      <c r="AN158" t="s">
        <v>4157</v>
      </c>
      <c r="AO158" t="s">
        <v>4158</v>
      </c>
      <c r="AP158" t="s">
        <v>2938</v>
      </c>
      <c r="AQ158" t="s">
        <v>3026</v>
      </c>
      <c r="AR158">
        <v>153</v>
      </c>
      <c r="AS158" t="s">
        <v>3674</v>
      </c>
      <c r="AT158">
        <v>80</v>
      </c>
      <c r="AU158">
        <v>160</v>
      </c>
      <c r="AV158">
        <v>0</v>
      </c>
      <c r="AW158">
        <v>0</v>
      </c>
      <c r="AX158" t="s">
        <v>2579</v>
      </c>
    </row>
    <row r="159" spans="1:50" x14ac:dyDescent="0.25">
      <c r="A159">
        <v>154</v>
      </c>
      <c r="B159" t="s">
        <v>3156</v>
      </c>
      <c r="C159" t="s">
        <v>60</v>
      </c>
      <c r="D159">
        <v>29</v>
      </c>
      <c r="E159" t="s">
        <v>2504</v>
      </c>
      <c r="F159">
        <v>70</v>
      </c>
      <c r="G159">
        <v>23</v>
      </c>
      <c r="H159">
        <v>18</v>
      </c>
      <c r="I159">
        <v>41</v>
      </c>
      <c r="J159">
        <v>35</v>
      </c>
      <c r="K159">
        <v>-10</v>
      </c>
      <c r="L159">
        <v>18</v>
      </c>
      <c r="M159">
        <v>5</v>
      </c>
      <c r="N159">
        <v>0</v>
      </c>
      <c r="O159">
        <v>5</v>
      </c>
      <c r="P159">
        <v>1</v>
      </c>
      <c r="Q159">
        <v>10</v>
      </c>
      <c r="R159">
        <v>8</v>
      </c>
      <c r="S159">
        <v>0</v>
      </c>
      <c r="T159">
        <v>4</v>
      </c>
      <c r="U159">
        <v>0</v>
      </c>
      <c r="V159">
        <v>28</v>
      </c>
      <c r="W159">
        <v>13</v>
      </c>
      <c r="X159">
        <v>0</v>
      </c>
      <c r="Y159">
        <v>9</v>
      </c>
      <c r="Z159">
        <v>1</v>
      </c>
      <c r="AA159" t="s">
        <v>4159</v>
      </c>
      <c r="AB159" s="24">
        <v>0.7368055555555556</v>
      </c>
      <c r="AC159" s="24">
        <v>0.62013888888888891</v>
      </c>
      <c r="AD159" s="24">
        <v>0.11388888888888889</v>
      </c>
      <c r="AE159" s="24">
        <v>2.0833333333333333E-3</v>
      </c>
      <c r="AF159" t="s">
        <v>4160</v>
      </c>
      <c r="AG159" t="s">
        <v>3639</v>
      </c>
      <c r="AH159" t="s">
        <v>2949</v>
      </c>
      <c r="AI159" t="s">
        <v>3886</v>
      </c>
      <c r="AJ159" t="s">
        <v>3697</v>
      </c>
      <c r="AK159" t="s">
        <v>2979</v>
      </c>
      <c r="AL159" t="s">
        <v>4161</v>
      </c>
      <c r="AM159" t="s">
        <v>4162</v>
      </c>
      <c r="AN159" t="s">
        <v>4163</v>
      </c>
      <c r="AO159" t="s">
        <v>2939</v>
      </c>
      <c r="AP159" t="s">
        <v>4164</v>
      </c>
      <c r="AQ159" t="s">
        <v>4165</v>
      </c>
      <c r="AR159">
        <v>202</v>
      </c>
      <c r="AS159" t="s">
        <v>3432</v>
      </c>
      <c r="AT159">
        <v>84</v>
      </c>
      <c r="AU159">
        <v>18</v>
      </c>
      <c r="AV159">
        <v>3</v>
      </c>
      <c r="AW159">
        <v>3</v>
      </c>
      <c r="AX159" t="s">
        <v>2647</v>
      </c>
    </row>
    <row r="160" spans="1:50" x14ac:dyDescent="0.25">
      <c r="A160">
        <v>155</v>
      </c>
      <c r="B160" t="s">
        <v>3156</v>
      </c>
      <c r="C160" t="s">
        <v>47</v>
      </c>
      <c r="D160">
        <v>25</v>
      </c>
      <c r="E160" t="s">
        <v>2504</v>
      </c>
      <c r="F160">
        <v>77</v>
      </c>
      <c r="G160">
        <v>18</v>
      </c>
      <c r="H160">
        <v>23</v>
      </c>
      <c r="I160">
        <v>41</v>
      </c>
      <c r="J160">
        <v>12</v>
      </c>
      <c r="K160">
        <v>-34</v>
      </c>
      <c r="L160">
        <v>14</v>
      </c>
      <c r="M160">
        <v>3</v>
      </c>
      <c r="N160">
        <v>1</v>
      </c>
      <c r="O160">
        <v>3</v>
      </c>
      <c r="P160">
        <v>1</v>
      </c>
      <c r="Q160">
        <v>17</v>
      </c>
      <c r="R160">
        <v>6</v>
      </c>
      <c r="S160">
        <v>0</v>
      </c>
      <c r="T160">
        <v>4</v>
      </c>
      <c r="U160">
        <v>2</v>
      </c>
      <c r="V160">
        <v>31</v>
      </c>
      <c r="W160">
        <v>9</v>
      </c>
      <c r="X160">
        <v>1</v>
      </c>
      <c r="Y160">
        <v>7</v>
      </c>
      <c r="Z160">
        <v>3</v>
      </c>
      <c r="AA160" t="s">
        <v>4166</v>
      </c>
      <c r="AB160" s="24">
        <v>0.76250000000000007</v>
      </c>
      <c r="AC160" s="24">
        <v>0.61805555555555558</v>
      </c>
      <c r="AD160" s="24">
        <v>0.10416666666666667</v>
      </c>
      <c r="AE160" s="24">
        <v>3.9583333333333331E-2</v>
      </c>
      <c r="AF160" t="s">
        <v>4167</v>
      </c>
      <c r="AG160" t="s">
        <v>4147</v>
      </c>
      <c r="AH160" t="s">
        <v>4168</v>
      </c>
      <c r="AI160" t="s">
        <v>3717</v>
      </c>
      <c r="AJ160" t="s">
        <v>4169</v>
      </c>
      <c r="AK160" t="s">
        <v>4170</v>
      </c>
      <c r="AL160" t="s">
        <v>3214</v>
      </c>
      <c r="AM160" t="s">
        <v>4171</v>
      </c>
      <c r="AN160" t="s">
        <v>2996</v>
      </c>
      <c r="AO160" t="s">
        <v>4172</v>
      </c>
      <c r="AP160" t="s">
        <v>4173</v>
      </c>
      <c r="AQ160" t="s">
        <v>2701</v>
      </c>
      <c r="AR160">
        <v>160</v>
      </c>
      <c r="AS160" t="s">
        <v>3246</v>
      </c>
      <c r="AT160">
        <v>42</v>
      </c>
      <c r="AU160">
        <v>41</v>
      </c>
      <c r="AV160">
        <v>687</v>
      </c>
      <c r="AW160">
        <v>411</v>
      </c>
      <c r="AX160" t="s">
        <v>4174</v>
      </c>
    </row>
    <row r="161" spans="1:50" x14ac:dyDescent="0.25">
      <c r="A161">
        <v>156</v>
      </c>
      <c r="B161" t="s">
        <v>3163</v>
      </c>
      <c r="C161" t="s">
        <v>89</v>
      </c>
      <c r="D161">
        <v>32</v>
      </c>
      <c r="E161" t="s">
        <v>2504</v>
      </c>
      <c r="F161">
        <v>79</v>
      </c>
      <c r="G161">
        <v>17</v>
      </c>
      <c r="H161">
        <v>24</v>
      </c>
      <c r="I161">
        <v>41</v>
      </c>
      <c r="J161">
        <v>18</v>
      </c>
      <c r="K161">
        <v>-19</v>
      </c>
      <c r="L161">
        <v>11</v>
      </c>
      <c r="M161">
        <v>4</v>
      </c>
      <c r="N161">
        <v>2</v>
      </c>
      <c r="O161">
        <v>0</v>
      </c>
      <c r="P161">
        <v>0</v>
      </c>
      <c r="Q161">
        <v>13</v>
      </c>
      <c r="R161">
        <v>11</v>
      </c>
      <c r="S161">
        <v>0</v>
      </c>
      <c r="T161">
        <v>3</v>
      </c>
      <c r="U161">
        <v>1</v>
      </c>
      <c r="V161">
        <v>24</v>
      </c>
      <c r="W161">
        <v>15</v>
      </c>
      <c r="X161">
        <v>2</v>
      </c>
      <c r="Y161">
        <v>3</v>
      </c>
      <c r="Z161">
        <v>1</v>
      </c>
      <c r="AA161" t="s">
        <v>4175</v>
      </c>
      <c r="AB161" s="24">
        <v>0.71319444444444446</v>
      </c>
      <c r="AC161" s="24">
        <v>0.53333333333333333</v>
      </c>
      <c r="AD161" s="24">
        <v>9.9999999999999992E-2</v>
      </c>
      <c r="AE161" s="24">
        <v>7.9166666666666663E-2</v>
      </c>
      <c r="AF161" t="s">
        <v>4176</v>
      </c>
      <c r="AG161" t="s">
        <v>3273</v>
      </c>
      <c r="AH161" t="s">
        <v>4177</v>
      </c>
      <c r="AI161" t="s">
        <v>3133</v>
      </c>
      <c r="AJ161" t="s">
        <v>4178</v>
      </c>
      <c r="AK161" t="s">
        <v>4179</v>
      </c>
      <c r="AL161" t="s">
        <v>4180</v>
      </c>
      <c r="AM161" t="s">
        <v>4181</v>
      </c>
      <c r="AN161" t="s">
        <v>4182</v>
      </c>
      <c r="AO161" t="s">
        <v>3849</v>
      </c>
      <c r="AP161" t="s">
        <v>4183</v>
      </c>
      <c r="AQ161" t="s">
        <v>4097</v>
      </c>
      <c r="AR161">
        <v>162</v>
      </c>
      <c r="AS161" t="s">
        <v>2793</v>
      </c>
      <c r="AT161">
        <v>63</v>
      </c>
      <c r="AU161">
        <v>54</v>
      </c>
      <c r="AV161">
        <v>653</v>
      </c>
      <c r="AW161">
        <v>561</v>
      </c>
      <c r="AX161" t="s">
        <v>4184</v>
      </c>
    </row>
    <row r="162" spans="1:50" x14ac:dyDescent="0.25">
      <c r="A162">
        <v>157</v>
      </c>
      <c r="B162" t="s">
        <v>3157</v>
      </c>
      <c r="C162" t="s">
        <v>133</v>
      </c>
      <c r="D162">
        <v>30</v>
      </c>
      <c r="E162" t="s">
        <v>2504</v>
      </c>
      <c r="F162">
        <v>80</v>
      </c>
      <c r="G162">
        <v>12</v>
      </c>
      <c r="H162">
        <v>29</v>
      </c>
      <c r="I162">
        <v>41</v>
      </c>
      <c r="J162">
        <v>91</v>
      </c>
      <c r="K162">
        <v>16</v>
      </c>
      <c r="L162">
        <v>10</v>
      </c>
      <c r="M162">
        <v>1</v>
      </c>
      <c r="N162">
        <v>1</v>
      </c>
      <c r="O162">
        <v>5</v>
      </c>
      <c r="P162">
        <v>1</v>
      </c>
      <c r="Q162">
        <v>26</v>
      </c>
      <c r="R162">
        <v>3</v>
      </c>
      <c r="S162">
        <v>0</v>
      </c>
      <c r="T162">
        <v>5</v>
      </c>
      <c r="U162">
        <v>3</v>
      </c>
      <c r="V162">
        <v>36</v>
      </c>
      <c r="W162">
        <v>4</v>
      </c>
      <c r="X162">
        <v>1</v>
      </c>
      <c r="Y162">
        <v>10</v>
      </c>
      <c r="Z162">
        <v>4</v>
      </c>
      <c r="AA162" t="s">
        <v>3964</v>
      </c>
      <c r="AB162" s="24">
        <v>0.74513888888888891</v>
      </c>
      <c r="AC162" s="24">
        <v>0.61458333333333337</v>
      </c>
      <c r="AD162" s="24">
        <v>5.9027777777777783E-2</v>
      </c>
      <c r="AE162" s="24">
        <v>7.1527777777777787E-2</v>
      </c>
      <c r="AF162" t="s">
        <v>4185</v>
      </c>
      <c r="AG162" t="s">
        <v>3833</v>
      </c>
      <c r="AH162" t="s">
        <v>4186</v>
      </c>
      <c r="AI162" t="s">
        <v>3557</v>
      </c>
      <c r="AJ162" t="s">
        <v>3426</v>
      </c>
      <c r="AK162" t="s">
        <v>4187</v>
      </c>
      <c r="AL162" t="s">
        <v>3733</v>
      </c>
      <c r="AM162" t="s">
        <v>4188</v>
      </c>
      <c r="AN162" t="s">
        <v>4067</v>
      </c>
      <c r="AO162" t="s">
        <v>3519</v>
      </c>
      <c r="AP162" t="s">
        <v>4189</v>
      </c>
      <c r="AQ162" t="s">
        <v>4190</v>
      </c>
      <c r="AR162">
        <v>115</v>
      </c>
      <c r="AS162" t="s">
        <v>4191</v>
      </c>
      <c r="AT162">
        <v>248</v>
      </c>
      <c r="AU162">
        <v>60</v>
      </c>
      <c r="AV162">
        <v>770</v>
      </c>
      <c r="AW162">
        <v>718</v>
      </c>
      <c r="AX162" t="s">
        <v>4192</v>
      </c>
    </row>
    <row r="163" spans="1:50" x14ac:dyDescent="0.25">
      <c r="A163">
        <v>158</v>
      </c>
      <c r="B163" t="s">
        <v>3157</v>
      </c>
      <c r="C163" t="s">
        <v>675</v>
      </c>
      <c r="D163">
        <v>30</v>
      </c>
      <c r="E163" t="s">
        <v>1719</v>
      </c>
      <c r="F163">
        <v>82</v>
      </c>
      <c r="G163">
        <v>5</v>
      </c>
      <c r="H163">
        <v>36</v>
      </c>
      <c r="I163">
        <v>41</v>
      </c>
      <c r="J163">
        <v>39</v>
      </c>
      <c r="K163">
        <v>-6</v>
      </c>
      <c r="L163">
        <v>3</v>
      </c>
      <c r="M163">
        <v>2</v>
      </c>
      <c r="N163">
        <v>0</v>
      </c>
      <c r="O163">
        <v>0</v>
      </c>
      <c r="P163">
        <v>0</v>
      </c>
      <c r="Q163">
        <v>19</v>
      </c>
      <c r="R163">
        <v>16</v>
      </c>
      <c r="S163">
        <v>1</v>
      </c>
      <c r="T163">
        <v>2</v>
      </c>
      <c r="U163">
        <v>1</v>
      </c>
      <c r="V163">
        <v>22</v>
      </c>
      <c r="W163">
        <v>18</v>
      </c>
      <c r="X163">
        <v>1</v>
      </c>
      <c r="Y163">
        <v>2</v>
      </c>
      <c r="Z163">
        <v>1</v>
      </c>
      <c r="AA163" t="s">
        <v>4193</v>
      </c>
      <c r="AB163" s="24">
        <v>0.91805555555555562</v>
      </c>
      <c r="AC163" s="24">
        <v>0.71875</v>
      </c>
      <c r="AD163" s="24">
        <v>0.12916666666666668</v>
      </c>
      <c r="AE163" s="24">
        <v>7.0833333333333331E-2</v>
      </c>
      <c r="AF163" t="s">
        <v>4194</v>
      </c>
      <c r="AG163" t="s">
        <v>4092</v>
      </c>
      <c r="AH163" t="s">
        <v>4195</v>
      </c>
      <c r="AI163" t="s">
        <v>4196</v>
      </c>
      <c r="AJ163" t="s">
        <v>2873</v>
      </c>
      <c r="AK163" t="s">
        <v>2757</v>
      </c>
      <c r="AL163" t="s">
        <v>4197</v>
      </c>
      <c r="AM163" t="s">
        <v>4198</v>
      </c>
      <c r="AN163" t="s">
        <v>4199</v>
      </c>
      <c r="AO163" t="s">
        <v>4200</v>
      </c>
      <c r="AP163" t="s">
        <v>2644</v>
      </c>
      <c r="AQ163" t="s">
        <v>3013</v>
      </c>
      <c r="AR163">
        <v>178</v>
      </c>
      <c r="AS163" t="s">
        <v>4201</v>
      </c>
      <c r="AT163">
        <v>28</v>
      </c>
      <c r="AU163">
        <v>76</v>
      </c>
      <c r="AV163">
        <v>0</v>
      </c>
      <c r="AW163">
        <v>0</v>
      </c>
      <c r="AX163" t="s">
        <v>2579</v>
      </c>
    </row>
    <row r="164" spans="1:50" x14ac:dyDescent="0.25">
      <c r="A164">
        <v>159</v>
      </c>
      <c r="B164" t="s">
        <v>4134</v>
      </c>
      <c r="C164" t="s">
        <v>1822</v>
      </c>
      <c r="D164">
        <v>29</v>
      </c>
      <c r="E164" t="s">
        <v>2504</v>
      </c>
      <c r="F164">
        <v>76</v>
      </c>
      <c r="G164">
        <v>27</v>
      </c>
      <c r="H164">
        <v>13</v>
      </c>
      <c r="I164">
        <v>40</v>
      </c>
      <c r="J164">
        <v>10</v>
      </c>
      <c r="K164">
        <v>22</v>
      </c>
      <c r="L164">
        <v>26</v>
      </c>
      <c r="M164">
        <v>0</v>
      </c>
      <c r="N164">
        <v>1</v>
      </c>
      <c r="O164">
        <v>3</v>
      </c>
      <c r="P164">
        <v>0</v>
      </c>
      <c r="Q164">
        <v>11</v>
      </c>
      <c r="R164">
        <v>0</v>
      </c>
      <c r="S164">
        <v>2</v>
      </c>
      <c r="T164">
        <v>1</v>
      </c>
      <c r="U164">
        <v>0</v>
      </c>
      <c r="V164">
        <v>37</v>
      </c>
      <c r="W164">
        <v>0</v>
      </c>
      <c r="X164">
        <v>3</v>
      </c>
      <c r="Y164">
        <v>4</v>
      </c>
      <c r="Z164">
        <v>0</v>
      </c>
      <c r="AA164" t="s">
        <v>4202</v>
      </c>
      <c r="AB164" s="24">
        <v>0.58680555555555558</v>
      </c>
      <c r="AC164" s="24">
        <v>0.5131944444444444</v>
      </c>
      <c r="AD164" s="24">
        <v>2.7777777777777779E-3</v>
      </c>
      <c r="AE164" s="24">
        <v>7.013888888888889E-2</v>
      </c>
      <c r="AF164" t="s">
        <v>2746</v>
      </c>
      <c r="AG164" t="s">
        <v>4026</v>
      </c>
      <c r="AH164" t="s">
        <v>4203</v>
      </c>
      <c r="AI164" t="s">
        <v>4204</v>
      </c>
      <c r="AJ164" t="s">
        <v>3281</v>
      </c>
      <c r="AK164" t="s">
        <v>3042</v>
      </c>
      <c r="AL164" t="s">
        <v>3830</v>
      </c>
      <c r="AM164" t="s">
        <v>3830</v>
      </c>
      <c r="AN164" t="s">
        <v>3830</v>
      </c>
      <c r="AO164" t="s">
        <v>3579</v>
      </c>
      <c r="AP164" t="s">
        <v>3049</v>
      </c>
      <c r="AQ164" t="s">
        <v>3510</v>
      </c>
      <c r="AR164">
        <v>162</v>
      </c>
      <c r="AS164" t="s">
        <v>3234</v>
      </c>
      <c r="AT164">
        <v>41</v>
      </c>
      <c r="AU164">
        <v>34</v>
      </c>
      <c r="AV164">
        <v>7</v>
      </c>
      <c r="AW164">
        <v>6</v>
      </c>
      <c r="AX164" t="s">
        <v>4205</v>
      </c>
    </row>
    <row r="165" spans="1:50" x14ac:dyDescent="0.25">
      <c r="A165">
        <v>160</v>
      </c>
      <c r="B165" t="s">
        <v>3156</v>
      </c>
      <c r="C165" t="s">
        <v>98</v>
      </c>
      <c r="D165">
        <v>26</v>
      </c>
      <c r="E165" t="s">
        <v>2504</v>
      </c>
      <c r="F165">
        <v>82</v>
      </c>
      <c r="G165">
        <v>20</v>
      </c>
      <c r="H165">
        <v>20</v>
      </c>
      <c r="I165">
        <v>40</v>
      </c>
      <c r="J165">
        <v>38</v>
      </c>
      <c r="K165">
        <v>-20</v>
      </c>
      <c r="L165">
        <v>12</v>
      </c>
      <c r="M165">
        <v>6</v>
      </c>
      <c r="N165">
        <v>2</v>
      </c>
      <c r="O165">
        <v>2</v>
      </c>
      <c r="P165">
        <v>1</v>
      </c>
      <c r="Q165">
        <v>15</v>
      </c>
      <c r="R165">
        <v>4</v>
      </c>
      <c r="S165">
        <v>1</v>
      </c>
      <c r="T165">
        <v>3</v>
      </c>
      <c r="U165">
        <v>1</v>
      </c>
      <c r="V165">
        <v>27</v>
      </c>
      <c r="W165">
        <v>10</v>
      </c>
      <c r="X165">
        <v>3</v>
      </c>
      <c r="Y165">
        <v>5</v>
      </c>
      <c r="Z165">
        <v>2</v>
      </c>
      <c r="AA165" t="s">
        <v>4206</v>
      </c>
      <c r="AB165" s="24">
        <v>0.75763888888888886</v>
      </c>
      <c r="AC165" s="24">
        <v>0.55763888888888891</v>
      </c>
      <c r="AD165" s="24">
        <v>0.1013888888888889</v>
      </c>
      <c r="AE165" s="24">
        <v>9.375E-2</v>
      </c>
      <c r="AF165" t="s">
        <v>2873</v>
      </c>
      <c r="AG165" t="s">
        <v>2873</v>
      </c>
      <c r="AH165" t="s">
        <v>4207</v>
      </c>
      <c r="AI165" t="s">
        <v>4208</v>
      </c>
      <c r="AJ165" t="s">
        <v>3019</v>
      </c>
      <c r="AK165" t="s">
        <v>2933</v>
      </c>
      <c r="AL165" t="s">
        <v>4209</v>
      </c>
      <c r="AM165" t="s">
        <v>3711</v>
      </c>
      <c r="AN165" t="s">
        <v>4210</v>
      </c>
      <c r="AO165" t="s">
        <v>3012</v>
      </c>
      <c r="AP165" t="s">
        <v>3012</v>
      </c>
      <c r="AQ165" t="s">
        <v>2589</v>
      </c>
      <c r="AR165">
        <v>142</v>
      </c>
      <c r="AS165" t="s">
        <v>3636</v>
      </c>
      <c r="AT165">
        <v>88</v>
      </c>
      <c r="AU165">
        <v>68</v>
      </c>
      <c r="AV165">
        <v>585</v>
      </c>
      <c r="AW165">
        <v>629</v>
      </c>
      <c r="AX165" t="s">
        <v>4211</v>
      </c>
    </row>
    <row r="166" spans="1:50" x14ac:dyDescent="0.25">
      <c r="A166">
        <v>161</v>
      </c>
      <c r="B166" t="s">
        <v>3156</v>
      </c>
      <c r="C166" t="s">
        <v>1824</v>
      </c>
      <c r="D166">
        <v>20</v>
      </c>
      <c r="E166" t="s">
        <v>2504</v>
      </c>
      <c r="F166">
        <v>68</v>
      </c>
      <c r="G166">
        <v>18</v>
      </c>
      <c r="H166">
        <v>22</v>
      </c>
      <c r="I166">
        <v>40</v>
      </c>
      <c r="J166">
        <v>14</v>
      </c>
      <c r="K166">
        <v>4</v>
      </c>
      <c r="L166">
        <v>13</v>
      </c>
      <c r="M166">
        <v>5</v>
      </c>
      <c r="N166">
        <v>0</v>
      </c>
      <c r="O166">
        <v>2</v>
      </c>
      <c r="P166">
        <v>0</v>
      </c>
      <c r="Q166">
        <v>15</v>
      </c>
      <c r="R166">
        <v>7</v>
      </c>
      <c r="S166">
        <v>0</v>
      </c>
      <c r="T166">
        <v>5</v>
      </c>
      <c r="U166">
        <v>1</v>
      </c>
      <c r="V166">
        <v>28</v>
      </c>
      <c r="W166">
        <v>12</v>
      </c>
      <c r="X166">
        <v>0</v>
      </c>
      <c r="Y166">
        <v>7</v>
      </c>
      <c r="Z166">
        <v>1</v>
      </c>
      <c r="AA166" t="s">
        <v>3696</v>
      </c>
      <c r="AB166" s="24">
        <v>0.71319444444444446</v>
      </c>
      <c r="AC166" s="24">
        <v>0.59722222222222221</v>
      </c>
      <c r="AD166" s="24">
        <v>0.10416666666666667</v>
      </c>
      <c r="AE166" s="24">
        <v>1.1111111111111112E-2</v>
      </c>
      <c r="AF166" t="s">
        <v>4212</v>
      </c>
      <c r="AG166" t="s">
        <v>4213</v>
      </c>
      <c r="AH166" t="s">
        <v>4214</v>
      </c>
      <c r="AI166" t="s">
        <v>4215</v>
      </c>
      <c r="AJ166" t="s">
        <v>2552</v>
      </c>
      <c r="AK166" t="s">
        <v>4216</v>
      </c>
      <c r="AL166" t="s">
        <v>4217</v>
      </c>
      <c r="AM166" t="s">
        <v>4218</v>
      </c>
      <c r="AN166" t="s">
        <v>4219</v>
      </c>
      <c r="AO166" t="s">
        <v>4220</v>
      </c>
      <c r="AP166" t="s">
        <v>4051</v>
      </c>
      <c r="AQ166" t="s">
        <v>3523</v>
      </c>
      <c r="AR166">
        <v>122</v>
      </c>
      <c r="AS166" t="s">
        <v>3558</v>
      </c>
      <c r="AT166">
        <v>39</v>
      </c>
      <c r="AU166">
        <v>31</v>
      </c>
      <c r="AV166">
        <v>238</v>
      </c>
      <c r="AW166">
        <v>293</v>
      </c>
      <c r="AX166" t="s">
        <v>4221</v>
      </c>
    </row>
    <row r="167" spans="1:50" x14ac:dyDescent="0.25">
      <c r="A167">
        <v>162</v>
      </c>
      <c r="B167" t="s">
        <v>3157</v>
      </c>
      <c r="C167" t="s">
        <v>104</v>
      </c>
      <c r="D167">
        <v>31</v>
      </c>
      <c r="E167" t="s">
        <v>2504</v>
      </c>
      <c r="F167">
        <v>66</v>
      </c>
      <c r="G167">
        <v>18</v>
      </c>
      <c r="H167">
        <v>22</v>
      </c>
      <c r="I167">
        <v>40</v>
      </c>
      <c r="J167">
        <v>36</v>
      </c>
      <c r="K167">
        <v>4</v>
      </c>
      <c r="L167">
        <v>13</v>
      </c>
      <c r="M167">
        <v>5</v>
      </c>
      <c r="N167">
        <v>0</v>
      </c>
      <c r="O167">
        <v>5</v>
      </c>
      <c r="P167">
        <v>0</v>
      </c>
      <c r="Q167">
        <v>14</v>
      </c>
      <c r="R167">
        <v>8</v>
      </c>
      <c r="S167">
        <v>0</v>
      </c>
      <c r="T167">
        <v>4</v>
      </c>
      <c r="U167">
        <v>0</v>
      </c>
      <c r="V167">
        <v>27</v>
      </c>
      <c r="W167">
        <v>13</v>
      </c>
      <c r="X167">
        <v>0</v>
      </c>
      <c r="Y167">
        <v>9</v>
      </c>
      <c r="Z167">
        <v>0</v>
      </c>
      <c r="AA167" t="s">
        <v>4222</v>
      </c>
      <c r="AB167" s="24">
        <v>0.79722222222222217</v>
      </c>
      <c r="AC167" s="24">
        <v>0.62152777777777779</v>
      </c>
      <c r="AD167" s="24">
        <v>0.10694444444444444</v>
      </c>
      <c r="AE167" s="24">
        <v>6.7361111111111108E-2</v>
      </c>
      <c r="AF167" t="s">
        <v>3526</v>
      </c>
      <c r="AG167" t="s">
        <v>2807</v>
      </c>
      <c r="AH167" t="s">
        <v>3373</v>
      </c>
      <c r="AI167" t="s">
        <v>2625</v>
      </c>
      <c r="AJ167" t="s">
        <v>2622</v>
      </c>
      <c r="AK167" t="s">
        <v>4223</v>
      </c>
      <c r="AL167" t="s">
        <v>4224</v>
      </c>
      <c r="AM167" t="s">
        <v>4225</v>
      </c>
      <c r="AN167" t="s">
        <v>3724</v>
      </c>
      <c r="AO167" t="s">
        <v>4226</v>
      </c>
      <c r="AP167" t="s">
        <v>3408</v>
      </c>
      <c r="AQ167" t="s">
        <v>4227</v>
      </c>
      <c r="AR167">
        <v>112</v>
      </c>
      <c r="AS167" t="s">
        <v>3236</v>
      </c>
      <c r="AT167">
        <v>51</v>
      </c>
      <c r="AU167">
        <v>35</v>
      </c>
      <c r="AV167">
        <v>786</v>
      </c>
      <c r="AW167">
        <v>626</v>
      </c>
      <c r="AX167" t="s">
        <v>4228</v>
      </c>
    </row>
    <row r="168" spans="1:50" x14ac:dyDescent="0.25">
      <c r="A168">
        <v>163</v>
      </c>
      <c r="B168" t="s">
        <v>3157</v>
      </c>
      <c r="C168" t="s">
        <v>1820</v>
      </c>
      <c r="D168">
        <v>33</v>
      </c>
      <c r="E168" t="s">
        <v>2504</v>
      </c>
      <c r="F168">
        <v>82</v>
      </c>
      <c r="G168">
        <v>16</v>
      </c>
      <c r="H168">
        <v>24</v>
      </c>
      <c r="I168">
        <v>40</v>
      </c>
      <c r="J168">
        <v>32</v>
      </c>
      <c r="K168">
        <v>2</v>
      </c>
      <c r="L168">
        <v>14</v>
      </c>
      <c r="M168">
        <v>2</v>
      </c>
      <c r="N168">
        <v>0</v>
      </c>
      <c r="O168">
        <v>2</v>
      </c>
      <c r="P168">
        <v>0</v>
      </c>
      <c r="Q168">
        <v>20</v>
      </c>
      <c r="R168">
        <v>4</v>
      </c>
      <c r="S168">
        <v>0</v>
      </c>
      <c r="T168">
        <v>2</v>
      </c>
      <c r="U168">
        <v>0</v>
      </c>
      <c r="V168">
        <v>34</v>
      </c>
      <c r="W168">
        <v>6</v>
      </c>
      <c r="X168">
        <v>0</v>
      </c>
      <c r="Y168">
        <v>4</v>
      </c>
      <c r="Z168">
        <v>0</v>
      </c>
      <c r="AA168" t="s">
        <v>4112</v>
      </c>
      <c r="AB168" s="24">
        <v>0.65972222222222221</v>
      </c>
      <c r="AC168" s="24">
        <v>0.57847222222222217</v>
      </c>
      <c r="AD168" s="24">
        <v>8.1250000000000003E-2</v>
      </c>
      <c r="AE168" s="24">
        <v>0</v>
      </c>
      <c r="AF168" t="s">
        <v>4229</v>
      </c>
      <c r="AG168" t="s">
        <v>4052</v>
      </c>
      <c r="AH168" t="s">
        <v>2595</v>
      </c>
      <c r="AI168" t="s">
        <v>3082</v>
      </c>
      <c r="AJ168" t="s">
        <v>4230</v>
      </c>
      <c r="AK168" t="s">
        <v>4231</v>
      </c>
      <c r="AL168" t="s">
        <v>3059</v>
      </c>
      <c r="AM168" t="s">
        <v>3230</v>
      </c>
      <c r="AN168" t="s">
        <v>4232</v>
      </c>
      <c r="AO168" t="s">
        <v>3513</v>
      </c>
      <c r="AP168" t="s">
        <v>3127</v>
      </c>
      <c r="AQ168" t="s">
        <v>2589</v>
      </c>
      <c r="AR168">
        <v>131</v>
      </c>
      <c r="AS168" t="s">
        <v>2964</v>
      </c>
      <c r="AT168">
        <v>113</v>
      </c>
      <c r="AU168">
        <v>16</v>
      </c>
      <c r="AV168">
        <v>3</v>
      </c>
      <c r="AW168">
        <v>5</v>
      </c>
      <c r="AX168" t="s">
        <v>4233</v>
      </c>
    </row>
    <row r="169" spans="1:50" x14ac:dyDescent="0.25">
      <c r="A169">
        <v>164</v>
      </c>
      <c r="B169" t="s">
        <v>3156</v>
      </c>
      <c r="C169" t="s">
        <v>1823</v>
      </c>
      <c r="D169">
        <v>23</v>
      </c>
      <c r="E169" t="s">
        <v>2504</v>
      </c>
      <c r="F169">
        <v>82</v>
      </c>
      <c r="G169">
        <v>13</v>
      </c>
      <c r="H169">
        <v>27</v>
      </c>
      <c r="I169">
        <v>40</v>
      </c>
      <c r="J169">
        <v>35</v>
      </c>
      <c r="K169">
        <v>5</v>
      </c>
      <c r="L169">
        <v>13</v>
      </c>
      <c r="M169">
        <v>0</v>
      </c>
      <c r="N169">
        <v>0</v>
      </c>
      <c r="O169">
        <v>3</v>
      </c>
      <c r="P169">
        <v>1</v>
      </c>
      <c r="Q169">
        <v>24</v>
      </c>
      <c r="R169">
        <v>2</v>
      </c>
      <c r="S169">
        <v>1</v>
      </c>
      <c r="T169">
        <v>7</v>
      </c>
      <c r="U169">
        <v>2</v>
      </c>
      <c r="V169">
        <v>37</v>
      </c>
      <c r="W169">
        <v>2</v>
      </c>
      <c r="X169">
        <v>1</v>
      </c>
      <c r="Y169">
        <v>10</v>
      </c>
      <c r="Z169">
        <v>3</v>
      </c>
      <c r="AA169" t="s">
        <v>4234</v>
      </c>
      <c r="AB169" s="24">
        <v>0.64861111111111114</v>
      </c>
      <c r="AC169" s="24">
        <v>0.5756944444444444</v>
      </c>
      <c r="AD169" s="24">
        <v>2.4999999999999998E-2</v>
      </c>
      <c r="AE169" s="24">
        <v>4.7222222222222221E-2</v>
      </c>
      <c r="AF169" t="s">
        <v>4235</v>
      </c>
      <c r="AG169" t="s">
        <v>4139</v>
      </c>
      <c r="AH169" t="s">
        <v>3266</v>
      </c>
      <c r="AI169" t="s">
        <v>4236</v>
      </c>
      <c r="AJ169" t="s">
        <v>4237</v>
      </c>
      <c r="AK169" t="s">
        <v>4238</v>
      </c>
      <c r="AL169" t="s">
        <v>3830</v>
      </c>
      <c r="AM169" t="s">
        <v>4239</v>
      </c>
      <c r="AN169" t="s">
        <v>4239</v>
      </c>
      <c r="AO169" t="s">
        <v>3256</v>
      </c>
      <c r="AP169" t="s">
        <v>2939</v>
      </c>
      <c r="AQ169" t="s">
        <v>2589</v>
      </c>
      <c r="AR169">
        <v>133</v>
      </c>
      <c r="AS169" t="s">
        <v>3964</v>
      </c>
      <c r="AT169">
        <v>76</v>
      </c>
      <c r="AU169">
        <v>52</v>
      </c>
      <c r="AV169">
        <v>533</v>
      </c>
      <c r="AW169">
        <v>498</v>
      </c>
      <c r="AX169" t="s">
        <v>4240</v>
      </c>
    </row>
    <row r="170" spans="1:50" x14ac:dyDescent="0.25">
      <c r="A170">
        <v>165</v>
      </c>
      <c r="B170" t="s">
        <v>3156</v>
      </c>
      <c r="C170" t="s">
        <v>4241</v>
      </c>
      <c r="D170">
        <v>27</v>
      </c>
      <c r="E170" t="s">
        <v>1719</v>
      </c>
      <c r="F170">
        <v>66</v>
      </c>
      <c r="G170">
        <v>10</v>
      </c>
      <c r="H170">
        <v>30</v>
      </c>
      <c r="I170">
        <v>40</v>
      </c>
      <c r="J170">
        <v>44</v>
      </c>
      <c r="K170">
        <v>-8</v>
      </c>
      <c r="L170">
        <v>7</v>
      </c>
      <c r="M170">
        <v>3</v>
      </c>
      <c r="N170">
        <v>0</v>
      </c>
      <c r="O170">
        <v>2</v>
      </c>
      <c r="P170">
        <v>0</v>
      </c>
      <c r="Q170">
        <v>16</v>
      </c>
      <c r="R170">
        <v>13</v>
      </c>
      <c r="S170">
        <v>1</v>
      </c>
      <c r="T170">
        <v>3</v>
      </c>
      <c r="U170">
        <v>1</v>
      </c>
      <c r="V170">
        <v>23</v>
      </c>
      <c r="W170">
        <v>16</v>
      </c>
      <c r="X170">
        <v>1</v>
      </c>
      <c r="Y170">
        <v>5</v>
      </c>
      <c r="Z170">
        <v>1</v>
      </c>
      <c r="AA170" t="s">
        <v>4242</v>
      </c>
      <c r="AB170" s="25">
        <v>1.0166666666666666</v>
      </c>
      <c r="AC170" s="24">
        <v>0.82152777777777775</v>
      </c>
      <c r="AD170" s="24">
        <v>0.10833333333333334</v>
      </c>
      <c r="AE170" s="24">
        <v>8.6111111111111124E-2</v>
      </c>
      <c r="AF170" t="s">
        <v>3407</v>
      </c>
      <c r="AG170" t="s">
        <v>3103</v>
      </c>
      <c r="AH170" t="s">
        <v>3312</v>
      </c>
      <c r="AI170" t="s">
        <v>4243</v>
      </c>
      <c r="AJ170" t="s">
        <v>3082</v>
      </c>
      <c r="AK170" t="s">
        <v>4020</v>
      </c>
      <c r="AL170" t="s">
        <v>3978</v>
      </c>
      <c r="AM170" t="s">
        <v>4244</v>
      </c>
      <c r="AN170" t="s">
        <v>4245</v>
      </c>
      <c r="AO170" t="s">
        <v>4141</v>
      </c>
      <c r="AP170" t="s">
        <v>4246</v>
      </c>
      <c r="AQ170" t="s">
        <v>4227</v>
      </c>
      <c r="AR170">
        <v>142</v>
      </c>
      <c r="AS170" t="s">
        <v>3190</v>
      </c>
      <c r="AT170">
        <v>78</v>
      </c>
      <c r="AU170">
        <v>104</v>
      </c>
      <c r="AV170">
        <v>0</v>
      </c>
      <c r="AW170">
        <v>0</v>
      </c>
      <c r="AX170" t="s">
        <v>2579</v>
      </c>
    </row>
    <row r="171" spans="1:50" x14ac:dyDescent="0.25">
      <c r="A171">
        <v>166</v>
      </c>
      <c r="B171" t="s">
        <v>3157</v>
      </c>
      <c r="C171" t="s">
        <v>128</v>
      </c>
      <c r="D171">
        <v>31</v>
      </c>
      <c r="E171" t="s">
        <v>1719</v>
      </c>
      <c r="F171">
        <v>82</v>
      </c>
      <c r="G171">
        <v>9</v>
      </c>
      <c r="H171">
        <v>31</v>
      </c>
      <c r="I171">
        <v>40</v>
      </c>
      <c r="J171">
        <v>36</v>
      </c>
      <c r="K171">
        <v>33</v>
      </c>
      <c r="L171">
        <v>4</v>
      </c>
      <c r="M171">
        <v>4</v>
      </c>
      <c r="N171">
        <v>1</v>
      </c>
      <c r="O171">
        <v>1</v>
      </c>
      <c r="P171">
        <v>0</v>
      </c>
      <c r="Q171">
        <v>22</v>
      </c>
      <c r="R171">
        <v>8</v>
      </c>
      <c r="S171">
        <v>1</v>
      </c>
      <c r="T171">
        <v>6</v>
      </c>
      <c r="U171">
        <v>0</v>
      </c>
      <c r="V171">
        <v>26</v>
      </c>
      <c r="W171">
        <v>12</v>
      </c>
      <c r="X171">
        <v>2</v>
      </c>
      <c r="Y171">
        <v>7</v>
      </c>
      <c r="Z171">
        <v>0</v>
      </c>
      <c r="AA171" t="s">
        <v>3696</v>
      </c>
      <c r="AB171" s="25">
        <v>1.1215277777777779</v>
      </c>
      <c r="AC171" s="24">
        <v>0.90902777777777777</v>
      </c>
      <c r="AD171" s="24">
        <v>0.11527777777777777</v>
      </c>
      <c r="AE171" s="24">
        <v>9.6527777777777768E-2</v>
      </c>
      <c r="AF171" t="s">
        <v>3703</v>
      </c>
      <c r="AG171" t="s">
        <v>3862</v>
      </c>
      <c r="AH171" t="s">
        <v>3952</v>
      </c>
      <c r="AI171" t="s">
        <v>4247</v>
      </c>
      <c r="AJ171" t="s">
        <v>3082</v>
      </c>
      <c r="AK171" t="s">
        <v>3639</v>
      </c>
      <c r="AL171" t="s">
        <v>4248</v>
      </c>
      <c r="AM171" t="s">
        <v>3490</v>
      </c>
      <c r="AN171" t="s">
        <v>4249</v>
      </c>
      <c r="AO171" t="s">
        <v>4090</v>
      </c>
      <c r="AP171" t="s">
        <v>2658</v>
      </c>
      <c r="AQ171" t="s">
        <v>2589</v>
      </c>
      <c r="AR171">
        <v>164</v>
      </c>
      <c r="AS171" t="s">
        <v>3734</v>
      </c>
      <c r="AT171">
        <v>72</v>
      </c>
      <c r="AU171">
        <v>105</v>
      </c>
      <c r="AV171">
        <v>0</v>
      </c>
      <c r="AW171">
        <v>0</v>
      </c>
      <c r="AX171" t="s">
        <v>2579</v>
      </c>
    </row>
    <row r="172" spans="1:50" x14ac:dyDescent="0.25">
      <c r="A172">
        <v>167</v>
      </c>
      <c r="B172" t="s">
        <v>3161</v>
      </c>
      <c r="C172" t="s">
        <v>110</v>
      </c>
      <c r="D172">
        <v>29</v>
      </c>
      <c r="E172" t="s">
        <v>2504</v>
      </c>
      <c r="F172">
        <v>71</v>
      </c>
      <c r="G172">
        <v>20</v>
      </c>
      <c r="H172">
        <v>19</v>
      </c>
      <c r="I172">
        <v>39</v>
      </c>
      <c r="J172">
        <v>53</v>
      </c>
      <c r="K172">
        <v>-17</v>
      </c>
      <c r="L172">
        <v>15</v>
      </c>
      <c r="M172">
        <v>5</v>
      </c>
      <c r="N172">
        <v>0</v>
      </c>
      <c r="O172">
        <v>2</v>
      </c>
      <c r="P172">
        <v>1</v>
      </c>
      <c r="Q172">
        <v>15</v>
      </c>
      <c r="R172">
        <v>4</v>
      </c>
      <c r="S172">
        <v>0</v>
      </c>
      <c r="T172">
        <v>2</v>
      </c>
      <c r="U172">
        <v>1</v>
      </c>
      <c r="V172">
        <v>30</v>
      </c>
      <c r="W172">
        <v>9</v>
      </c>
      <c r="X172">
        <v>0</v>
      </c>
      <c r="Y172">
        <v>4</v>
      </c>
      <c r="Z172">
        <v>2</v>
      </c>
      <c r="AA172" t="s">
        <v>3227</v>
      </c>
      <c r="AB172" s="24">
        <v>0.73749999999999993</v>
      </c>
      <c r="AC172" s="24">
        <v>0.57777777777777783</v>
      </c>
      <c r="AD172" s="24">
        <v>0.10277777777777779</v>
      </c>
      <c r="AE172" s="24">
        <v>5.6250000000000001E-2</v>
      </c>
      <c r="AF172" t="s">
        <v>4250</v>
      </c>
      <c r="AG172" t="s">
        <v>4251</v>
      </c>
      <c r="AH172" t="s">
        <v>2609</v>
      </c>
      <c r="AI172" t="s">
        <v>4252</v>
      </c>
      <c r="AJ172" t="s">
        <v>4252</v>
      </c>
      <c r="AK172" t="s">
        <v>4253</v>
      </c>
      <c r="AL172" t="s">
        <v>3855</v>
      </c>
      <c r="AM172" t="s">
        <v>4254</v>
      </c>
      <c r="AN172" t="s">
        <v>4255</v>
      </c>
      <c r="AO172" t="s">
        <v>4256</v>
      </c>
      <c r="AP172" t="s">
        <v>3139</v>
      </c>
      <c r="AQ172" t="s">
        <v>3956</v>
      </c>
      <c r="AR172">
        <v>169</v>
      </c>
      <c r="AS172" t="s">
        <v>3140</v>
      </c>
      <c r="AT172">
        <v>146</v>
      </c>
      <c r="AU172">
        <v>58</v>
      </c>
      <c r="AV172">
        <v>767</v>
      </c>
      <c r="AW172">
        <v>593</v>
      </c>
      <c r="AX172" t="s">
        <v>4257</v>
      </c>
    </row>
    <row r="173" spans="1:50" x14ac:dyDescent="0.25">
      <c r="A173">
        <v>168</v>
      </c>
      <c r="B173" t="s">
        <v>3156</v>
      </c>
      <c r="C173" t="s">
        <v>74</v>
      </c>
      <c r="D173">
        <v>29</v>
      </c>
      <c r="E173" t="s">
        <v>2504</v>
      </c>
      <c r="F173">
        <v>81</v>
      </c>
      <c r="G173">
        <v>14</v>
      </c>
      <c r="H173">
        <v>25</v>
      </c>
      <c r="I173">
        <v>39</v>
      </c>
      <c r="J173">
        <v>24</v>
      </c>
      <c r="K173">
        <v>12</v>
      </c>
      <c r="L173">
        <v>11</v>
      </c>
      <c r="M173">
        <v>3</v>
      </c>
      <c r="N173">
        <v>0</v>
      </c>
      <c r="O173">
        <v>3</v>
      </c>
      <c r="P173">
        <v>0</v>
      </c>
      <c r="Q173">
        <v>21</v>
      </c>
      <c r="R173">
        <v>4</v>
      </c>
      <c r="S173">
        <v>0</v>
      </c>
      <c r="T173">
        <v>2</v>
      </c>
      <c r="U173">
        <v>0</v>
      </c>
      <c r="V173">
        <v>32</v>
      </c>
      <c r="W173">
        <v>7</v>
      </c>
      <c r="X173">
        <v>0</v>
      </c>
      <c r="Y173">
        <v>5</v>
      </c>
      <c r="Z173">
        <v>0</v>
      </c>
      <c r="AA173" t="s">
        <v>4258</v>
      </c>
      <c r="AB173" s="24">
        <v>0.72361111111111109</v>
      </c>
      <c r="AC173" s="24">
        <v>0.61458333333333337</v>
      </c>
      <c r="AD173" s="24">
        <v>0.10555555555555556</v>
      </c>
      <c r="AE173" s="24">
        <v>2.7777777777777779E-3</v>
      </c>
      <c r="AF173" t="s">
        <v>3037</v>
      </c>
      <c r="AG173" t="s">
        <v>3284</v>
      </c>
      <c r="AH173" t="s">
        <v>4259</v>
      </c>
      <c r="AI173" t="s">
        <v>4260</v>
      </c>
      <c r="AJ173" t="s">
        <v>4230</v>
      </c>
      <c r="AK173" t="s">
        <v>4261</v>
      </c>
      <c r="AL173" t="s">
        <v>3639</v>
      </c>
      <c r="AM173" t="s">
        <v>4262</v>
      </c>
      <c r="AN173" t="s">
        <v>4263</v>
      </c>
      <c r="AO173" t="s">
        <v>4264</v>
      </c>
      <c r="AP173" t="s">
        <v>3926</v>
      </c>
      <c r="AQ173" t="s">
        <v>2830</v>
      </c>
      <c r="AR173">
        <v>195</v>
      </c>
      <c r="AS173" t="s">
        <v>4265</v>
      </c>
      <c r="AT173">
        <v>92</v>
      </c>
      <c r="AU173">
        <v>24</v>
      </c>
      <c r="AV173">
        <v>612</v>
      </c>
      <c r="AW173">
        <v>612</v>
      </c>
      <c r="AX173" t="s">
        <v>2647</v>
      </c>
    </row>
    <row r="174" spans="1:50" x14ac:dyDescent="0.25">
      <c r="A174">
        <v>169</v>
      </c>
      <c r="B174" t="s">
        <v>3156</v>
      </c>
      <c r="C174" t="s">
        <v>82</v>
      </c>
      <c r="D174">
        <v>33</v>
      </c>
      <c r="E174" t="s">
        <v>1719</v>
      </c>
      <c r="F174">
        <v>81</v>
      </c>
      <c r="G174">
        <v>12</v>
      </c>
      <c r="H174">
        <v>27</v>
      </c>
      <c r="I174">
        <v>39</v>
      </c>
      <c r="J174">
        <v>59</v>
      </c>
      <c r="K174">
        <v>22</v>
      </c>
      <c r="L174">
        <v>7</v>
      </c>
      <c r="M174">
        <v>3</v>
      </c>
      <c r="N174">
        <v>2</v>
      </c>
      <c r="O174">
        <v>4</v>
      </c>
      <c r="P174">
        <v>1</v>
      </c>
      <c r="Q174">
        <v>15</v>
      </c>
      <c r="R174">
        <v>11</v>
      </c>
      <c r="S174">
        <v>1</v>
      </c>
      <c r="T174">
        <v>9</v>
      </c>
      <c r="U174">
        <v>3</v>
      </c>
      <c r="V174">
        <v>22</v>
      </c>
      <c r="W174">
        <v>14</v>
      </c>
      <c r="X174">
        <v>3</v>
      </c>
      <c r="Y174">
        <v>13</v>
      </c>
      <c r="Z174">
        <v>4</v>
      </c>
      <c r="AA174" t="s">
        <v>4266</v>
      </c>
      <c r="AB174" s="24">
        <v>0.9819444444444444</v>
      </c>
      <c r="AC174" s="24">
        <v>0.7402777777777777</v>
      </c>
      <c r="AD174" s="24">
        <v>0.1076388888888889</v>
      </c>
      <c r="AE174" s="24">
        <v>0.13402777777777777</v>
      </c>
      <c r="AF174" t="s">
        <v>3444</v>
      </c>
      <c r="AG174" t="s">
        <v>3540</v>
      </c>
      <c r="AH174" t="s">
        <v>4267</v>
      </c>
      <c r="AI174" t="s">
        <v>3151</v>
      </c>
      <c r="AJ174" t="s">
        <v>3991</v>
      </c>
      <c r="AK174" t="s">
        <v>4268</v>
      </c>
      <c r="AL174" t="s">
        <v>4269</v>
      </c>
      <c r="AM174" t="s">
        <v>4270</v>
      </c>
      <c r="AN174" t="s">
        <v>4271</v>
      </c>
      <c r="AO174" t="s">
        <v>4272</v>
      </c>
      <c r="AP174" t="s">
        <v>3408</v>
      </c>
      <c r="AQ174" t="s">
        <v>2830</v>
      </c>
      <c r="AR174">
        <v>151</v>
      </c>
      <c r="AS174" t="s">
        <v>3595</v>
      </c>
      <c r="AT174">
        <v>78</v>
      </c>
      <c r="AU174">
        <v>184</v>
      </c>
      <c r="AV174">
        <v>0</v>
      </c>
      <c r="AW174">
        <v>0</v>
      </c>
      <c r="AX174" t="s">
        <v>2579</v>
      </c>
    </row>
    <row r="175" spans="1:50" x14ac:dyDescent="0.25">
      <c r="A175">
        <v>170</v>
      </c>
      <c r="B175" t="s">
        <v>3158</v>
      </c>
      <c r="C175" t="s">
        <v>666</v>
      </c>
      <c r="D175">
        <v>25</v>
      </c>
      <c r="E175" t="s">
        <v>1719</v>
      </c>
      <c r="F175">
        <v>79</v>
      </c>
      <c r="G175">
        <v>12</v>
      </c>
      <c r="H175">
        <v>27</v>
      </c>
      <c r="I175">
        <v>39</v>
      </c>
      <c r="J175">
        <v>48</v>
      </c>
      <c r="K175">
        <v>-25</v>
      </c>
      <c r="L175">
        <v>4</v>
      </c>
      <c r="M175">
        <v>8</v>
      </c>
      <c r="N175">
        <v>0</v>
      </c>
      <c r="O175">
        <v>1</v>
      </c>
      <c r="P175">
        <v>1</v>
      </c>
      <c r="Q175">
        <v>16</v>
      </c>
      <c r="R175">
        <v>11</v>
      </c>
      <c r="S175">
        <v>0</v>
      </c>
      <c r="T175">
        <v>5</v>
      </c>
      <c r="U175">
        <v>0</v>
      </c>
      <c r="V175">
        <v>20</v>
      </c>
      <c r="W175">
        <v>19</v>
      </c>
      <c r="X175">
        <v>0</v>
      </c>
      <c r="Y175">
        <v>6</v>
      </c>
      <c r="Z175">
        <v>1</v>
      </c>
      <c r="AA175" t="s">
        <v>4273</v>
      </c>
      <c r="AB175" s="25">
        <v>1.0250000000000001</v>
      </c>
      <c r="AC175" s="24">
        <v>0.80347222222222225</v>
      </c>
      <c r="AD175" s="24">
        <v>0.15347222222222223</v>
      </c>
      <c r="AE175" s="24">
        <v>6.6666666666666666E-2</v>
      </c>
      <c r="AF175" t="s">
        <v>3546</v>
      </c>
      <c r="AG175" t="s">
        <v>4274</v>
      </c>
      <c r="AH175" t="s">
        <v>4105</v>
      </c>
      <c r="AI175" t="s">
        <v>4275</v>
      </c>
      <c r="AJ175" t="s">
        <v>3673</v>
      </c>
      <c r="AK175" t="s">
        <v>4276</v>
      </c>
      <c r="AL175" t="s">
        <v>3797</v>
      </c>
      <c r="AM175" t="s">
        <v>4277</v>
      </c>
      <c r="AN175" t="s">
        <v>4278</v>
      </c>
      <c r="AO175" t="s">
        <v>4141</v>
      </c>
      <c r="AP175" t="s">
        <v>3545</v>
      </c>
      <c r="AQ175" t="s">
        <v>2732</v>
      </c>
      <c r="AR175">
        <v>145</v>
      </c>
      <c r="AS175" t="s">
        <v>4279</v>
      </c>
      <c r="AT175">
        <v>112</v>
      </c>
      <c r="AU175">
        <v>85</v>
      </c>
      <c r="AV175">
        <v>0</v>
      </c>
      <c r="AW175">
        <v>0</v>
      </c>
      <c r="AX175" t="s">
        <v>2579</v>
      </c>
    </row>
    <row r="176" spans="1:50" x14ac:dyDescent="0.25">
      <c r="A176">
        <v>171</v>
      </c>
      <c r="B176" t="s">
        <v>3157</v>
      </c>
      <c r="C176" t="s">
        <v>1828</v>
      </c>
      <c r="D176">
        <v>25</v>
      </c>
      <c r="E176" t="s">
        <v>1719</v>
      </c>
      <c r="F176">
        <v>80</v>
      </c>
      <c r="G176">
        <v>11</v>
      </c>
      <c r="H176">
        <v>28</v>
      </c>
      <c r="I176">
        <v>39</v>
      </c>
      <c r="J176">
        <v>20</v>
      </c>
      <c r="K176">
        <v>7</v>
      </c>
      <c r="L176">
        <v>5</v>
      </c>
      <c r="M176">
        <v>5</v>
      </c>
      <c r="N176">
        <v>1</v>
      </c>
      <c r="O176">
        <v>3</v>
      </c>
      <c r="P176">
        <v>0</v>
      </c>
      <c r="Q176">
        <v>17</v>
      </c>
      <c r="R176">
        <v>10</v>
      </c>
      <c r="S176">
        <v>1</v>
      </c>
      <c r="T176">
        <v>2</v>
      </c>
      <c r="U176">
        <v>0</v>
      </c>
      <c r="V176">
        <v>22</v>
      </c>
      <c r="W176">
        <v>15</v>
      </c>
      <c r="X176">
        <v>2</v>
      </c>
      <c r="Y176">
        <v>5</v>
      </c>
      <c r="Z176">
        <v>0</v>
      </c>
      <c r="AA176" t="s">
        <v>4280</v>
      </c>
      <c r="AB176" s="25">
        <v>1.0347222222222221</v>
      </c>
      <c r="AC176" s="24">
        <v>0.79027777777777775</v>
      </c>
      <c r="AD176" s="24">
        <v>0.12847222222222224</v>
      </c>
      <c r="AE176" s="24">
        <v>0.11597222222222221</v>
      </c>
      <c r="AF176" t="s">
        <v>4281</v>
      </c>
      <c r="AG176" t="s">
        <v>4282</v>
      </c>
      <c r="AH176" t="s">
        <v>4283</v>
      </c>
      <c r="AI176" t="s">
        <v>4284</v>
      </c>
      <c r="AJ176" t="s">
        <v>4285</v>
      </c>
      <c r="AK176" t="s">
        <v>3446</v>
      </c>
      <c r="AL176" t="s">
        <v>3192</v>
      </c>
      <c r="AM176" t="s">
        <v>4286</v>
      </c>
      <c r="AN176" t="s">
        <v>4287</v>
      </c>
      <c r="AO176" t="s">
        <v>4288</v>
      </c>
      <c r="AP176" t="s">
        <v>4289</v>
      </c>
      <c r="AQ176" t="s">
        <v>2589</v>
      </c>
      <c r="AR176">
        <v>186</v>
      </c>
      <c r="AS176" t="s">
        <v>3726</v>
      </c>
      <c r="AT176">
        <v>29</v>
      </c>
      <c r="AU176">
        <v>134</v>
      </c>
      <c r="AV176">
        <v>0</v>
      </c>
      <c r="AW176">
        <v>0</v>
      </c>
      <c r="AX176" t="s">
        <v>2579</v>
      </c>
    </row>
    <row r="177" spans="1:50" x14ac:dyDescent="0.25">
      <c r="A177">
        <v>172</v>
      </c>
      <c r="B177" t="s">
        <v>3156</v>
      </c>
      <c r="C177" t="s">
        <v>127</v>
      </c>
      <c r="D177">
        <v>24</v>
      </c>
      <c r="E177" t="s">
        <v>2504</v>
      </c>
      <c r="F177">
        <v>78</v>
      </c>
      <c r="G177">
        <v>11</v>
      </c>
      <c r="H177">
        <v>28</v>
      </c>
      <c r="I177">
        <v>39</v>
      </c>
      <c r="J177">
        <v>14</v>
      </c>
      <c r="K177">
        <v>-8</v>
      </c>
      <c r="L177">
        <v>8</v>
      </c>
      <c r="M177">
        <v>3</v>
      </c>
      <c r="N177">
        <v>0</v>
      </c>
      <c r="O177">
        <v>3</v>
      </c>
      <c r="P177">
        <v>1</v>
      </c>
      <c r="Q177">
        <v>12</v>
      </c>
      <c r="R177">
        <v>15</v>
      </c>
      <c r="S177">
        <v>1</v>
      </c>
      <c r="T177">
        <v>6</v>
      </c>
      <c r="U177">
        <v>0</v>
      </c>
      <c r="V177">
        <v>20</v>
      </c>
      <c r="W177">
        <v>18</v>
      </c>
      <c r="X177">
        <v>1</v>
      </c>
      <c r="Y177">
        <v>9</v>
      </c>
      <c r="Z177">
        <v>1</v>
      </c>
      <c r="AA177" t="s">
        <v>4290</v>
      </c>
      <c r="AB177" s="24">
        <v>0.58680555555555558</v>
      </c>
      <c r="AC177" s="24">
        <v>0.46736111111111112</v>
      </c>
      <c r="AD177" s="24">
        <v>0.10902777777777778</v>
      </c>
      <c r="AE177" s="24">
        <v>9.0277777777777787E-3</v>
      </c>
      <c r="AF177" t="s">
        <v>2531</v>
      </c>
      <c r="AG177" t="s">
        <v>4291</v>
      </c>
      <c r="AH177" t="s">
        <v>4292</v>
      </c>
      <c r="AI177" t="s">
        <v>3956</v>
      </c>
      <c r="AJ177" t="s">
        <v>4293</v>
      </c>
      <c r="AK177" t="s">
        <v>2856</v>
      </c>
      <c r="AL177" t="s">
        <v>2716</v>
      </c>
      <c r="AM177" t="s">
        <v>2885</v>
      </c>
      <c r="AN177" t="s">
        <v>4294</v>
      </c>
      <c r="AO177" t="s">
        <v>3866</v>
      </c>
      <c r="AP177" t="s">
        <v>3280</v>
      </c>
      <c r="AQ177" t="s">
        <v>3013</v>
      </c>
      <c r="AR177">
        <v>145</v>
      </c>
      <c r="AS177" t="s">
        <v>4295</v>
      </c>
      <c r="AT177">
        <v>25</v>
      </c>
      <c r="AU177">
        <v>17</v>
      </c>
      <c r="AV177">
        <v>79</v>
      </c>
      <c r="AW177">
        <v>124</v>
      </c>
      <c r="AX177" t="s">
        <v>4296</v>
      </c>
    </row>
    <row r="178" spans="1:50" x14ac:dyDescent="0.25">
      <c r="A178">
        <v>173</v>
      </c>
      <c r="B178" t="s">
        <v>3157</v>
      </c>
      <c r="C178" t="s">
        <v>1827</v>
      </c>
      <c r="D178">
        <v>29</v>
      </c>
      <c r="E178" t="s">
        <v>1719</v>
      </c>
      <c r="F178">
        <v>82</v>
      </c>
      <c r="G178">
        <v>9</v>
      </c>
      <c r="H178">
        <v>30</v>
      </c>
      <c r="I178">
        <v>39</v>
      </c>
      <c r="J178">
        <v>24</v>
      </c>
      <c r="K178">
        <v>-17</v>
      </c>
      <c r="L178">
        <v>6</v>
      </c>
      <c r="M178">
        <v>2</v>
      </c>
      <c r="N178">
        <v>1</v>
      </c>
      <c r="O178">
        <v>3</v>
      </c>
      <c r="P178">
        <v>2</v>
      </c>
      <c r="Q178">
        <v>17</v>
      </c>
      <c r="R178">
        <v>13</v>
      </c>
      <c r="S178">
        <v>0</v>
      </c>
      <c r="T178">
        <v>8</v>
      </c>
      <c r="U178">
        <v>3</v>
      </c>
      <c r="V178">
        <v>23</v>
      </c>
      <c r="W178">
        <v>15</v>
      </c>
      <c r="X178">
        <v>1</v>
      </c>
      <c r="Y178">
        <v>11</v>
      </c>
      <c r="Z178">
        <v>5</v>
      </c>
      <c r="AA178" t="s">
        <v>4280</v>
      </c>
      <c r="AB178" s="24">
        <v>0.90277777777777779</v>
      </c>
      <c r="AC178" s="24">
        <v>0.71805555555555556</v>
      </c>
      <c r="AD178" s="24">
        <v>9.1666666666666674E-2</v>
      </c>
      <c r="AE178" s="24">
        <v>9.1666666666666674E-2</v>
      </c>
      <c r="AF178" t="s">
        <v>4183</v>
      </c>
      <c r="AG178" t="s">
        <v>4297</v>
      </c>
      <c r="AH178" t="s">
        <v>3401</v>
      </c>
      <c r="AI178" t="s">
        <v>4298</v>
      </c>
      <c r="AJ178" t="s">
        <v>3240</v>
      </c>
      <c r="AK178" t="s">
        <v>4299</v>
      </c>
      <c r="AL178" t="s">
        <v>4300</v>
      </c>
      <c r="AM178" t="s">
        <v>4301</v>
      </c>
      <c r="AN178" t="s">
        <v>4302</v>
      </c>
      <c r="AO178" t="s">
        <v>4090</v>
      </c>
      <c r="AP178" t="s">
        <v>2515</v>
      </c>
      <c r="AQ178" t="s">
        <v>2643</v>
      </c>
      <c r="AR178">
        <v>144</v>
      </c>
      <c r="AS178" t="s">
        <v>4303</v>
      </c>
      <c r="AT178">
        <v>137</v>
      </c>
      <c r="AU178">
        <v>167</v>
      </c>
      <c r="AV178">
        <v>0</v>
      </c>
      <c r="AW178">
        <v>1</v>
      </c>
      <c r="AX178" t="s">
        <v>2579</v>
      </c>
    </row>
    <row r="179" spans="1:50" x14ac:dyDescent="0.25">
      <c r="A179">
        <v>174</v>
      </c>
      <c r="B179" t="s">
        <v>3157</v>
      </c>
      <c r="C179" t="s">
        <v>668</v>
      </c>
      <c r="D179">
        <v>23</v>
      </c>
      <c r="E179" t="s">
        <v>1719</v>
      </c>
      <c r="F179">
        <v>76</v>
      </c>
      <c r="G179">
        <v>7</v>
      </c>
      <c r="H179">
        <v>32</v>
      </c>
      <c r="I179">
        <v>39</v>
      </c>
      <c r="J179">
        <v>32</v>
      </c>
      <c r="K179">
        <v>-21</v>
      </c>
      <c r="L179">
        <v>5</v>
      </c>
      <c r="M179">
        <v>2</v>
      </c>
      <c r="N179">
        <v>0</v>
      </c>
      <c r="O179">
        <v>1</v>
      </c>
      <c r="P179">
        <v>0</v>
      </c>
      <c r="Q179">
        <v>11</v>
      </c>
      <c r="R179">
        <v>21</v>
      </c>
      <c r="S179">
        <v>0</v>
      </c>
      <c r="T179">
        <v>4</v>
      </c>
      <c r="U179">
        <v>2</v>
      </c>
      <c r="V179">
        <v>16</v>
      </c>
      <c r="W179">
        <v>23</v>
      </c>
      <c r="X179">
        <v>0</v>
      </c>
      <c r="Y179">
        <v>5</v>
      </c>
      <c r="Z179">
        <v>2</v>
      </c>
      <c r="AA179" t="s">
        <v>4304</v>
      </c>
      <c r="AB179" s="24">
        <v>0.81527777777777777</v>
      </c>
      <c r="AC179" s="24">
        <v>0.65208333333333335</v>
      </c>
      <c r="AD179" s="24">
        <v>0.15902777777777777</v>
      </c>
      <c r="AE179" s="24">
        <v>2.7777777777777779E-3</v>
      </c>
      <c r="AF179" t="s">
        <v>4256</v>
      </c>
      <c r="AG179" t="s">
        <v>3995</v>
      </c>
      <c r="AH179" t="s">
        <v>3775</v>
      </c>
      <c r="AI179" t="s">
        <v>4155</v>
      </c>
      <c r="AJ179" t="s">
        <v>4305</v>
      </c>
      <c r="AK179" t="s">
        <v>3153</v>
      </c>
      <c r="AL179" t="s">
        <v>4306</v>
      </c>
      <c r="AM179" t="s">
        <v>4307</v>
      </c>
      <c r="AN179" t="s">
        <v>4308</v>
      </c>
      <c r="AO179" t="s">
        <v>4309</v>
      </c>
      <c r="AP179" t="s">
        <v>3770</v>
      </c>
      <c r="AQ179" t="s">
        <v>4190</v>
      </c>
      <c r="AR179">
        <v>198</v>
      </c>
      <c r="AS179" t="s">
        <v>4310</v>
      </c>
      <c r="AT179">
        <v>43</v>
      </c>
      <c r="AU179">
        <v>94</v>
      </c>
      <c r="AV179">
        <v>0</v>
      </c>
      <c r="AW179">
        <v>0</v>
      </c>
      <c r="AX179" t="s">
        <v>2579</v>
      </c>
    </row>
    <row r="180" spans="1:50" x14ac:dyDescent="0.25">
      <c r="A180">
        <v>175</v>
      </c>
      <c r="B180" t="s">
        <v>3157</v>
      </c>
      <c r="C180" t="s">
        <v>1829</v>
      </c>
      <c r="D180">
        <v>22</v>
      </c>
      <c r="E180" t="s">
        <v>1719</v>
      </c>
      <c r="F180">
        <v>80</v>
      </c>
      <c r="G180">
        <v>5</v>
      </c>
      <c r="H180">
        <v>34</v>
      </c>
      <c r="I180">
        <v>39</v>
      </c>
      <c r="J180">
        <v>42</v>
      </c>
      <c r="K180">
        <v>11</v>
      </c>
      <c r="L180">
        <v>5</v>
      </c>
      <c r="M180">
        <v>0</v>
      </c>
      <c r="N180">
        <v>0</v>
      </c>
      <c r="O180">
        <v>0</v>
      </c>
      <c r="P180">
        <v>0</v>
      </c>
      <c r="Q180">
        <v>27</v>
      </c>
      <c r="R180">
        <v>7</v>
      </c>
      <c r="S180">
        <v>0</v>
      </c>
      <c r="T180">
        <v>10</v>
      </c>
      <c r="U180">
        <v>2</v>
      </c>
      <c r="V180">
        <v>32</v>
      </c>
      <c r="W180">
        <v>7</v>
      </c>
      <c r="X180">
        <v>0</v>
      </c>
      <c r="Y180">
        <v>10</v>
      </c>
      <c r="Z180">
        <v>2</v>
      </c>
      <c r="AA180" t="s">
        <v>4258</v>
      </c>
      <c r="AB180" s="24">
        <v>0.7270833333333333</v>
      </c>
      <c r="AC180" s="24">
        <v>0.65694444444444444</v>
      </c>
      <c r="AD180" s="24">
        <v>5.7638888888888885E-2</v>
      </c>
      <c r="AE180" s="24">
        <v>1.1805555555555555E-2</v>
      </c>
      <c r="AF180" t="s">
        <v>3849</v>
      </c>
      <c r="AG180" t="s">
        <v>3289</v>
      </c>
      <c r="AH180" t="s">
        <v>4311</v>
      </c>
      <c r="AI180" t="s">
        <v>3997</v>
      </c>
      <c r="AJ180" t="s">
        <v>3894</v>
      </c>
      <c r="AK180" t="s">
        <v>4312</v>
      </c>
      <c r="AL180" t="s">
        <v>3830</v>
      </c>
      <c r="AM180" t="s">
        <v>4313</v>
      </c>
      <c r="AN180" t="s">
        <v>4313</v>
      </c>
      <c r="AO180" t="s">
        <v>4314</v>
      </c>
      <c r="AP180" t="s">
        <v>3808</v>
      </c>
      <c r="AQ180" t="s">
        <v>2589</v>
      </c>
      <c r="AR180">
        <v>127</v>
      </c>
      <c r="AS180" t="s">
        <v>3674</v>
      </c>
      <c r="AT180">
        <v>147</v>
      </c>
      <c r="AU180">
        <v>68</v>
      </c>
      <c r="AV180">
        <v>0</v>
      </c>
      <c r="AW180">
        <v>1</v>
      </c>
      <c r="AX180" t="s">
        <v>2579</v>
      </c>
    </row>
    <row r="181" spans="1:50" x14ac:dyDescent="0.25">
      <c r="A181">
        <v>176</v>
      </c>
      <c r="B181" t="s">
        <v>3157</v>
      </c>
      <c r="C181" t="s">
        <v>695</v>
      </c>
      <c r="D181">
        <v>30</v>
      </c>
      <c r="E181" t="s">
        <v>1719</v>
      </c>
      <c r="F181">
        <v>78</v>
      </c>
      <c r="G181">
        <v>5</v>
      </c>
      <c r="H181">
        <v>34</v>
      </c>
      <c r="I181">
        <v>39</v>
      </c>
      <c r="J181">
        <v>32</v>
      </c>
      <c r="K181">
        <v>20</v>
      </c>
      <c r="L181">
        <v>4</v>
      </c>
      <c r="M181">
        <v>1</v>
      </c>
      <c r="N181">
        <v>0</v>
      </c>
      <c r="O181">
        <v>2</v>
      </c>
      <c r="P181">
        <v>0</v>
      </c>
      <c r="Q181">
        <v>25</v>
      </c>
      <c r="R181">
        <v>8</v>
      </c>
      <c r="S181">
        <v>1</v>
      </c>
      <c r="T181">
        <v>9</v>
      </c>
      <c r="U181">
        <v>2</v>
      </c>
      <c r="V181">
        <v>29</v>
      </c>
      <c r="W181">
        <v>9</v>
      </c>
      <c r="X181">
        <v>1</v>
      </c>
      <c r="Y181">
        <v>11</v>
      </c>
      <c r="Z181">
        <v>2</v>
      </c>
      <c r="AA181" t="s">
        <v>3227</v>
      </c>
      <c r="AB181" s="24">
        <v>0.92361111111111116</v>
      </c>
      <c r="AC181" s="24">
        <v>0.74097222222222225</v>
      </c>
      <c r="AD181" s="24">
        <v>7.4305555555555555E-2</v>
      </c>
      <c r="AE181" s="24">
        <v>0.1076388888888889</v>
      </c>
      <c r="AF181" t="s">
        <v>4264</v>
      </c>
      <c r="AG181" t="s">
        <v>3968</v>
      </c>
      <c r="AH181" t="s">
        <v>2850</v>
      </c>
      <c r="AI181" t="s">
        <v>4264</v>
      </c>
      <c r="AJ181" t="s">
        <v>4315</v>
      </c>
      <c r="AK181" t="s">
        <v>4316</v>
      </c>
      <c r="AL181" t="s">
        <v>4044</v>
      </c>
      <c r="AM181" t="s">
        <v>4317</v>
      </c>
      <c r="AN181" t="s">
        <v>4318</v>
      </c>
      <c r="AO181" t="s">
        <v>4319</v>
      </c>
      <c r="AP181" t="s">
        <v>3184</v>
      </c>
      <c r="AQ181" t="s">
        <v>3013</v>
      </c>
      <c r="AR181">
        <v>154</v>
      </c>
      <c r="AS181" t="s">
        <v>3524</v>
      </c>
      <c r="AT181">
        <v>147</v>
      </c>
      <c r="AU181">
        <v>93</v>
      </c>
      <c r="AV181">
        <v>0</v>
      </c>
      <c r="AW181">
        <v>0</v>
      </c>
      <c r="AX181" t="s">
        <v>2579</v>
      </c>
    </row>
    <row r="182" spans="1:50" x14ac:dyDescent="0.25">
      <c r="A182">
        <v>177</v>
      </c>
      <c r="B182" t="s">
        <v>3156</v>
      </c>
      <c r="C182" t="s">
        <v>680</v>
      </c>
      <c r="D182">
        <v>31</v>
      </c>
      <c r="E182" t="s">
        <v>1719</v>
      </c>
      <c r="F182">
        <v>79</v>
      </c>
      <c r="G182">
        <v>3</v>
      </c>
      <c r="H182">
        <v>36</v>
      </c>
      <c r="I182">
        <v>39</v>
      </c>
      <c r="J182">
        <v>26</v>
      </c>
      <c r="K182">
        <v>5</v>
      </c>
      <c r="L182">
        <v>1</v>
      </c>
      <c r="M182">
        <v>2</v>
      </c>
      <c r="N182">
        <v>0</v>
      </c>
      <c r="O182">
        <v>0</v>
      </c>
      <c r="P182">
        <v>0</v>
      </c>
      <c r="Q182">
        <v>24</v>
      </c>
      <c r="R182">
        <v>12</v>
      </c>
      <c r="S182">
        <v>0</v>
      </c>
      <c r="T182">
        <v>5</v>
      </c>
      <c r="U182">
        <v>2</v>
      </c>
      <c r="V182">
        <v>25</v>
      </c>
      <c r="W182">
        <v>14</v>
      </c>
      <c r="X182">
        <v>0</v>
      </c>
      <c r="Y182">
        <v>5</v>
      </c>
      <c r="Z182">
        <v>2</v>
      </c>
      <c r="AA182" t="s">
        <v>4266</v>
      </c>
      <c r="AB182" s="24">
        <v>0.91249999999999998</v>
      </c>
      <c r="AC182" s="24">
        <v>0.72222222222222221</v>
      </c>
      <c r="AD182" s="24">
        <v>0.11180555555555556</v>
      </c>
      <c r="AE182" s="24">
        <v>7.7083333333333337E-2</v>
      </c>
      <c r="AF182" t="s">
        <v>4320</v>
      </c>
      <c r="AG182" t="s">
        <v>4321</v>
      </c>
      <c r="AH182" t="s">
        <v>2787</v>
      </c>
      <c r="AI182" t="s">
        <v>4322</v>
      </c>
      <c r="AJ182" t="s">
        <v>4323</v>
      </c>
      <c r="AK182" t="s">
        <v>3786</v>
      </c>
      <c r="AL182" t="s">
        <v>4324</v>
      </c>
      <c r="AM182" t="s">
        <v>4325</v>
      </c>
      <c r="AN182" t="s">
        <v>4326</v>
      </c>
      <c r="AO182" t="s">
        <v>4327</v>
      </c>
      <c r="AP182" t="s">
        <v>3799</v>
      </c>
      <c r="AQ182" t="s">
        <v>2732</v>
      </c>
      <c r="AR182">
        <v>131</v>
      </c>
      <c r="AS182" t="s">
        <v>4328</v>
      </c>
      <c r="AT182">
        <v>111</v>
      </c>
      <c r="AU182">
        <v>147</v>
      </c>
      <c r="AV182">
        <v>0</v>
      </c>
      <c r="AW182">
        <v>1</v>
      </c>
      <c r="AX182" t="s">
        <v>2579</v>
      </c>
    </row>
    <row r="183" spans="1:50" x14ac:dyDescent="0.25">
      <c r="A183">
        <v>178</v>
      </c>
      <c r="B183" t="s">
        <v>3156</v>
      </c>
      <c r="C183" t="s">
        <v>99</v>
      </c>
      <c r="D183">
        <v>32</v>
      </c>
      <c r="E183" t="s">
        <v>2504</v>
      </c>
      <c r="F183">
        <v>67</v>
      </c>
      <c r="G183">
        <v>23</v>
      </c>
      <c r="H183">
        <v>15</v>
      </c>
      <c r="I183">
        <v>38</v>
      </c>
      <c r="J183">
        <v>26</v>
      </c>
      <c r="K183">
        <v>9</v>
      </c>
      <c r="L183">
        <v>16</v>
      </c>
      <c r="M183">
        <v>6</v>
      </c>
      <c r="N183">
        <v>1</v>
      </c>
      <c r="O183">
        <v>3</v>
      </c>
      <c r="P183">
        <v>0</v>
      </c>
      <c r="Q183">
        <v>12</v>
      </c>
      <c r="R183">
        <v>3</v>
      </c>
      <c r="S183">
        <v>0</v>
      </c>
      <c r="T183">
        <v>1</v>
      </c>
      <c r="U183">
        <v>0</v>
      </c>
      <c r="V183">
        <v>28</v>
      </c>
      <c r="W183">
        <v>9</v>
      </c>
      <c r="X183">
        <v>1</v>
      </c>
      <c r="Y183">
        <v>4</v>
      </c>
      <c r="Z183">
        <v>0</v>
      </c>
      <c r="AA183" t="s">
        <v>3061</v>
      </c>
      <c r="AB183" s="24">
        <v>0.68541666666666667</v>
      </c>
      <c r="AC183" s="24">
        <v>0.55138888888888882</v>
      </c>
      <c r="AD183" s="24">
        <v>8.3333333333333329E-2</v>
      </c>
      <c r="AE183" s="24">
        <v>4.9999999999999996E-2</v>
      </c>
      <c r="AF183" t="s">
        <v>3462</v>
      </c>
      <c r="AG183" t="s">
        <v>4329</v>
      </c>
      <c r="AH183" t="s">
        <v>4330</v>
      </c>
      <c r="AI183" t="s">
        <v>4066</v>
      </c>
      <c r="AJ183" t="s">
        <v>3029</v>
      </c>
      <c r="AK183" t="s">
        <v>2836</v>
      </c>
      <c r="AL183" t="s">
        <v>4331</v>
      </c>
      <c r="AM183" t="s">
        <v>4332</v>
      </c>
      <c r="AN183" t="s">
        <v>4333</v>
      </c>
      <c r="AO183" t="s">
        <v>4334</v>
      </c>
      <c r="AP183" t="s">
        <v>3769</v>
      </c>
      <c r="AQ183" t="s">
        <v>4335</v>
      </c>
      <c r="AR183">
        <v>195</v>
      </c>
      <c r="AS183" t="s">
        <v>3140</v>
      </c>
      <c r="AT183">
        <v>63</v>
      </c>
      <c r="AU183">
        <v>35</v>
      </c>
      <c r="AV183">
        <v>0</v>
      </c>
      <c r="AW183">
        <v>1</v>
      </c>
      <c r="AX183" t="s">
        <v>2579</v>
      </c>
    </row>
    <row r="184" spans="1:50" x14ac:dyDescent="0.25">
      <c r="A184">
        <v>179</v>
      </c>
      <c r="B184" t="s">
        <v>3162</v>
      </c>
      <c r="C184" t="s">
        <v>1825</v>
      </c>
      <c r="D184">
        <v>20</v>
      </c>
      <c r="E184" t="s">
        <v>2504</v>
      </c>
      <c r="F184">
        <v>75</v>
      </c>
      <c r="G184">
        <v>20</v>
      </c>
      <c r="H184">
        <v>18</v>
      </c>
      <c r="I184">
        <v>38</v>
      </c>
      <c r="J184">
        <v>22</v>
      </c>
      <c r="K184">
        <v>-25</v>
      </c>
      <c r="L184">
        <v>16</v>
      </c>
      <c r="M184">
        <v>4</v>
      </c>
      <c r="N184">
        <v>0</v>
      </c>
      <c r="O184">
        <v>2</v>
      </c>
      <c r="P184">
        <v>1</v>
      </c>
      <c r="Q184">
        <v>12</v>
      </c>
      <c r="R184">
        <v>6</v>
      </c>
      <c r="S184">
        <v>0</v>
      </c>
      <c r="T184">
        <v>2</v>
      </c>
      <c r="U184">
        <v>0</v>
      </c>
      <c r="V184">
        <v>28</v>
      </c>
      <c r="W184">
        <v>10</v>
      </c>
      <c r="X184">
        <v>0</v>
      </c>
      <c r="Y184">
        <v>4</v>
      </c>
      <c r="Z184">
        <v>1</v>
      </c>
      <c r="AA184" t="s">
        <v>4336</v>
      </c>
      <c r="AB184" s="24">
        <v>0.75277777777777777</v>
      </c>
      <c r="AC184" s="24">
        <v>0.63611111111111118</v>
      </c>
      <c r="AD184" s="24">
        <v>0.11319444444444444</v>
      </c>
      <c r="AE184" s="24">
        <v>2.7777777777777779E-3</v>
      </c>
      <c r="AF184" t="s">
        <v>2934</v>
      </c>
      <c r="AG184" t="s">
        <v>2940</v>
      </c>
      <c r="AH184" t="s">
        <v>3182</v>
      </c>
      <c r="AI184" t="s">
        <v>4337</v>
      </c>
      <c r="AJ184" t="s">
        <v>2702</v>
      </c>
      <c r="AK184" t="s">
        <v>3656</v>
      </c>
      <c r="AL184" t="s">
        <v>4338</v>
      </c>
      <c r="AM184" t="s">
        <v>4217</v>
      </c>
      <c r="AN184" t="s">
        <v>4339</v>
      </c>
      <c r="AO184" t="s">
        <v>4340</v>
      </c>
      <c r="AP184" t="s">
        <v>4341</v>
      </c>
      <c r="AQ184" t="s">
        <v>4342</v>
      </c>
      <c r="AR184">
        <v>133</v>
      </c>
      <c r="AS184" t="s">
        <v>4112</v>
      </c>
      <c r="AT184">
        <v>29</v>
      </c>
      <c r="AU184">
        <v>33</v>
      </c>
      <c r="AV184">
        <v>29</v>
      </c>
      <c r="AW184">
        <v>21</v>
      </c>
      <c r="AX184" t="s">
        <v>4343</v>
      </c>
    </row>
    <row r="185" spans="1:50" x14ac:dyDescent="0.25">
      <c r="A185">
        <v>180</v>
      </c>
      <c r="B185" t="s">
        <v>3157</v>
      </c>
      <c r="C185" t="s">
        <v>669</v>
      </c>
      <c r="D185">
        <v>32</v>
      </c>
      <c r="E185" t="s">
        <v>2504</v>
      </c>
      <c r="F185">
        <v>74</v>
      </c>
      <c r="G185">
        <v>17</v>
      </c>
      <c r="H185">
        <v>21</v>
      </c>
      <c r="I185">
        <v>38</v>
      </c>
      <c r="J185">
        <v>69</v>
      </c>
      <c r="K185">
        <v>2</v>
      </c>
      <c r="L185">
        <v>15</v>
      </c>
      <c r="M185">
        <v>2</v>
      </c>
      <c r="N185">
        <v>0</v>
      </c>
      <c r="O185">
        <v>2</v>
      </c>
      <c r="P185">
        <v>0</v>
      </c>
      <c r="Q185">
        <v>16</v>
      </c>
      <c r="R185">
        <v>5</v>
      </c>
      <c r="S185">
        <v>0</v>
      </c>
      <c r="T185">
        <v>3</v>
      </c>
      <c r="U185">
        <v>0</v>
      </c>
      <c r="V185">
        <v>31</v>
      </c>
      <c r="W185">
        <v>7</v>
      </c>
      <c r="X185">
        <v>0</v>
      </c>
      <c r="Y185">
        <v>5</v>
      </c>
      <c r="Z185">
        <v>0</v>
      </c>
      <c r="AA185" t="s">
        <v>3754</v>
      </c>
      <c r="AB185" s="24">
        <v>0.71319444444444446</v>
      </c>
      <c r="AC185" s="24">
        <v>0.60277777777777775</v>
      </c>
      <c r="AD185" s="24">
        <v>8.8888888888888892E-2</v>
      </c>
      <c r="AE185" s="24">
        <v>2.361111111111111E-2</v>
      </c>
      <c r="AF185" t="s">
        <v>2873</v>
      </c>
      <c r="AG185" t="s">
        <v>4344</v>
      </c>
      <c r="AH185" t="s">
        <v>4345</v>
      </c>
      <c r="AI185" t="s">
        <v>2831</v>
      </c>
      <c r="AJ185" t="s">
        <v>4346</v>
      </c>
      <c r="AK185" t="s">
        <v>4347</v>
      </c>
      <c r="AL185" t="s">
        <v>4348</v>
      </c>
      <c r="AM185" t="s">
        <v>4349</v>
      </c>
      <c r="AN185" t="s">
        <v>4350</v>
      </c>
      <c r="AO185" t="s">
        <v>4351</v>
      </c>
      <c r="AP185" t="s">
        <v>4352</v>
      </c>
      <c r="AQ185" t="s">
        <v>3152</v>
      </c>
      <c r="AR185">
        <v>175</v>
      </c>
      <c r="AS185" t="s">
        <v>3982</v>
      </c>
      <c r="AT185">
        <v>226</v>
      </c>
      <c r="AU185">
        <v>46</v>
      </c>
      <c r="AV185">
        <v>60</v>
      </c>
      <c r="AW185">
        <v>63</v>
      </c>
      <c r="AX185" t="s">
        <v>4353</v>
      </c>
    </row>
    <row r="186" spans="1:50" x14ac:dyDescent="0.25">
      <c r="A186">
        <v>181</v>
      </c>
      <c r="B186" t="s">
        <v>3156</v>
      </c>
      <c r="C186" t="s">
        <v>701</v>
      </c>
      <c r="D186">
        <v>25</v>
      </c>
      <c r="E186" t="s">
        <v>1719</v>
      </c>
      <c r="F186">
        <v>71</v>
      </c>
      <c r="G186">
        <v>16</v>
      </c>
      <c r="H186">
        <v>22</v>
      </c>
      <c r="I186">
        <v>38</v>
      </c>
      <c r="J186">
        <v>29</v>
      </c>
      <c r="K186">
        <v>17</v>
      </c>
      <c r="L186">
        <v>11</v>
      </c>
      <c r="M186">
        <v>4</v>
      </c>
      <c r="N186">
        <v>1</v>
      </c>
      <c r="O186">
        <v>3</v>
      </c>
      <c r="P186">
        <v>0</v>
      </c>
      <c r="Q186">
        <v>13</v>
      </c>
      <c r="R186">
        <v>7</v>
      </c>
      <c r="S186">
        <v>2</v>
      </c>
      <c r="T186">
        <v>4</v>
      </c>
      <c r="U186">
        <v>0</v>
      </c>
      <c r="V186">
        <v>24</v>
      </c>
      <c r="W186">
        <v>11</v>
      </c>
      <c r="X186">
        <v>3</v>
      </c>
      <c r="Y186">
        <v>7</v>
      </c>
      <c r="Z186">
        <v>0</v>
      </c>
      <c r="AA186" t="s">
        <v>4354</v>
      </c>
      <c r="AB186" s="24">
        <v>0.99791666666666667</v>
      </c>
      <c r="AC186" s="24">
        <v>0.79791666666666661</v>
      </c>
      <c r="AD186" s="24">
        <v>9.0972222222222218E-2</v>
      </c>
      <c r="AE186" s="24">
        <v>0.10833333333333334</v>
      </c>
      <c r="AF186" t="s">
        <v>4324</v>
      </c>
      <c r="AG186" t="s">
        <v>2775</v>
      </c>
      <c r="AH186" t="s">
        <v>4355</v>
      </c>
      <c r="AI186" t="s">
        <v>3226</v>
      </c>
      <c r="AJ186" t="s">
        <v>2631</v>
      </c>
      <c r="AK186" t="s">
        <v>4356</v>
      </c>
      <c r="AL186" t="s">
        <v>4357</v>
      </c>
      <c r="AM186" t="s">
        <v>4358</v>
      </c>
      <c r="AN186" t="s">
        <v>4359</v>
      </c>
      <c r="AO186" t="s">
        <v>3177</v>
      </c>
      <c r="AP186" t="s">
        <v>3386</v>
      </c>
      <c r="AQ186" t="s">
        <v>3181</v>
      </c>
      <c r="AR186">
        <v>140</v>
      </c>
      <c r="AS186" t="s">
        <v>3432</v>
      </c>
      <c r="AT186">
        <v>64</v>
      </c>
      <c r="AU186">
        <v>137</v>
      </c>
      <c r="AV186">
        <v>0</v>
      </c>
      <c r="AW186">
        <v>0</v>
      </c>
      <c r="AX186" t="s">
        <v>2579</v>
      </c>
    </row>
    <row r="187" spans="1:50" x14ac:dyDescent="0.25">
      <c r="A187">
        <v>182</v>
      </c>
      <c r="B187" t="s">
        <v>3158</v>
      </c>
      <c r="C187" t="s">
        <v>1831</v>
      </c>
      <c r="D187">
        <v>23</v>
      </c>
      <c r="E187" t="s">
        <v>1719</v>
      </c>
      <c r="F187">
        <v>82</v>
      </c>
      <c r="G187">
        <v>12</v>
      </c>
      <c r="H187">
        <v>26</v>
      </c>
      <c r="I187">
        <v>38</v>
      </c>
      <c r="J187">
        <v>6</v>
      </c>
      <c r="K187">
        <v>7</v>
      </c>
      <c r="L187">
        <v>9</v>
      </c>
      <c r="M187">
        <v>3</v>
      </c>
      <c r="N187">
        <v>0</v>
      </c>
      <c r="O187">
        <v>3</v>
      </c>
      <c r="P187">
        <v>0</v>
      </c>
      <c r="Q187">
        <v>12</v>
      </c>
      <c r="R187">
        <v>13</v>
      </c>
      <c r="S187">
        <v>1</v>
      </c>
      <c r="T187">
        <v>5</v>
      </c>
      <c r="U187">
        <v>2</v>
      </c>
      <c r="V187">
        <v>21</v>
      </c>
      <c r="W187">
        <v>16</v>
      </c>
      <c r="X187">
        <v>1</v>
      </c>
      <c r="Y187">
        <v>8</v>
      </c>
      <c r="Z187">
        <v>2</v>
      </c>
      <c r="AA187" t="s">
        <v>3203</v>
      </c>
      <c r="AB187" s="24">
        <v>0.93194444444444446</v>
      </c>
      <c r="AC187" s="24">
        <v>0.75763888888888886</v>
      </c>
      <c r="AD187" s="24">
        <v>0.10347222222222223</v>
      </c>
      <c r="AE187" s="24">
        <v>7.013888888888889E-2</v>
      </c>
      <c r="AF187" t="s">
        <v>4360</v>
      </c>
      <c r="AG187" t="s">
        <v>3300</v>
      </c>
      <c r="AH187" t="s">
        <v>2881</v>
      </c>
      <c r="AI187" t="s">
        <v>4361</v>
      </c>
      <c r="AJ187" t="s">
        <v>4362</v>
      </c>
      <c r="AK187" t="s">
        <v>4282</v>
      </c>
      <c r="AL187" t="s">
        <v>2716</v>
      </c>
      <c r="AM187" t="s">
        <v>3565</v>
      </c>
      <c r="AN187" t="s">
        <v>4363</v>
      </c>
      <c r="AO187" t="s">
        <v>4055</v>
      </c>
      <c r="AP187" t="s">
        <v>2673</v>
      </c>
      <c r="AQ187" t="s">
        <v>3245</v>
      </c>
      <c r="AR187">
        <v>201</v>
      </c>
      <c r="AS187" t="s">
        <v>4364</v>
      </c>
      <c r="AT187">
        <v>43</v>
      </c>
      <c r="AU187">
        <v>146</v>
      </c>
      <c r="AV187">
        <v>0</v>
      </c>
      <c r="AW187">
        <v>0</v>
      </c>
      <c r="AX187" t="s">
        <v>2579</v>
      </c>
    </row>
    <row r="188" spans="1:50" x14ac:dyDescent="0.25">
      <c r="A188">
        <v>183</v>
      </c>
      <c r="B188" t="s">
        <v>3156</v>
      </c>
      <c r="C188" t="s">
        <v>1830</v>
      </c>
      <c r="D188">
        <v>27</v>
      </c>
      <c r="E188" t="s">
        <v>1719</v>
      </c>
      <c r="F188">
        <v>76</v>
      </c>
      <c r="G188">
        <v>10</v>
      </c>
      <c r="H188">
        <v>28</v>
      </c>
      <c r="I188">
        <v>38</v>
      </c>
      <c r="J188">
        <v>20</v>
      </c>
      <c r="K188">
        <v>33</v>
      </c>
      <c r="L188">
        <v>9</v>
      </c>
      <c r="M188">
        <v>1</v>
      </c>
      <c r="N188">
        <v>0</v>
      </c>
      <c r="O188">
        <v>2</v>
      </c>
      <c r="P188">
        <v>1</v>
      </c>
      <c r="Q188">
        <v>23</v>
      </c>
      <c r="R188">
        <v>4</v>
      </c>
      <c r="S188">
        <v>1</v>
      </c>
      <c r="T188">
        <v>2</v>
      </c>
      <c r="U188">
        <v>1</v>
      </c>
      <c r="V188">
        <v>32</v>
      </c>
      <c r="W188">
        <v>5</v>
      </c>
      <c r="X188">
        <v>1</v>
      </c>
      <c r="Y188">
        <v>4</v>
      </c>
      <c r="Z188">
        <v>2</v>
      </c>
      <c r="AA188" t="s">
        <v>2941</v>
      </c>
      <c r="AB188" s="25">
        <v>1.0006944444444443</v>
      </c>
      <c r="AC188" s="24">
        <v>0.81805555555555554</v>
      </c>
      <c r="AD188" s="24">
        <v>9.3055555555555558E-2</v>
      </c>
      <c r="AE188" s="24">
        <v>9.0277777777777776E-2</v>
      </c>
      <c r="AF188" t="s">
        <v>2939</v>
      </c>
      <c r="AG188" t="s">
        <v>4003</v>
      </c>
      <c r="AH188" t="s">
        <v>4321</v>
      </c>
      <c r="AI188" t="s">
        <v>4361</v>
      </c>
      <c r="AJ188" t="s">
        <v>3311</v>
      </c>
      <c r="AK188" t="s">
        <v>4365</v>
      </c>
      <c r="AL188" t="s">
        <v>4366</v>
      </c>
      <c r="AM188" t="s">
        <v>4367</v>
      </c>
      <c r="AN188" t="s">
        <v>4224</v>
      </c>
      <c r="AO188" t="s">
        <v>4368</v>
      </c>
      <c r="AP188" t="s">
        <v>4369</v>
      </c>
      <c r="AQ188" t="s">
        <v>3013</v>
      </c>
      <c r="AR188">
        <v>144</v>
      </c>
      <c r="AS188" t="s">
        <v>4049</v>
      </c>
      <c r="AT188">
        <v>49</v>
      </c>
      <c r="AU188">
        <v>140</v>
      </c>
      <c r="AV188">
        <v>0</v>
      </c>
      <c r="AW188">
        <v>0</v>
      </c>
      <c r="AX188" t="s">
        <v>2579</v>
      </c>
    </row>
    <row r="189" spans="1:50" x14ac:dyDescent="0.25">
      <c r="A189">
        <v>184</v>
      </c>
      <c r="B189" t="s">
        <v>3156</v>
      </c>
      <c r="C189" t="s">
        <v>53</v>
      </c>
      <c r="D189">
        <v>21</v>
      </c>
      <c r="E189" t="s">
        <v>2504</v>
      </c>
      <c r="F189">
        <v>59</v>
      </c>
      <c r="G189">
        <v>9</v>
      </c>
      <c r="H189">
        <v>29</v>
      </c>
      <c r="I189">
        <v>38</v>
      </c>
      <c r="J189">
        <v>40</v>
      </c>
      <c r="K189">
        <v>-9</v>
      </c>
      <c r="L189">
        <v>8</v>
      </c>
      <c r="M189">
        <v>1</v>
      </c>
      <c r="N189">
        <v>0</v>
      </c>
      <c r="O189">
        <v>1</v>
      </c>
      <c r="P189">
        <v>0</v>
      </c>
      <c r="Q189">
        <v>22</v>
      </c>
      <c r="R189">
        <v>7</v>
      </c>
      <c r="S189">
        <v>0</v>
      </c>
      <c r="T189">
        <v>5</v>
      </c>
      <c r="U189">
        <v>0</v>
      </c>
      <c r="V189">
        <v>30</v>
      </c>
      <c r="W189">
        <v>8</v>
      </c>
      <c r="X189">
        <v>0</v>
      </c>
      <c r="Y189">
        <v>6</v>
      </c>
      <c r="Z189">
        <v>0</v>
      </c>
      <c r="AA189" t="s">
        <v>4370</v>
      </c>
      <c r="AB189" s="24">
        <v>0.70694444444444438</v>
      </c>
      <c r="AC189" s="24">
        <v>0.59583333333333333</v>
      </c>
      <c r="AD189" s="24">
        <v>0.10625</v>
      </c>
      <c r="AE189" s="24">
        <v>4.1666666666666666E-3</v>
      </c>
      <c r="AF189" t="s">
        <v>4371</v>
      </c>
      <c r="AG189" t="s">
        <v>4347</v>
      </c>
      <c r="AH189" t="s">
        <v>3416</v>
      </c>
      <c r="AI189" t="s">
        <v>4372</v>
      </c>
      <c r="AJ189" t="s">
        <v>3812</v>
      </c>
      <c r="AK189" t="s">
        <v>3678</v>
      </c>
      <c r="AL189" t="s">
        <v>4373</v>
      </c>
      <c r="AM189" t="s">
        <v>4374</v>
      </c>
      <c r="AN189" t="s">
        <v>4375</v>
      </c>
      <c r="AO189" t="s">
        <v>3989</v>
      </c>
      <c r="AP189" t="s">
        <v>3445</v>
      </c>
      <c r="AQ189" t="s">
        <v>3700</v>
      </c>
      <c r="AR189">
        <v>108</v>
      </c>
      <c r="AS189" t="s">
        <v>4279</v>
      </c>
      <c r="AT189">
        <v>28</v>
      </c>
      <c r="AU189">
        <v>21</v>
      </c>
      <c r="AV189">
        <v>5</v>
      </c>
      <c r="AW189">
        <v>5</v>
      </c>
      <c r="AX189" t="s">
        <v>2647</v>
      </c>
    </row>
    <row r="190" spans="1:50" x14ac:dyDescent="0.25">
      <c r="A190">
        <v>185</v>
      </c>
      <c r="B190" t="s">
        <v>3156</v>
      </c>
      <c r="C190" t="s">
        <v>102</v>
      </c>
      <c r="D190">
        <v>25</v>
      </c>
      <c r="E190" t="s">
        <v>1719</v>
      </c>
      <c r="F190">
        <v>74</v>
      </c>
      <c r="G190">
        <v>7</v>
      </c>
      <c r="H190">
        <v>31</v>
      </c>
      <c r="I190">
        <v>38</v>
      </c>
      <c r="J190">
        <v>18</v>
      </c>
      <c r="K190">
        <v>-34</v>
      </c>
      <c r="L190">
        <v>6</v>
      </c>
      <c r="M190">
        <v>1</v>
      </c>
      <c r="N190">
        <v>0</v>
      </c>
      <c r="O190">
        <v>2</v>
      </c>
      <c r="P190">
        <v>0</v>
      </c>
      <c r="Q190">
        <v>22</v>
      </c>
      <c r="R190">
        <v>9</v>
      </c>
      <c r="S190">
        <v>0</v>
      </c>
      <c r="T190">
        <v>3</v>
      </c>
      <c r="U190">
        <v>2</v>
      </c>
      <c r="V190">
        <v>28</v>
      </c>
      <c r="W190">
        <v>10</v>
      </c>
      <c r="X190">
        <v>0</v>
      </c>
      <c r="Y190">
        <v>5</v>
      </c>
      <c r="Z190">
        <v>2</v>
      </c>
      <c r="AA190" t="s">
        <v>4336</v>
      </c>
      <c r="AB190" s="24">
        <v>0.97083333333333333</v>
      </c>
      <c r="AC190" s="24">
        <v>0.82013888888888886</v>
      </c>
      <c r="AD190" s="24">
        <v>0.12708333333333333</v>
      </c>
      <c r="AE190" s="24">
        <v>2.2222222222222223E-2</v>
      </c>
      <c r="AF190" t="s">
        <v>3012</v>
      </c>
      <c r="AG190" t="s">
        <v>4376</v>
      </c>
      <c r="AH190" t="s">
        <v>4377</v>
      </c>
      <c r="AI190" t="s">
        <v>3025</v>
      </c>
      <c r="AJ190" t="s">
        <v>4251</v>
      </c>
      <c r="AK190" t="s">
        <v>2750</v>
      </c>
      <c r="AL190" t="s">
        <v>4220</v>
      </c>
      <c r="AM190" t="s">
        <v>4378</v>
      </c>
      <c r="AN190" t="s">
        <v>4379</v>
      </c>
      <c r="AO190" t="s">
        <v>4380</v>
      </c>
      <c r="AP190" t="s">
        <v>4381</v>
      </c>
      <c r="AQ190" t="s">
        <v>3152</v>
      </c>
      <c r="AR190">
        <v>182</v>
      </c>
      <c r="AS190" t="s">
        <v>3674</v>
      </c>
      <c r="AT190">
        <v>32</v>
      </c>
      <c r="AU190">
        <v>75</v>
      </c>
      <c r="AV190">
        <v>0</v>
      </c>
      <c r="AW190">
        <v>0</v>
      </c>
      <c r="AX190" t="s">
        <v>2579</v>
      </c>
    </row>
    <row r="191" spans="1:50" x14ac:dyDescent="0.25">
      <c r="A191">
        <v>186</v>
      </c>
      <c r="B191" t="s">
        <v>3157</v>
      </c>
      <c r="C191" t="s">
        <v>1835</v>
      </c>
      <c r="D191">
        <v>28</v>
      </c>
      <c r="E191" t="s">
        <v>2504</v>
      </c>
      <c r="F191">
        <v>80</v>
      </c>
      <c r="G191">
        <v>18</v>
      </c>
      <c r="H191">
        <v>19</v>
      </c>
      <c r="I191">
        <v>37</v>
      </c>
      <c r="J191">
        <v>16</v>
      </c>
      <c r="K191">
        <v>-5</v>
      </c>
      <c r="L191">
        <v>11</v>
      </c>
      <c r="M191">
        <v>6</v>
      </c>
      <c r="N191">
        <v>1</v>
      </c>
      <c r="O191">
        <v>1</v>
      </c>
      <c r="P191">
        <v>0</v>
      </c>
      <c r="Q191">
        <v>14</v>
      </c>
      <c r="R191">
        <v>5</v>
      </c>
      <c r="S191">
        <v>0</v>
      </c>
      <c r="T191">
        <v>1</v>
      </c>
      <c r="U191">
        <v>0</v>
      </c>
      <c r="V191">
        <v>25</v>
      </c>
      <c r="W191">
        <v>11</v>
      </c>
      <c r="X191">
        <v>1</v>
      </c>
      <c r="Y191">
        <v>2</v>
      </c>
      <c r="Z191">
        <v>0</v>
      </c>
      <c r="AA191" t="s">
        <v>4382</v>
      </c>
      <c r="AB191" s="24">
        <v>0.69374999999999998</v>
      </c>
      <c r="AC191" s="24">
        <v>0.52569444444444446</v>
      </c>
      <c r="AD191" s="24">
        <v>7.1527777777777787E-2</v>
      </c>
      <c r="AE191" s="24">
        <v>9.5833333333333326E-2</v>
      </c>
      <c r="AF191" t="s">
        <v>3029</v>
      </c>
      <c r="AG191" t="s">
        <v>4383</v>
      </c>
      <c r="AH191" t="s">
        <v>4077</v>
      </c>
      <c r="AI191" t="s">
        <v>3458</v>
      </c>
      <c r="AJ191" t="s">
        <v>4384</v>
      </c>
      <c r="AK191" t="s">
        <v>2524</v>
      </c>
      <c r="AL191" t="s">
        <v>4385</v>
      </c>
      <c r="AM191" t="s">
        <v>3932</v>
      </c>
      <c r="AN191" t="s">
        <v>4386</v>
      </c>
      <c r="AO191" t="s">
        <v>3177</v>
      </c>
      <c r="AP191" t="s">
        <v>3997</v>
      </c>
      <c r="AQ191" t="s">
        <v>3245</v>
      </c>
      <c r="AR191">
        <v>142</v>
      </c>
      <c r="AS191" t="s">
        <v>3566</v>
      </c>
      <c r="AT191">
        <v>60</v>
      </c>
      <c r="AU191">
        <v>99</v>
      </c>
      <c r="AV191">
        <v>582</v>
      </c>
      <c r="AW191">
        <v>631</v>
      </c>
      <c r="AX191" t="s">
        <v>4387</v>
      </c>
    </row>
    <row r="192" spans="1:50" x14ac:dyDescent="0.25">
      <c r="A192">
        <v>187</v>
      </c>
      <c r="B192" t="s">
        <v>3157</v>
      </c>
      <c r="C192" t="s">
        <v>117</v>
      </c>
      <c r="D192">
        <v>24</v>
      </c>
      <c r="E192" t="s">
        <v>1719</v>
      </c>
      <c r="F192">
        <v>75</v>
      </c>
      <c r="G192">
        <v>17</v>
      </c>
      <c r="H192">
        <v>20</v>
      </c>
      <c r="I192">
        <v>37</v>
      </c>
      <c r="J192">
        <v>32</v>
      </c>
      <c r="K192">
        <v>-18</v>
      </c>
      <c r="L192">
        <v>13</v>
      </c>
      <c r="M192">
        <v>4</v>
      </c>
      <c r="N192">
        <v>0</v>
      </c>
      <c r="O192">
        <v>2</v>
      </c>
      <c r="P192">
        <v>0</v>
      </c>
      <c r="Q192">
        <v>11</v>
      </c>
      <c r="R192">
        <v>9</v>
      </c>
      <c r="S192">
        <v>0</v>
      </c>
      <c r="T192">
        <v>4</v>
      </c>
      <c r="U192">
        <v>2</v>
      </c>
      <c r="V192">
        <v>24</v>
      </c>
      <c r="W192">
        <v>13</v>
      </c>
      <c r="X192">
        <v>0</v>
      </c>
      <c r="Y192">
        <v>6</v>
      </c>
      <c r="Z192">
        <v>2</v>
      </c>
      <c r="AA192" t="s">
        <v>2607</v>
      </c>
      <c r="AB192" s="24">
        <v>0.96388888888888891</v>
      </c>
      <c r="AC192" s="24">
        <v>0.8208333333333333</v>
      </c>
      <c r="AD192" s="24">
        <v>0.11319444444444444</v>
      </c>
      <c r="AE192" s="24">
        <v>2.9166666666666664E-2</v>
      </c>
      <c r="AF192" t="s">
        <v>2530</v>
      </c>
      <c r="AG192" t="s">
        <v>3464</v>
      </c>
      <c r="AH192" t="s">
        <v>3285</v>
      </c>
      <c r="AI192" t="s">
        <v>3733</v>
      </c>
      <c r="AJ192" t="s">
        <v>4388</v>
      </c>
      <c r="AK192" t="s">
        <v>4389</v>
      </c>
      <c r="AL192" t="s">
        <v>4390</v>
      </c>
      <c r="AM192" t="s">
        <v>4391</v>
      </c>
      <c r="AN192" t="s">
        <v>4392</v>
      </c>
      <c r="AO192" t="s">
        <v>3575</v>
      </c>
      <c r="AP192" t="s">
        <v>4340</v>
      </c>
      <c r="AQ192" t="s">
        <v>2841</v>
      </c>
      <c r="AR192">
        <v>225</v>
      </c>
      <c r="AS192" t="s">
        <v>4295</v>
      </c>
      <c r="AT192">
        <v>117</v>
      </c>
      <c r="AU192">
        <v>84</v>
      </c>
      <c r="AV192">
        <v>0</v>
      </c>
      <c r="AW192">
        <v>0</v>
      </c>
      <c r="AX192" t="s">
        <v>2579</v>
      </c>
    </row>
    <row r="193" spans="1:50" x14ac:dyDescent="0.25">
      <c r="A193">
        <v>188</v>
      </c>
      <c r="B193" t="s">
        <v>3156</v>
      </c>
      <c r="C193" t="s">
        <v>143</v>
      </c>
      <c r="D193">
        <v>25</v>
      </c>
      <c r="E193" t="s">
        <v>2504</v>
      </c>
      <c r="F193">
        <v>80</v>
      </c>
      <c r="G193">
        <v>15</v>
      </c>
      <c r="H193">
        <v>22</v>
      </c>
      <c r="I193">
        <v>37</v>
      </c>
      <c r="J193">
        <v>17</v>
      </c>
      <c r="K193">
        <v>-13</v>
      </c>
      <c r="L193">
        <v>8</v>
      </c>
      <c r="M193">
        <v>6</v>
      </c>
      <c r="N193">
        <v>1</v>
      </c>
      <c r="O193">
        <v>3</v>
      </c>
      <c r="P193">
        <v>0</v>
      </c>
      <c r="Q193">
        <v>17</v>
      </c>
      <c r="R193">
        <v>5</v>
      </c>
      <c r="S193">
        <v>0</v>
      </c>
      <c r="T193">
        <v>4</v>
      </c>
      <c r="U193">
        <v>1</v>
      </c>
      <c r="V193">
        <v>25</v>
      </c>
      <c r="W193">
        <v>11</v>
      </c>
      <c r="X193">
        <v>1</v>
      </c>
      <c r="Y193">
        <v>7</v>
      </c>
      <c r="Z193">
        <v>1</v>
      </c>
      <c r="AA193" t="s">
        <v>4382</v>
      </c>
      <c r="AB193" s="24">
        <v>0.7631944444444444</v>
      </c>
      <c r="AC193" s="24">
        <v>0.59166666666666667</v>
      </c>
      <c r="AD193" s="24">
        <v>9.8611111111111108E-2</v>
      </c>
      <c r="AE193" s="24">
        <v>7.1527777777777787E-2</v>
      </c>
      <c r="AF193" t="s">
        <v>4063</v>
      </c>
      <c r="AG193" t="s">
        <v>4393</v>
      </c>
      <c r="AH193" t="s">
        <v>4394</v>
      </c>
      <c r="AI193" t="s">
        <v>4395</v>
      </c>
      <c r="AJ193" t="s">
        <v>4396</v>
      </c>
      <c r="AK193" t="s">
        <v>4397</v>
      </c>
      <c r="AL193" t="s">
        <v>3373</v>
      </c>
      <c r="AM193" t="s">
        <v>4398</v>
      </c>
      <c r="AN193" t="s">
        <v>2629</v>
      </c>
      <c r="AO193" t="s">
        <v>3080</v>
      </c>
      <c r="AP193" t="s">
        <v>4103</v>
      </c>
      <c r="AQ193" t="s">
        <v>3245</v>
      </c>
      <c r="AR193">
        <v>160</v>
      </c>
      <c r="AS193" t="s">
        <v>3434</v>
      </c>
      <c r="AT193">
        <v>75</v>
      </c>
      <c r="AU193">
        <v>34</v>
      </c>
      <c r="AV193">
        <v>3</v>
      </c>
      <c r="AW193">
        <v>3</v>
      </c>
      <c r="AX193" t="s">
        <v>2647</v>
      </c>
    </row>
    <row r="194" spans="1:50" x14ac:dyDescent="0.25">
      <c r="A194">
        <v>189</v>
      </c>
      <c r="B194" t="s">
        <v>3156</v>
      </c>
      <c r="C194" t="s">
        <v>1833</v>
      </c>
      <c r="D194">
        <v>30</v>
      </c>
      <c r="E194" t="s">
        <v>2504</v>
      </c>
      <c r="F194">
        <v>69</v>
      </c>
      <c r="G194">
        <v>15</v>
      </c>
      <c r="H194">
        <v>22</v>
      </c>
      <c r="I194">
        <v>37</v>
      </c>
      <c r="J194">
        <v>46</v>
      </c>
      <c r="K194">
        <v>-3</v>
      </c>
      <c r="L194">
        <v>7</v>
      </c>
      <c r="M194">
        <v>8</v>
      </c>
      <c r="N194">
        <v>0</v>
      </c>
      <c r="O194">
        <v>1</v>
      </c>
      <c r="P194">
        <v>0</v>
      </c>
      <c r="Q194">
        <v>14</v>
      </c>
      <c r="R194">
        <v>8</v>
      </c>
      <c r="S194">
        <v>0</v>
      </c>
      <c r="T194">
        <v>4</v>
      </c>
      <c r="U194">
        <v>0</v>
      </c>
      <c r="V194">
        <v>21</v>
      </c>
      <c r="W194">
        <v>16</v>
      </c>
      <c r="X194">
        <v>0</v>
      </c>
      <c r="Y194">
        <v>5</v>
      </c>
      <c r="Z194">
        <v>0</v>
      </c>
      <c r="AA194" t="s">
        <v>4050</v>
      </c>
      <c r="AB194" s="24">
        <v>0.61319444444444449</v>
      </c>
      <c r="AC194" s="24">
        <v>0.50624999999999998</v>
      </c>
      <c r="AD194" s="24">
        <v>0.10555555555555556</v>
      </c>
      <c r="AE194" s="24">
        <v>6.9444444444444447E-4</v>
      </c>
      <c r="AF194" t="s">
        <v>4399</v>
      </c>
      <c r="AG194" t="s">
        <v>2864</v>
      </c>
      <c r="AH194" t="s">
        <v>4400</v>
      </c>
      <c r="AI194" t="s">
        <v>4401</v>
      </c>
      <c r="AJ194" t="s">
        <v>3046</v>
      </c>
      <c r="AK194" t="s">
        <v>2912</v>
      </c>
      <c r="AL194" t="s">
        <v>4402</v>
      </c>
      <c r="AM194" t="s">
        <v>4402</v>
      </c>
      <c r="AN194" t="s">
        <v>4403</v>
      </c>
      <c r="AO194" t="s">
        <v>4404</v>
      </c>
      <c r="AP194" t="s">
        <v>4405</v>
      </c>
      <c r="AQ194" t="s">
        <v>4406</v>
      </c>
      <c r="AR194">
        <v>136</v>
      </c>
      <c r="AS194" t="s">
        <v>4407</v>
      </c>
      <c r="AT194">
        <v>5</v>
      </c>
      <c r="AU194">
        <v>28</v>
      </c>
      <c r="AV194">
        <v>53</v>
      </c>
      <c r="AW194">
        <v>49</v>
      </c>
      <c r="AX194" t="s">
        <v>3940</v>
      </c>
    </row>
    <row r="195" spans="1:50" x14ac:dyDescent="0.25">
      <c r="A195">
        <v>190</v>
      </c>
      <c r="B195" t="s">
        <v>3158</v>
      </c>
      <c r="C195" t="s">
        <v>68</v>
      </c>
      <c r="D195">
        <v>23</v>
      </c>
      <c r="E195" t="s">
        <v>2504</v>
      </c>
      <c r="F195">
        <v>56</v>
      </c>
      <c r="G195">
        <v>14</v>
      </c>
      <c r="H195">
        <v>23</v>
      </c>
      <c r="I195">
        <v>37</v>
      </c>
      <c r="J195">
        <v>16</v>
      </c>
      <c r="K195">
        <v>9</v>
      </c>
      <c r="L195">
        <v>10</v>
      </c>
      <c r="M195">
        <v>4</v>
      </c>
      <c r="N195">
        <v>0</v>
      </c>
      <c r="O195">
        <v>2</v>
      </c>
      <c r="P195">
        <v>2</v>
      </c>
      <c r="Q195">
        <v>16</v>
      </c>
      <c r="R195">
        <v>7</v>
      </c>
      <c r="S195">
        <v>0</v>
      </c>
      <c r="T195">
        <v>7</v>
      </c>
      <c r="U195">
        <v>1</v>
      </c>
      <c r="V195">
        <v>26</v>
      </c>
      <c r="W195">
        <v>11</v>
      </c>
      <c r="X195">
        <v>0</v>
      </c>
      <c r="Y195">
        <v>9</v>
      </c>
      <c r="Z195">
        <v>3</v>
      </c>
      <c r="AA195" t="s">
        <v>4382</v>
      </c>
      <c r="AB195" s="24">
        <v>0.71111111111111114</v>
      </c>
      <c r="AC195" s="24">
        <v>0.58194444444444449</v>
      </c>
      <c r="AD195" s="24">
        <v>9.930555555555555E-2</v>
      </c>
      <c r="AE195" s="24">
        <v>2.9166666666666664E-2</v>
      </c>
      <c r="AF195" t="s">
        <v>3610</v>
      </c>
      <c r="AG195" t="s">
        <v>4408</v>
      </c>
      <c r="AH195" t="s">
        <v>3254</v>
      </c>
      <c r="AI195" t="s">
        <v>3003</v>
      </c>
      <c r="AJ195" t="s">
        <v>4409</v>
      </c>
      <c r="AK195" t="s">
        <v>4410</v>
      </c>
      <c r="AL195" t="s">
        <v>4231</v>
      </c>
      <c r="AM195" t="s">
        <v>4411</v>
      </c>
      <c r="AN195" t="s">
        <v>4412</v>
      </c>
      <c r="AO195" t="s">
        <v>3036</v>
      </c>
      <c r="AP195" t="s">
        <v>3893</v>
      </c>
      <c r="AQ195" t="s">
        <v>4300</v>
      </c>
      <c r="AR195">
        <v>119</v>
      </c>
      <c r="AS195" t="s">
        <v>3140</v>
      </c>
      <c r="AT195">
        <v>23</v>
      </c>
      <c r="AU195">
        <v>27</v>
      </c>
      <c r="AV195">
        <v>494</v>
      </c>
      <c r="AW195">
        <v>456</v>
      </c>
      <c r="AX195" t="s">
        <v>4413</v>
      </c>
    </row>
    <row r="196" spans="1:50" x14ac:dyDescent="0.25">
      <c r="A196">
        <v>191</v>
      </c>
      <c r="B196" t="s">
        <v>3156</v>
      </c>
      <c r="C196" t="s">
        <v>121</v>
      </c>
      <c r="D196">
        <v>34</v>
      </c>
      <c r="E196" t="s">
        <v>2504</v>
      </c>
      <c r="F196">
        <v>78</v>
      </c>
      <c r="G196">
        <v>13</v>
      </c>
      <c r="H196">
        <v>24</v>
      </c>
      <c r="I196">
        <v>37</v>
      </c>
      <c r="J196">
        <v>63</v>
      </c>
      <c r="K196">
        <v>14</v>
      </c>
      <c r="L196">
        <v>11</v>
      </c>
      <c r="M196">
        <v>2</v>
      </c>
      <c r="N196">
        <v>0</v>
      </c>
      <c r="O196">
        <v>1</v>
      </c>
      <c r="P196">
        <v>0</v>
      </c>
      <c r="Q196">
        <v>23</v>
      </c>
      <c r="R196">
        <v>1</v>
      </c>
      <c r="S196">
        <v>0</v>
      </c>
      <c r="T196">
        <v>3</v>
      </c>
      <c r="U196">
        <v>0</v>
      </c>
      <c r="V196">
        <v>34</v>
      </c>
      <c r="W196">
        <v>3</v>
      </c>
      <c r="X196">
        <v>0</v>
      </c>
      <c r="Y196">
        <v>4</v>
      </c>
      <c r="Z196">
        <v>0</v>
      </c>
      <c r="AA196" t="s">
        <v>3271</v>
      </c>
      <c r="AB196" s="24">
        <v>0.50277777777777777</v>
      </c>
      <c r="AC196" s="24">
        <v>0.44375000000000003</v>
      </c>
      <c r="AD196" s="24">
        <v>5.8333333333333327E-2</v>
      </c>
      <c r="AE196" s="24">
        <v>0</v>
      </c>
      <c r="AF196" t="s">
        <v>2846</v>
      </c>
      <c r="AG196" t="s">
        <v>3143</v>
      </c>
      <c r="AH196" t="s">
        <v>4414</v>
      </c>
      <c r="AI196" t="s">
        <v>4415</v>
      </c>
      <c r="AJ196" t="s">
        <v>4416</v>
      </c>
      <c r="AK196" t="s">
        <v>4417</v>
      </c>
      <c r="AL196" t="s">
        <v>3826</v>
      </c>
      <c r="AM196" t="s">
        <v>3088</v>
      </c>
      <c r="AN196" t="s">
        <v>2628</v>
      </c>
      <c r="AO196" t="s">
        <v>3732</v>
      </c>
      <c r="AP196" t="s">
        <v>4418</v>
      </c>
      <c r="AQ196" t="s">
        <v>3336</v>
      </c>
      <c r="AR196">
        <v>104</v>
      </c>
      <c r="AS196" t="s">
        <v>2832</v>
      </c>
      <c r="AT196">
        <v>94</v>
      </c>
      <c r="AU196">
        <v>40</v>
      </c>
      <c r="AV196">
        <v>3</v>
      </c>
      <c r="AW196">
        <v>3</v>
      </c>
      <c r="AX196" t="s">
        <v>2647</v>
      </c>
    </row>
    <row r="197" spans="1:50" x14ac:dyDescent="0.25">
      <c r="A197">
        <v>192</v>
      </c>
      <c r="B197" t="s">
        <v>3157</v>
      </c>
      <c r="C197" t="s">
        <v>113</v>
      </c>
      <c r="D197">
        <v>26</v>
      </c>
      <c r="E197" t="s">
        <v>1719</v>
      </c>
      <c r="F197">
        <v>72</v>
      </c>
      <c r="G197">
        <v>9</v>
      </c>
      <c r="H197">
        <v>28</v>
      </c>
      <c r="I197">
        <v>37</v>
      </c>
      <c r="J197">
        <v>10</v>
      </c>
      <c r="K197">
        <v>7</v>
      </c>
      <c r="L197">
        <v>6</v>
      </c>
      <c r="M197">
        <v>3</v>
      </c>
      <c r="N197">
        <v>0</v>
      </c>
      <c r="O197">
        <v>3</v>
      </c>
      <c r="P197">
        <v>0</v>
      </c>
      <c r="Q197">
        <v>14</v>
      </c>
      <c r="R197">
        <v>13</v>
      </c>
      <c r="S197">
        <v>1</v>
      </c>
      <c r="T197">
        <v>7</v>
      </c>
      <c r="U197">
        <v>2</v>
      </c>
      <c r="V197">
        <v>20</v>
      </c>
      <c r="W197">
        <v>16</v>
      </c>
      <c r="X197">
        <v>1</v>
      </c>
      <c r="Y197">
        <v>10</v>
      </c>
      <c r="Z197">
        <v>2</v>
      </c>
      <c r="AA197" t="s">
        <v>4050</v>
      </c>
      <c r="AB197" s="24">
        <v>0.94513888888888886</v>
      </c>
      <c r="AC197" s="24">
        <v>0.71111111111111114</v>
      </c>
      <c r="AD197" s="24">
        <v>0.10972222222222222</v>
      </c>
      <c r="AE197" s="24">
        <v>0.12361111111111112</v>
      </c>
      <c r="AF197" t="s">
        <v>4419</v>
      </c>
      <c r="AG197" t="s">
        <v>3288</v>
      </c>
      <c r="AH197" t="s">
        <v>3507</v>
      </c>
      <c r="AI197" t="s">
        <v>3127</v>
      </c>
      <c r="AJ197" t="s">
        <v>2810</v>
      </c>
      <c r="AK197" t="s">
        <v>4299</v>
      </c>
      <c r="AL197" t="s">
        <v>3778</v>
      </c>
      <c r="AM197" t="s">
        <v>4420</v>
      </c>
      <c r="AN197" t="s">
        <v>4421</v>
      </c>
      <c r="AO197" t="s">
        <v>4422</v>
      </c>
      <c r="AP197" t="s">
        <v>4423</v>
      </c>
      <c r="AQ197" t="s">
        <v>3152</v>
      </c>
      <c r="AR197">
        <v>180</v>
      </c>
      <c r="AS197" t="s">
        <v>4234</v>
      </c>
      <c r="AT197">
        <v>58</v>
      </c>
      <c r="AU197">
        <v>127</v>
      </c>
      <c r="AV197">
        <v>0</v>
      </c>
      <c r="AW197">
        <v>0</v>
      </c>
      <c r="AX197" t="s">
        <v>2579</v>
      </c>
    </row>
    <row r="198" spans="1:50" x14ac:dyDescent="0.25">
      <c r="A198">
        <v>193</v>
      </c>
      <c r="B198" t="s">
        <v>3156</v>
      </c>
      <c r="C198" t="s">
        <v>1837</v>
      </c>
      <c r="D198">
        <v>22</v>
      </c>
      <c r="E198" t="s">
        <v>2504</v>
      </c>
      <c r="F198">
        <v>82</v>
      </c>
      <c r="G198">
        <v>20</v>
      </c>
      <c r="H198">
        <v>16</v>
      </c>
      <c r="I198">
        <v>36</v>
      </c>
      <c r="J198">
        <v>10</v>
      </c>
      <c r="K198">
        <v>3</v>
      </c>
      <c r="L198">
        <v>17</v>
      </c>
      <c r="M198">
        <v>2</v>
      </c>
      <c r="N198">
        <v>1</v>
      </c>
      <c r="O198">
        <v>4</v>
      </c>
      <c r="P198">
        <v>0</v>
      </c>
      <c r="Q198">
        <v>12</v>
      </c>
      <c r="R198">
        <v>4</v>
      </c>
      <c r="S198">
        <v>0</v>
      </c>
      <c r="T198">
        <v>3</v>
      </c>
      <c r="U198">
        <v>1</v>
      </c>
      <c r="V198">
        <v>29</v>
      </c>
      <c r="W198">
        <v>6</v>
      </c>
      <c r="X198">
        <v>1</v>
      </c>
      <c r="Y198">
        <v>7</v>
      </c>
      <c r="Z198">
        <v>1</v>
      </c>
      <c r="AA198" t="s">
        <v>3234</v>
      </c>
      <c r="AB198" s="24">
        <v>0.67569444444444438</v>
      </c>
      <c r="AC198" s="24">
        <v>0.53749999999999998</v>
      </c>
      <c r="AD198" s="24">
        <v>5.2083333333333336E-2</v>
      </c>
      <c r="AE198" s="24">
        <v>8.2638888888888887E-2</v>
      </c>
      <c r="AF198" t="s">
        <v>2660</v>
      </c>
      <c r="AG198" t="s">
        <v>4424</v>
      </c>
      <c r="AH198" t="s">
        <v>4425</v>
      </c>
      <c r="AI198" t="s">
        <v>4426</v>
      </c>
      <c r="AJ198" t="s">
        <v>3626</v>
      </c>
      <c r="AK198" t="s">
        <v>4223</v>
      </c>
      <c r="AL198" t="s">
        <v>3053</v>
      </c>
      <c r="AM198" t="s">
        <v>3366</v>
      </c>
      <c r="AN198" t="s">
        <v>4427</v>
      </c>
      <c r="AO198" t="s">
        <v>3012</v>
      </c>
      <c r="AP198" t="s">
        <v>3513</v>
      </c>
      <c r="AQ198" t="s">
        <v>2644</v>
      </c>
      <c r="AR198">
        <v>139</v>
      </c>
      <c r="AS198" t="s">
        <v>3548</v>
      </c>
      <c r="AT198">
        <v>50</v>
      </c>
      <c r="AU198">
        <v>46</v>
      </c>
      <c r="AV198">
        <v>2</v>
      </c>
      <c r="AW198">
        <v>6</v>
      </c>
      <c r="AX198" t="s">
        <v>3060</v>
      </c>
    </row>
    <row r="199" spans="1:50" x14ac:dyDescent="0.25">
      <c r="A199">
        <v>194</v>
      </c>
      <c r="B199" t="s">
        <v>3156</v>
      </c>
      <c r="C199" t="s">
        <v>706</v>
      </c>
      <c r="D199">
        <v>27</v>
      </c>
      <c r="E199" t="s">
        <v>2504</v>
      </c>
      <c r="F199">
        <v>81</v>
      </c>
      <c r="G199">
        <v>19</v>
      </c>
      <c r="H199">
        <v>17</v>
      </c>
      <c r="I199">
        <v>36</v>
      </c>
      <c r="J199">
        <v>66</v>
      </c>
      <c r="K199">
        <v>-9</v>
      </c>
      <c r="L199">
        <v>14</v>
      </c>
      <c r="M199">
        <v>4</v>
      </c>
      <c r="N199">
        <v>1</v>
      </c>
      <c r="O199">
        <v>4</v>
      </c>
      <c r="P199">
        <v>0</v>
      </c>
      <c r="Q199">
        <v>10</v>
      </c>
      <c r="R199">
        <v>6</v>
      </c>
      <c r="S199">
        <v>1</v>
      </c>
      <c r="T199">
        <v>5</v>
      </c>
      <c r="U199">
        <v>0</v>
      </c>
      <c r="V199">
        <v>24</v>
      </c>
      <c r="W199">
        <v>10</v>
      </c>
      <c r="X199">
        <v>2</v>
      </c>
      <c r="Y199">
        <v>9</v>
      </c>
      <c r="Z199">
        <v>0</v>
      </c>
      <c r="AA199" t="s">
        <v>4428</v>
      </c>
      <c r="AB199" s="24">
        <v>0.75069444444444444</v>
      </c>
      <c r="AC199" s="24">
        <v>0.58888888888888891</v>
      </c>
      <c r="AD199" s="24">
        <v>0.10069444444444443</v>
      </c>
      <c r="AE199" s="24">
        <v>5.9722222222222225E-2</v>
      </c>
      <c r="AF199" t="s">
        <v>4429</v>
      </c>
      <c r="AG199" t="s">
        <v>4430</v>
      </c>
      <c r="AH199" t="s">
        <v>4431</v>
      </c>
      <c r="AI199" t="s">
        <v>4119</v>
      </c>
      <c r="AJ199" t="s">
        <v>2659</v>
      </c>
      <c r="AK199" t="s">
        <v>2749</v>
      </c>
      <c r="AL199" t="s">
        <v>4267</v>
      </c>
      <c r="AM199" t="s">
        <v>4432</v>
      </c>
      <c r="AN199" t="s">
        <v>4433</v>
      </c>
      <c r="AO199" t="s">
        <v>4434</v>
      </c>
      <c r="AP199" t="s">
        <v>3347</v>
      </c>
      <c r="AQ199" t="s">
        <v>4435</v>
      </c>
      <c r="AR199">
        <v>176</v>
      </c>
      <c r="AS199" t="s">
        <v>2888</v>
      </c>
      <c r="AT199">
        <v>99</v>
      </c>
      <c r="AU199">
        <v>25</v>
      </c>
      <c r="AV199">
        <v>4</v>
      </c>
      <c r="AW199">
        <v>8</v>
      </c>
      <c r="AX199" t="s">
        <v>2769</v>
      </c>
    </row>
    <row r="200" spans="1:50" x14ac:dyDescent="0.25">
      <c r="A200">
        <v>195</v>
      </c>
      <c r="B200" t="s">
        <v>3156</v>
      </c>
      <c r="C200" t="s">
        <v>1841</v>
      </c>
      <c r="D200">
        <v>22</v>
      </c>
      <c r="E200" t="s">
        <v>2504</v>
      </c>
      <c r="F200">
        <v>60</v>
      </c>
      <c r="G200">
        <v>17</v>
      </c>
      <c r="H200">
        <v>19</v>
      </c>
      <c r="I200">
        <v>36</v>
      </c>
      <c r="J200">
        <v>53</v>
      </c>
      <c r="K200">
        <v>10</v>
      </c>
      <c r="L200">
        <v>16</v>
      </c>
      <c r="M200">
        <v>1</v>
      </c>
      <c r="N200">
        <v>0</v>
      </c>
      <c r="O200">
        <v>3</v>
      </c>
      <c r="P200">
        <v>2</v>
      </c>
      <c r="Q200">
        <v>17</v>
      </c>
      <c r="R200">
        <v>2</v>
      </c>
      <c r="S200">
        <v>0</v>
      </c>
      <c r="T200">
        <v>4</v>
      </c>
      <c r="U200">
        <v>1</v>
      </c>
      <c r="V200">
        <v>33</v>
      </c>
      <c r="W200">
        <v>3</v>
      </c>
      <c r="X200">
        <v>0</v>
      </c>
      <c r="Y200">
        <v>7</v>
      </c>
      <c r="Z200">
        <v>3</v>
      </c>
      <c r="AA200" t="s">
        <v>4279</v>
      </c>
      <c r="AB200" s="24">
        <v>0.66249999999999998</v>
      </c>
      <c r="AC200" s="24">
        <v>0.58124999999999993</v>
      </c>
      <c r="AD200" s="24">
        <v>7.8472222222222221E-2</v>
      </c>
      <c r="AE200" s="24">
        <v>1.3888888888888889E-3</v>
      </c>
      <c r="AF200" t="s">
        <v>4436</v>
      </c>
      <c r="AG200" t="s">
        <v>4092</v>
      </c>
      <c r="AH200" t="s">
        <v>4437</v>
      </c>
      <c r="AI200" t="s">
        <v>4438</v>
      </c>
      <c r="AJ200" t="s">
        <v>4439</v>
      </c>
      <c r="AK200" t="s">
        <v>4440</v>
      </c>
      <c r="AL200" t="s">
        <v>3733</v>
      </c>
      <c r="AM200" t="s">
        <v>4248</v>
      </c>
      <c r="AN200" t="s">
        <v>2930</v>
      </c>
      <c r="AO200" t="s">
        <v>4441</v>
      </c>
      <c r="AP200" t="s">
        <v>2673</v>
      </c>
      <c r="AQ200" t="s">
        <v>2531</v>
      </c>
      <c r="AR200">
        <v>133</v>
      </c>
      <c r="AS200" t="s">
        <v>2874</v>
      </c>
      <c r="AT200">
        <v>46</v>
      </c>
      <c r="AU200">
        <v>33</v>
      </c>
      <c r="AV200">
        <v>5</v>
      </c>
      <c r="AW200">
        <v>6</v>
      </c>
      <c r="AX200" t="s">
        <v>4442</v>
      </c>
    </row>
    <row r="201" spans="1:50" x14ac:dyDescent="0.25">
      <c r="A201">
        <v>196</v>
      </c>
      <c r="B201" t="s">
        <v>3157</v>
      </c>
      <c r="C201" t="s">
        <v>1838</v>
      </c>
      <c r="D201">
        <v>32</v>
      </c>
      <c r="E201" t="s">
        <v>2504</v>
      </c>
      <c r="F201">
        <v>80</v>
      </c>
      <c r="G201">
        <v>14</v>
      </c>
      <c r="H201">
        <v>22</v>
      </c>
      <c r="I201">
        <v>36</v>
      </c>
      <c r="J201">
        <v>22</v>
      </c>
      <c r="K201">
        <v>-4</v>
      </c>
      <c r="L201">
        <v>9</v>
      </c>
      <c r="M201">
        <v>4</v>
      </c>
      <c r="N201">
        <v>1</v>
      </c>
      <c r="O201">
        <v>1</v>
      </c>
      <c r="P201">
        <v>0</v>
      </c>
      <c r="Q201">
        <v>20</v>
      </c>
      <c r="R201">
        <v>2</v>
      </c>
      <c r="S201">
        <v>0</v>
      </c>
      <c r="T201">
        <v>4</v>
      </c>
      <c r="U201">
        <v>0</v>
      </c>
      <c r="V201">
        <v>29</v>
      </c>
      <c r="W201">
        <v>6</v>
      </c>
      <c r="X201">
        <v>1</v>
      </c>
      <c r="Y201">
        <v>5</v>
      </c>
      <c r="Z201">
        <v>0</v>
      </c>
      <c r="AA201" t="s">
        <v>3234</v>
      </c>
      <c r="AB201" s="24">
        <v>0.66666666666666663</v>
      </c>
      <c r="AC201" s="24">
        <v>0.54999999999999993</v>
      </c>
      <c r="AD201" s="24">
        <v>6.3194444444444442E-2</v>
      </c>
      <c r="AE201" s="24">
        <v>5.2777777777777778E-2</v>
      </c>
      <c r="AF201" t="s">
        <v>3569</v>
      </c>
      <c r="AG201" t="s">
        <v>2706</v>
      </c>
      <c r="AH201" t="s">
        <v>4443</v>
      </c>
      <c r="AI201" t="s">
        <v>4444</v>
      </c>
      <c r="AJ201" t="s">
        <v>4445</v>
      </c>
      <c r="AK201" t="s">
        <v>4446</v>
      </c>
      <c r="AL201" t="s">
        <v>4447</v>
      </c>
      <c r="AM201" t="s">
        <v>4448</v>
      </c>
      <c r="AN201" t="s">
        <v>4449</v>
      </c>
      <c r="AO201" t="s">
        <v>3807</v>
      </c>
      <c r="AP201" t="s">
        <v>4103</v>
      </c>
      <c r="AQ201" t="s">
        <v>3781</v>
      </c>
      <c r="AR201">
        <v>175</v>
      </c>
      <c r="AS201" t="s">
        <v>3595</v>
      </c>
      <c r="AT201">
        <v>190</v>
      </c>
      <c r="AU201">
        <v>31</v>
      </c>
      <c r="AV201">
        <v>2</v>
      </c>
      <c r="AW201">
        <v>3</v>
      </c>
      <c r="AX201" t="s">
        <v>3388</v>
      </c>
    </row>
    <row r="202" spans="1:50" x14ac:dyDescent="0.25">
      <c r="A202">
        <v>197</v>
      </c>
      <c r="B202" t="s">
        <v>3156</v>
      </c>
      <c r="C202" t="s">
        <v>690</v>
      </c>
      <c r="D202">
        <v>31</v>
      </c>
      <c r="E202" t="s">
        <v>1719</v>
      </c>
      <c r="F202">
        <v>72</v>
      </c>
      <c r="G202">
        <v>14</v>
      </c>
      <c r="H202">
        <v>22</v>
      </c>
      <c r="I202">
        <v>36</v>
      </c>
      <c r="J202">
        <v>40</v>
      </c>
      <c r="K202">
        <v>-20</v>
      </c>
      <c r="L202">
        <v>11</v>
      </c>
      <c r="M202">
        <v>3</v>
      </c>
      <c r="N202">
        <v>0</v>
      </c>
      <c r="O202">
        <v>2</v>
      </c>
      <c r="P202">
        <v>1</v>
      </c>
      <c r="Q202">
        <v>15</v>
      </c>
      <c r="R202">
        <v>7</v>
      </c>
      <c r="S202">
        <v>0</v>
      </c>
      <c r="T202">
        <v>0</v>
      </c>
      <c r="U202">
        <v>0</v>
      </c>
      <c r="V202">
        <v>26</v>
      </c>
      <c r="W202">
        <v>10</v>
      </c>
      <c r="X202">
        <v>0</v>
      </c>
      <c r="Y202">
        <v>2</v>
      </c>
      <c r="Z202">
        <v>1</v>
      </c>
      <c r="AA202" t="s">
        <v>4428</v>
      </c>
      <c r="AB202" s="24">
        <v>0.98125000000000007</v>
      </c>
      <c r="AC202" s="24">
        <v>0.84236111111111101</v>
      </c>
      <c r="AD202" s="24">
        <v>0.11388888888888889</v>
      </c>
      <c r="AE202" s="24">
        <v>2.4305555555555556E-2</v>
      </c>
      <c r="AF202" t="s">
        <v>4450</v>
      </c>
      <c r="AG202" t="s">
        <v>3390</v>
      </c>
      <c r="AH202" t="s">
        <v>4451</v>
      </c>
      <c r="AI202" t="s">
        <v>2755</v>
      </c>
      <c r="AJ202" t="s">
        <v>4452</v>
      </c>
      <c r="AK202" t="s">
        <v>3629</v>
      </c>
      <c r="AL202" t="s">
        <v>4453</v>
      </c>
      <c r="AM202" t="s">
        <v>4454</v>
      </c>
      <c r="AN202" t="s">
        <v>4455</v>
      </c>
      <c r="AO202" t="s">
        <v>4456</v>
      </c>
      <c r="AP202" t="s">
        <v>4083</v>
      </c>
      <c r="AQ202" t="s">
        <v>3013</v>
      </c>
      <c r="AR202">
        <v>125</v>
      </c>
      <c r="AS202" t="s">
        <v>3071</v>
      </c>
      <c r="AT202">
        <v>67</v>
      </c>
      <c r="AU202">
        <v>92</v>
      </c>
      <c r="AV202">
        <v>0</v>
      </c>
      <c r="AW202">
        <v>0</v>
      </c>
      <c r="AX202" t="s">
        <v>2579</v>
      </c>
    </row>
    <row r="203" spans="1:50" x14ac:dyDescent="0.25">
      <c r="A203">
        <v>198</v>
      </c>
      <c r="B203" t="s">
        <v>3157</v>
      </c>
      <c r="C203" t="s">
        <v>696</v>
      </c>
      <c r="D203">
        <v>31</v>
      </c>
      <c r="E203" t="s">
        <v>1719</v>
      </c>
      <c r="F203">
        <v>82</v>
      </c>
      <c r="G203">
        <v>6</v>
      </c>
      <c r="H203">
        <v>30</v>
      </c>
      <c r="I203">
        <v>36</v>
      </c>
      <c r="J203">
        <v>28</v>
      </c>
      <c r="K203">
        <v>-9</v>
      </c>
      <c r="L203">
        <v>4</v>
      </c>
      <c r="M203">
        <v>1</v>
      </c>
      <c r="N203">
        <v>1</v>
      </c>
      <c r="O203">
        <v>0</v>
      </c>
      <c r="P203">
        <v>0</v>
      </c>
      <c r="Q203">
        <v>22</v>
      </c>
      <c r="R203">
        <v>7</v>
      </c>
      <c r="S203">
        <v>1</v>
      </c>
      <c r="T203">
        <v>5</v>
      </c>
      <c r="U203">
        <v>2</v>
      </c>
      <c r="V203">
        <v>26</v>
      </c>
      <c r="W203">
        <v>8</v>
      </c>
      <c r="X203">
        <v>2</v>
      </c>
      <c r="Y203">
        <v>5</v>
      </c>
      <c r="Z203">
        <v>2</v>
      </c>
      <c r="AA203" t="s">
        <v>3370</v>
      </c>
      <c r="AB203" s="24">
        <v>0.97152777777777777</v>
      </c>
      <c r="AC203" s="24">
        <v>0.77708333333333324</v>
      </c>
      <c r="AD203" s="24">
        <v>9.1666666666666674E-2</v>
      </c>
      <c r="AE203" s="24">
        <v>0.10208333333333335</v>
      </c>
      <c r="AF203" t="s">
        <v>3080</v>
      </c>
      <c r="AG203" t="s">
        <v>4457</v>
      </c>
      <c r="AH203" t="s">
        <v>2867</v>
      </c>
      <c r="AI203" t="s">
        <v>4275</v>
      </c>
      <c r="AJ203" t="s">
        <v>3485</v>
      </c>
      <c r="AK203" t="s">
        <v>4458</v>
      </c>
      <c r="AL203" t="s">
        <v>4281</v>
      </c>
      <c r="AM203" t="s">
        <v>4459</v>
      </c>
      <c r="AN203" t="s">
        <v>4460</v>
      </c>
      <c r="AO203" t="s">
        <v>4461</v>
      </c>
      <c r="AP203" t="s">
        <v>2515</v>
      </c>
      <c r="AQ203" t="s">
        <v>2644</v>
      </c>
      <c r="AR203">
        <v>112</v>
      </c>
      <c r="AS203" t="s">
        <v>3586</v>
      </c>
      <c r="AT203">
        <v>137</v>
      </c>
      <c r="AU203">
        <v>143</v>
      </c>
      <c r="AV203">
        <v>0</v>
      </c>
      <c r="AW203">
        <v>1</v>
      </c>
      <c r="AX203" t="s">
        <v>2579</v>
      </c>
    </row>
    <row r="204" spans="1:50" x14ac:dyDescent="0.25">
      <c r="A204">
        <v>199</v>
      </c>
      <c r="B204" t="s">
        <v>3156</v>
      </c>
      <c r="C204" t="s">
        <v>688</v>
      </c>
      <c r="D204">
        <v>26</v>
      </c>
      <c r="E204" t="s">
        <v>1719</v>
      </c>
      <c r="F204">
        <v>82</v>
      </c>
      <c r="G204">
        <v>6</v>
      </c>
      <c r="H204">
        <v>30</v>
      </c>
      <c r="I204">
        <v>36</v>
      </c>
      <c r="J204">
        <v>24</v>
      </c>
      <c r="K204">
        <v>-16</v>
      </c>
      <c r="L204">
        <v>4</v>
      </c>
      <c r="M204">
        <v>1</v>
      </c>
      <c r="N204">
        <v>1</v>
      </c>
      <c r="O204">
        <v>2</v>
      </c>
      <c r="P204">
        <v>1</v>
      </c>
      <c r="Q204">
        <v>18</v>
      </c>
      <c r="R204">
        <v>11</v>
      </c>
      <c r="S204">
        <v>1</v>
      </c>
      <c r="T204">
        <v>2</v>
      </c>
      <c r="U204">
        <v>1</v>
      </c>
      <c r="V204">
        <v>22</v>
      </c>
      <c r="W204">
        <v>12</v>
      </c>
      <c r="X204">
        <v>2</v>
      </c>
      <c r="Y204">
        <v>4</v>
      </c>
      <c r="Z204">
        <v>2</v>
      </c>
      <c r="AA204" t="s">
        <v>2863</v>
      </c>
      <c r="AB204" s="24">
        <v>0.98263888888888884</v>
      </c>
      <c r="AC204" s="24">
        <v>0.77013888888888893</v>
      </c>
      <c r="AD204" s="24">
        <v>0.11527777777777777</v>
      </c>
      <c r="AE204" s="24">
        <v>9.6527777777777768E-2</v>
      </c>
      <c r="AF204" t="s">
        <v>4462</v>
      </c>
      <c r="AG204" t="s">
        <v>4108</v>
      </c>
      <c r="AH204" t="s">
        <v>3134</v>
      </c>
      <c r="AI204" t="s">
        <v>3593</v>
      </c>
      <c r="AJ204" t="s">
        <v>3547</v>
      </c>
      <c r="AK204" t="s">
        <v>4463</v>
      </c>
      <c r="AL204" t="s">
        <v>4464</v>
      </c>
      <c r="AM204" t="s">
        <v>4465</v>
      </c>
      <c r="AN204" t="s">
        <v>4466</v>
      </c>
      <c r="AO204" t="s">
        <v>4461</v>
      </c>
      <c r="AP204" t="s">
        <v>2515</v>
      </c>
      <c r="AQ204" t="s">
        <v>2644</v>
      </c>
      <c r="AR204">
        <v>78</v>
      </c>
      <c r="AS204" t="s">
        <v>3809</v>
      </c>
      <c r="AT204">
        <v>30</v>
      </c>
      <c r="AU204">
        <v>115</v>
      </c>
      <c r="AV204">
        <v>0</v>
      </c>
      <c r="AW204">
        <v>0</v>
      </c>
      <c r="AX204" t="s">
        <v>2579</v>
      </c>
    </row>
    <row r="205" spans="1:50" x14ac:dyDescent="0.25">
      <c r="A205">
        <v>200</v>
      </c>
      <c r="B205" t="s">
        <v>3159</v>
      </c>
      <c r="C205" t="s">
        <v>670</v>
      </c>
      <c r="D205">
        <v>38</v>
      </c>
      <c r="E205" t="s">
        <v>1719</v>
      </c>
      <c r="F205">
        <v>62</v>
      </c>
      <c r="G205">
        <v>6</v>
      </c>
      <c r="H205">
        <v>30</v>
      </c>
      <c r="I205">
        <v>36</v>
      </c>
      <c r="J205">
        <v>16</v>
      </c>
      <c r="K205">
        <v>18</v>
      </c>
      <c r="L205">
        <v>5</v>
      </c>
      <c r="M205">
        <v>1</v>
      </c>
      <c r="N205">
        <v>0</v>
      </c>
      <c r="O205">
        <v>1</v>
      </c>
      <c r="P205">
        <v>0</v>
      </c>
      <c r="Q205">
        <v>18</v>
      </c>
      <c r="R205">
        <v>11</v>
      </c>
      <c r="S205">
        <v>1</v>
      </c>
      <c r="T205">
        <v>5</v>
      </c>
      <c r="U205">
        <v>1</v>
      </c>
      <c r="V205">
        <v>23</v>
      </c>
      <c r="W205">
        <v>12</v>
      </c>
      <c r="X205">
        <v>1</v>
      </c>
      <c r="Y205">
        <v>6</v>
      </c>
      <c r="Z205">
        <v>1</v>
      </c>
      <c r="AA205" t="s">
        <v>2863</v>
      </c>
      <c r="AB205" s="24">
        <v>0.90902777777777777</v>
      </c>
      <c r="AC205" s="24">
        <v>0.7284722222222223</v>
      </c>
      <c r="AD205" s="24">
        <v>0.10833333333333334</v>
      </c>
      <c r="AE205" s="24">
        <v>7.1527777777777787E-2</v>
      </c>
      <c r="AF205" t="s">
        <v>3468</v>
      </c>
      <c r="AG205" t="s">
        <v>4058</v>
      </c>
      <c r="AH205" t="s">
        <v>4467</v>
      </c>
      <c r="AI205" t="s">
        <v>4468</v>
      </c>
      <c r="AJ205" t="s">
        <v>4469</v>
      </c>
      <c r="AK205" t="s">
        <v>4470</v>
      </c>
      <c r="AL205" t="s">
        <v>4471</v>
      </c>
      <c r="AM205" t="s">
        <v>4472</v>
      </c>
      <c r="AN205" t="s">
        <v>4473</v>
      </c>
      <c r="AO205" t="s">
        <v>4474</v>
      </c>
      <c r="AP205" t="s">
        <v>4475</v>
      </c>
      <c r="AQ205" t="s">
        <v>4476</v>
      </c>
      <c r="AR205">
        <v>98</v>
      </c>
      <c r="AS205" t="s">
        <v>4477</v>
      </c>
      <c r="AT205">
        <v>39</v>
      </c>
      <c r="AU205">
        <v>73</v>
      </c>
      <c r="AV205">
        <v>0</v>
      </c>
      <c r="AW205">
        <v>0</v>
      </c>
      <c r="AX205" t="s">
        <v>2579</v>
      </c>
    </row>
    <row r="206" spans="1:50" x14ac:dyDescent="0.25">
      <c r="A206">
        <v>201</v>
      </c>
      <c r="B206" t="s">
        <v>3159</v>
      </c>
      <c r="C206" t="s">
        <v>1840</v>
      </c>
      <c r="D206">
        <v>25</v>
      </c>
      <c r="E206" t="s">
        <v>1719</v>
      </c>
      <c r="F206">
        <v>82</v>
      </c>
      <c r="G206">
        <v>4</v>
      </c>
      <c r="H206">
        <v>32</v>
      </c>
      <c r="I206">
        <v>36</v>
      </c>
      <c r="J206">
        <v>38</v>
      </c>
      <c r="K206">
        <v>-22</v>
      </c>
      <c r="L206">
        <v>3</v>
      </c>
      <c r="M206">
        <v>1</v>
      </c>
      <c r="N206">
        <v>0</v>
      </c>
      <c r="O206">
        <v>0</v>
      </c>
      <c r="P206">
        <v>0</v>
      </c>
      <c r="Q206">
        <v>20</v>
      </c>
      <c r="R206">
        <v>11</v>
      </c>
      <c r="S206">
        <v>1</v>
      </c>
      <c r="T206">
        <v>5</v>
      </c>
      <c r="U206">
        <v>0</v>
      </c>
      <c r="V206">
        <v>23</v>
      </c>
      <c r="W206">
        <v>12</v>
      </c>
      <c r="X206">
        <v>1</v>
      </c>
      <c r="Y206">
        <v>5</v>
      </c>
      <c r="Z206">
        <v>0</v>
      </c>
      <c r="AA206" t="s">
        <v>2863</v>
      </c>
      <c r="AB206" s="24">
        <v>0.91736111111111107</v>
      </c>
      <c r="AC206" s="24">
        <v>0.75902777777777775</v>
      </c>
      <c r="AD206" s="24">
        <v>8.5416666666666655E-2</v>
      </c>
      <c r="AE206" s="24">
        <v>7.2222222222222229E-2</v>
      </c>
      <c r="AF206" t="s">
        <v>4478</v>
      </c>
      <c r="AG206" t="s">
        <v>2591</v>
      </c>
      <c r="AH206" t="s">
        <v>3647</v>
      </c>
      <c r="AI206" t="s">
        <v>4479</v>
      </c>
      <c r="AJ206" t="s">
        <v>4480</v>
      </c>
      <c r="AK206" t="s">
        <v>4481</v>
      </c>
      <c r="AL206" t="s">
        <v>2616</v>
      </c>
      <c r="AM206" t="s">
        <v>4482</v>
      </c>
      <c r="AN206" t="s">
        <v>4483</v>
      </c>
      <c r="AO206" t="s">
        <v>4484</v>
      </c>
      <c r="AP206" t="s">
        <v>2872</v>
      </c>
      <c r="AQ206" t="s">
        <v>2644</v>
      </c>
      <c r="AR206">
        <v>106</v>
      </c>
      <c r="AS206" t="s">
        <v>4485</v>
      </c>
      <c r="AT206">
        <v>176</v>
      </c>
      <c r="AU206">
        <v>136</v>
      </c>
      <c r="AV206">
        <v>0</v>
      </c>
      <c r="AW206">
        <v>0</v>
      </c>
      <c r="AX206" t="s">
        <v>2579</v>
      </c>
    </row>
    <row r="207" spans="1:50" x14ac:dyDescent="0.25">
      <c r="A207">
        <v>202</v>
      </c>
      <c r="B207" t="s">
        <v>3167</v>
      </c>
      <c r="C207" t="s">
        <v>4486</v>
      </c>
      <c r="D207">
        <v>24</v>
      </c>
      <c r="E207" t="s">
        <v>2504</v>
      </c>
      <c r="F207">
        <v>68</v>
      </c>
      <c r="G207">
        <v>18</v>
      </c>
      <c r="H207">
        <v>17</v>
      </c>
      <c r="I207">
        <v>35</v>
      </c>
      <c r="J207">
        <v>8</v>
      </c>
      <c r="K207">
        <v>-6</v>
      </c>
      <c r="L207">
        <v>16</v>
      </c>
      <c r="M207">
        <v>2</v>
      </c>
      <c r="N207">
        <v>0</v>
      </c>
      <c r="O207">
        <v>5</v>
      </c>
      <c r="P207">
        <v>0</v>
      </c>
      <c r="Q207">
        <v>13</v>
      </c>
      <c r="R207">
        <v>4</v>
      </c>
      <c r="S207">
        <v>0</v>
      </c>
      <c r="T207">
        <v>1</v>
      </c>
      <c r="U207">
        <v>0</v>
      </c>
      <c r="V207">
        <v>29</v>
      </c>
      <c r="W207">
        <v>6</v>
      </c>
      <c r="X207">
        <v>0</v>
      </c>
      <c r="Y207">
        <v>6</v>
      </c>
      <c r="Z207">
        <v>0</v>
      </c>
      <c r="AA207" t="s">
        <v>4487</v>
      </c>
      <c r="AB207" s="24">
        <v>0.66111111111111109</v>
      </c>
      <c r="AC207" s="24">
        <v>0.56944444444444442</v>
      </c>
      <c r="AD207" s="24">
        <v>7.9861111111111105E-2</v>
      </c>
      <c r="AE207" s="24">
        <v>1.1111111111111112E-2</v>
      </c>
      <c r="AF207" t="s">
        <v>4488</v>
      </c>
      <c r="AG207" t="s">
        <v>2664</v>
      </c>
      <c r="AH207" t="s">
        <v>3489</v>
      </c>
      <c r="AI207" t="s">
        <v>4489</v>
      </c>
      <c r="AJ207" t="s">
        <v>4490</v>
      </c>
      <c r="AK207" t="s">
        <v>4491</v>
      </c>
      <c r="AL207" t="s">
        <v>4492</v>
      </c>
      <c r="AM207" t="s">
        <v>4137</v>
      </c>
      <c r="AN207" t="s">
        <v>4493</v>
      </c>
      <c r="AO207" t="s">
        <v>4220</v>
      </c>
      <c r="AP207" t="s">
        <v>3036</v>
      </c>
      <c r="AQ207" t="s">
        <v>3716</v>
      </c>
      <c r="AR207">
        <v>114</v>
      </c>
      <c r="AS207" t="s">
        <v>4494</v>
      </c>
      <c r="AT207">
        <v>52</v>
      </c>
      <c r="AU207">
        <v>29</v>
      </c>
      <c r="AV207">
        <v>1</v>
      </c>
      <c r="AW207">
        <v>0</v>
      </c>
      <c r="AX207" t="s">
        <v>3783</v>
      </c>
    </row>
    <row r="208" spans="1:50" x14ac:dyDescent="0.25">
      <c r="A208">
        <v>203</v>
      </c>
      <c r="B208" t="s">
        <v>3156</v>
      </c>
      <c r="C208" t="s">
        <v>1847</v>
      </c>
      <c r="D208">
        <v>29</v>
      </c>
      <c r="E208" t="s">
        <v>2504</v>
      </c>
      <c r="F208">
        <v>82</v>
      </c>
      <c r="G208">
        <v>16</v>
      </c>
      <c r="H208">
        <v>19</v>
      </c>
      <c r="I208">
        <v>35</v>
      </c>
      <c r="J208">
        <v>26</v>
      </c>
      <c r="K208">
        <v>11</v>
      </c>
      <c r="L208">
        <v>13</v>
      </c>
      <c r="M208">
        <v>0</v>
      </c>
      <c r="N208">
        <v>3</v>
      </c>
      <c r="O208">
        <v>2</v>
      </c>
      <c r="P208">
        <v>0</v>
      </c>
      <c r="Q208">
        <v>18</v>
      </c>
      <c r="R208">
        <v>0</v>
      </c>
      <c r="S208">
        <v>1</v>
      </c>
      <c r="T208">
        <v>2</v>
      </c>
      <c r="U208">
        <v>0</v>
      </c>
      <c r="V208">
        <v>31</v>
      </c>
      <c r="W208">
        <v>0</v>
      </c>
      <c r="X208">
        <v>4</v>
      </c>
      <c r="Y208">
        <v>4</v>
      </c>
      <c r="Z208">
        <v>0</v>
      </c>
      <c r="AA208" t="s">
        <v>4202</v>
      </c>
      <c r="AB208" s="24">
        <v>0.63055555555555554</v>
      </c>
      <c r="AC208" s="24">
        <v>0.55277777777777781</v>
      </c>
      <c r="AD208" s="24">
        <v>2.7777777777777779E-3</v>
      </c>
      <c r="AE208" s="24">
        <v>7.4305555555555555E-2</v>
      </c>
      <c r="AF208" t="s">
        <v>3145</v>
      </c>
      <c r="AG208" t="s">
        <v>3930</v>
      </c>
      <c r="AH208" t="s">
        <v>3032</v>
      </c>
      <c r="AI208" t="s">
        <v>4495</v>
      </c>
      <c r="AJ208" t="s">
        <v>3620</v>
      </c>
      <c r="AK208" t="s">
        <v>4496</v>
      </c>
      <c r="AL208" t="s">
        <v>3830</v>
      </c>
      <c r="AM208" t="s">
        <v>3830</v>
      </c>
      <c r="AN208" t="s">
        <v>3830</v>
      </c>
      <c r="AO208" t="s">
        <v>3513</v>
      </c>
      <c r="AP208" t="s">
        <v>3069</v>
      </c>
      <c r="AQ208" t="s">
        <v>2952</v>
      </c>
      <c r="AR208">
        <v>178</v>
      </c>
      <c r="AS208" t="s">
        <v>4081</v>
      </c>
      <c r="AT208">
        <v>76</v>
      </c>
      <c r="AU208">
        <v>27</v>
      </c>
      <c r="AV208">
        <v>8</v>
      </c>
      <c r="AW208">
        <v>10</v>
      </c>
      <c r="AX208" t="s">
        <v>3433</v>
      </c>
    </row>
    <row r="209" spans="1:50" x14ac:dyDescent="0.25">
      <c r="A209">
        <v>204</v>
      </c>
      <c r="B209" t="s">
        <v>3156</v>
      </c>
      <c r="C209" t="s">
        <v>1849</v>
      </c>
      <c r="D209">
        <v>31</v>
      </c>
      <c r="E209" t="s">
        <v>2504</v>
      </c>
      <c r="F209">
        <v>78</v>
      </c>
      <c r="G209">
        <v>16</v>
      </c>
      <c r="H209">
        <v>19</v>
      </c>
      <c r="I209">
        <v>35</v>
      </c>
      <c r="J209">
        <v>17</v>
      </c>
      <c r="K209">
        <v>-2</v>
      </c>
      <c r="L209">
        <v>3</v>
      </c>
      <c r="M209">
        <v>11</v>
      </c>
      <c r="N209">
        <v>2</v>
      </c>
      <c r="O209">
        <v>6</v>
      </c>
      <c r="P209">
        <v>1</v>
      </c>
      <c r="Q209">
        <v>15</v>
      </c>
      <c r="R209">
        <v>3</v>
      </c>
      <c r="S209">
        <v>1</v>
      </c>
      <c r="T209">
        <v>4</v>
      </c>
      <c r="U209">
        <v>0</v>
      </c>
      <c r="V209">
        <v>18</v>
      </c>
      <c r="W209">
        <v>14</v>
      </c>
      <c r="X209">
        <v>3</v>
      </c>
      <c r="Y209">
        <v>10</v>
      </c>
      <c r="Z209">
        <v>1</v>
      </c>
      <c r="AA209" t="s">
        <v>4242</v>
      </c>
      <c r="AB209" s="24">
        <v>0.59236111111111112</v>
      </c>
      <c r="AC209" s="24">
        <v>0.40972222222222227</v>
      </c>
      <c r="AD209" s="24">
        <v>9.375E-2</v>
      </c>
      <c r="AE209" s="24">
        <v>8.819444444444445E-2</v>
      </c>
      <c r="AF209" t="s">
        <v>4497</v>
      </c>
      <c r="AG209" t="s">
        <v>3099</v>
      </c>
      <c r="AH209" t="s">
        <v>3453</v>
      </c>
      <c r="AI209" t="s">
        <v>4172</v>
      </c>
      <c r="AJ209" t="s">
        <v>4338</v>
      </c>
      <c r="AK209" t="s">
        <v>4498</v>
      </c>
      <c r="AL209" t="s">
        <v>4499</v>
      </c>
      <c r="AM209" t="s">
        <v>2969</v>
      </c>
      <c r="AN209" t="s">
        <v>4500</v>
      </c>
      <c r="AO209" t="s">
        <v>4501</v>
      </c>
      <c r="AP209" t="s">
        <v>3012</v>
      </c>
      <c r="AQ209" t="s">
        <v>4146</v>
      </c>
      <c r="AR209">
        <v>120</v>
      </c>
      <c r="AS209" t="s">
        <v>2902</v>
      </c>
      <c r="AT209">
        <v>71</v>
      </c>
      <c r="AU209">
        <v>34</v>
      </c>
      <c r="AV209">
        <v>453</v>
      </c>
      <c r="AW209">
        <v>444</v>
      </c>
      <c r="AX209" t="s">
        <v>4502</v>
      </c>
    </row>
    <row r="210" spans="1:50" x14ac:dyDescent="0.25">
      <c r="A210">
        <v>205</v>
      </c>
      <c r="B210" t="s">
        <v>3157</v>
      </c>
      <c r="C210" t="s">
        <v>1848</v>
      </c>
      <c r="D210">
        <v>37</v>
      </c>
      <c r="E210" t="s">
        <v>2504</v>
      </c>
      <c r="F210">
        <v>82</v>
      </c>
      <c r="G210">
        <v>15</v>
      </c>
      <c r="H210">
        <v>20</v>
      </c>
      <c r="I210">
        <v>35</v>
      </c>
      <c r="J210">
        <v>22</v>
      </c>
      <c r="K210">
        <v>-11</v>
      </c>
      <c r="L210">
        <v>11</v>
      </c>
      <c r="M210">
        <v>3</v>
      </c>
      <c r="N210">
        <v>1</v>
      </c>
      <c r="O210">
        <v>3</v>
      </c>
      <c r="P210">
        <v>0</v>
      </c>
      <c r="Q210">
        <v>15</v>
      </c>
      <c r="R210">
        <v>4</v>
      </c>
      <c r="S210">
        <v>1</v>
      </c>
      <c r="T210">
        <v>3</v>
      </c>
      <c r="U210">
        <v>0</v>
      </c>
      <c r="V210">
        <v>26</v>
      </c>
      <c r="W210">
        <v>7</v>
      </c>
      <c r="X210">
        <v>2</v>
      </c>
      <c r="Y210">
        <v>6</v>
      </c>
      <c r="Z210">
        <v>0</v>
      </c>
      <c r="AA210" t="s">
        <v>2605</v>
      </c>
      <c r="AB210" s="24">
        <v>0.69166666666666676</v>
      </c>
      <c r="AC210" s="24">
        <v>0.54999999999999993</v>
      </c>
      <c r="AD210" s="24">
        <v>6.3888888888888884E-2</v>
      </c>
      <c r="AE210" s="24">
        <v>7.6388888888888895E-2</v>
      </c>
      <c r="AF210" t="s">
        <v>4300</v>
      </c>
      <c r="AG210" t="s">
        <v>4503</v>
      </c>
      <c r="AH210" t="s">
        <v>3879</v>
      </c>
      <c r="AI210" t="s">
        <v>3330</v>
      </c>
      <c r="AJ210" t="s">
        <v>4504</v>
      </c>
      <c r="AK210" t="s">
        <v>3355</v>
      </c>
      <c r="AL210" t="s">
        <v>3619</v>
      </c>
      <c r="AM210" t="s">
        <v>4505</v>
      </c>
      <c r="AN210" t="s">
        <v>2984</v>
      </c>
      <c r="AO210" t="s">
        <v>3706</v>
      </c>
      <c r="AP210" t="s">
        <v>3012</v>
      </c>
      <c r="AQ210" t="s">
        <v>2952</v>
      </c>
      <c r="AR210">
        <v>149</v>
      </c>
      <c r="AS210" t="s">
        <v>3694</v>
      </c>
      <c r="AT210">
        <v>54</v>
      </c>
      <c r="AU210">
        <v>30</v>
      </c>
      <c r="AV210">
        <v>46</v>
      </c>
      <c r="AW210">
        <v>60</v>
      </c>
      <c r="AX210" t="s">
        <v>4506</v>
      </c>
    </row>
    <row r="211" spans="1:50" x14ac:dyDescent="0.25">
      <c r="A211">
        <v>206</v>
      </c>
      <c r="B211" t="s">
        <v>3157</v>
      </c>
      <c r="C211" t="s">
        <v>1846</v>
      </c>
      <c r="D211">
        <v>27</v>
      </c>
      <c r="E211" t="s">
        <v>2504</v>
      </c>
      <c r="F211">
        <v>70</v>
      </c>
      <c r="G211">
        <v>12</v>
      </c>
      <c r="H211">
        <v>23</v>
      </c>
      <c r="I211">
        <v>35</v>
      </c>
      <c r="J211">
        <v>18</v>
      </c>
      <c r="K211">
        <v>7</v>
      </c>
      <c r="L211">
        <v>6</v>
      </c>
      <c r="M211">
        <v>6</v>
      </c>
      <c r="N211">
        <v>0</v>
      </c>
      <c r="O211">
        <v>0</v>
      </c>
      <c r="P211">
        <v>0</v>
      </c>
      <c r="Q211">
        <v>22</v>
      </c>
      <c r="R211">
        <v>1</v>
      </c>
      <c r="S211">
        <v>0</v>
      </c>
      <c r="T211">
        <v>3</v>
      </c>
      <c r="U211">
        <v>0</v>
      </c>
      <c r="V211">
        <v>28</v>
      </c>
      <c r="W211">
        <v>7</v>
      </c>
      <c r="X211">
        <v>0</v>
      </c>
      <c r="Y211">
        <v>3</v>
      </c>
      <c r="Z211">
        <v>0</v>
      </c>
      <c r="AA211" t="s">
        <v>2605</v>
      </c>
      <c r="AB211" s="24">
        <v>0.62291666666666667</v>
      </c>
      <c r="AC211" s="24">
        <v>0.54166666666666663</v>
      </c>
      <c r="AD211" s="24">
        <v>8.0555555555555561E-2</v>
      </c>
      <c r="AE211" s="24">
        <v>6.9444444444444447E-4</v>
      </c>
      <c r="AF211" t="s">
        <v>4236</v>
      </c>
      <c r="AG211" t="s">
        <v>3828</v>
      </c>
      <c r="AH211" t="s">
        <v>4047</v>
      </c>
      <c r="AI211" t="s">
        <v>3924</v>
      </c>
      <c r="AJ211" t="s">
        <v>4507</v>
      </c>
      <c r="AK211" t="s">
        <v>4508</v>
      </c>
      <c r="AL211" t="s">
        <v>4350</v>
      </c>
      <c r="AM211" t="s">
        <v>4509</v>
      </c>
      <c r="AN211" t="s">
        <v>4510</v>
      </c>
      <c r="AO211" t="s">
        <v>3049</v>
      </c>
      <c r="AP211" t="s">
        <v>2939</v>
      </c>
      <c r="AQ211" t="s">
        <v>3013</v>
      </c>
      <c r="AR211">
        <v>113</v>
      </c>
      <c r="AS211" t="s">
        <v>3154</v>
      </c>
      <c r="AT211">
        <v>50</v>
      </c>
      <c r="AU211">
        <v>23</v>
      </c>
      <c r="AV211">
        <v>16</v>
      </c>
      <c r="AW211">
        <v>23</v>
      </c>
      <c r="AX211" t="s">
        <v>4511</v>
      </c>
    </row>
    <row r="212" spans="1:50" x14ac:dyDescent="0.25">
      <c r="A212">
        <v>207</v>
      </c>
      <c r="B212" t="s">
        <v>3158</v>
      </c>
      <c r="C212" t="s">
        <v>1842</v>
      </c>
      <c r="D212">
        <v>21</v>
      </c>
      <c r="E212" t="s">
        <v>2504</v>
      </c>
      <c r="F212">
        <v>64</v>
      </c>
      <c r="G212">
        <v>12</v>
      </c>
      <c r="H212">
        <v>23</v>
      </c>
      <c r="I212">
        <v>35</v>
      </c>
      <c r="J212">
        <v>14</v>
      </c>
      <c r="K212">
        <v>13</v>
      </c>
      <c r="L212">
        <v>10</v>
      </c>
      <c r="M212">
        <v>2</v>
      </c>
      <c r="N212">
        <v>0</v>
      </c>
      <c r="O212">
        <v>1</v>
      </c>
      <c r="P212">
        <v>0</v>
      </c>
      <c r="Q212">
        <v>20</v>
      </c>
      <c r="R212">
        <v>3</v>
      </c>
      <c r="S212">
        <v>0</v>
      </c>
      <c r="T212">
        <v>3</v>
      </c>
      <c r="U212">
        <v>0</v>
      </c>
      <c r="V212">
        <v>30</v>
      </c>
      <c r="W212">
        <v>5</v>
      </c>
      <c r="X212">
        <v>0</v>
      </c>
      <c r="Y212">
        <v>4</v>
      </c>
      <c r="Z212">
        <v>0</v>
      </c>
      <c r="AA212" t="s">
        <v>2781</v>
      </c>
      <c r="AB212" s="24">
        <v>0.55277777777777781</v>
      </c>
      <c r="AC212" s="24">
        <v>0.4916666666666667</v>
      </c>
      <c r="AD212" s="24">
        <v>6.0416666666666667E-2</v>
      </c>
      <c r="AE212" s="24">
        <v>0</v>
      </c>
      <c r="AF212" t="s">
        <v>3540</v>
      </c>
      <c r="AG212" t="s">
        <v>4512</v>
      </c>
      <c r="AH212" t="s">
        <v>4513</v>
      </c>
      <c r="AI212" t="s">
        <v>4415</v>
      </c>
      <c r="AJ212" t="s">
        <v>4514</v>
      </c>
      <c r="AK212" t="s">
        <v>4515</v>
      </c>
      <c r="AL212" t="s">
        <v>2906</v>
      </c>
      <c r="AM212" t="s">
        <v>4516</v>
      </c>
      <c r="AN212" t="s">
        <v>4517</v>
      </c>
      <c r="AO212" t="s">
        <v>3080</v>
      </c>
      <c r="AP212" t="s">
        <v>3280</v>
      </c>
      <c r="AQ212" t="s">
        <v>4518</v>
      </c>
      <c r="AR212">
        <v>111</v>
      </c>
      <c r="AS212" t="s">
        <v>2888</v>
      </c>
      <c r="AT212">
        <v>31</v>
      </c>
      <c r="AU212">
        <v>25</v>
      </c>
      <c r="AV212">
        <v>2</v>
      </c>
      <c r="AW212">
        <v>5</v>
      </c>
      <c r="AX212" t="s">
        <v>4015</v>
      </c>
    </row>
    <row r="213" spans="1:50" x14ac:dyDescent="0.25">
      <c r="A213">
        <v>208</v>
      </c>
      <c r="B213" t="s">
        <v>4135</v>
      </c>
      <c r="C213" t="s">
        <v>1843</v>
      </c>
      <c r="D213">
        <v>30</v>
      </c>
      <c r="E213" t="s">
        <v>1719</v>
      </c>
      <c r="F213">
        <v>80</v>
      </c>
      <c r="G213">
        <v>8</v>
      </c>
      <c r="H213">
        <v>27</v>
      </c>
      <c r="I213">
        <v>35</v>
      </c>
      <c r="J213">
        <v>18</v>
      </c>
      <c r="K213">
        <v>14</v>
      </c>
      <c r="L213">
        <v>6</v>
      </c>
      <c r="M213">
        <v>1</v>
      </c>
      <c r="N213">
        <v>1</v>
      </c>
      <c r="O213">
        <v>1</v>
      </c>
      <c r="P213">
        <v>0</v>
      </c>
      <c r="Q213">
        <v>17</v>
      </c>
      <c r="R213">
        <v>10</v>
      </c>
      <c r="S213">
        <v>0</v>
      </c>
      <c r="T213">
        <v>3</v>
      </c>
      <c r="U213">
        <v>2</v>
      </c>
      <c r="V213">
        <v>23</v>
      </c>
      <c r="W213">
        <v>11</v>
      </c>
      <c r="X213">
        <v>1</v>
      </c>
      <c r="Y213">
        <v>4</v>
      </c>
      <c r="Z213">
        <v>2</v>
      </c>
      <c r="AA213" t="s">
        <v>3645</v>
      </c>
      <c r="AB213" s="24">
        <v>0.89374999999999993</v>
      </c>
      <c r="AC213" s="24">
        <v>0.71805555555555556</v>
      </c>
      <c r="AD213" s="24">
        <v>9.1666666666666674E-2</v>
      </c>
      <c r="AE213" s="24">
        <v>8.3333333333333329E-2</v>
      </c>
      <c r="AF213" t="s">
        <v>2561</v>
      </c>
      <c r="AG213" t="s">
        <v>4519</v>
      </c>
      <c r="AH213" t="s">
        <v>4520</v>
      </c>
      <c r="AI213" t="s">
        <v>4521</v>
      </c>
      <c r="AJ213" t="s">
        <v>4229</v>
      </c>
      <c r="AK213" t="s">
        <v>4488</v>
      </c>
      <c r="AL213" t="s">
        <v>4522</v>
      </c>
      <c r="AM213" t="s">
        <v>4523</v>
      </c>
      <c r="AN213" t="s">
        <v>4524</v>
      </c>
      <c r="AO213" t="s">
        <v>4525</v>
      </c>
      <c r="AP213" t="s">
        <v>2814</v>
      </c>
      <c r="AQ213" t="s">
        <v>3480</v>
      </c>
      <c r="AR213">
        <v>128</v>
      </c>
      <c r="AS213" t="s">
        <v>4303</v>
      </c>
      <c r="AT213">
        <v>55</v>
      </c>
      <c r="AU213">
        <v>166</v>
      </c>
      <c r="AV213">
        <v>0</v>
      </c>
      <c r="AW213">
        <v>0</v>
      </c>
      <c r="AX213" t="s">
        <v>2579</v>
      </c>
    </row>
    <row r="214" spans="1:50" x14ac:dyDescent="0.25">
      <c r="A214">
        <v>209</v>
      </c>
      <c r="B214" t="s">
        <v>3156</v>
      </c>
      <c r="C214" t="s">
        <v>678</v>
      </c>
      <c r="D214">
        <v>23</v>
      </c>
      <c r="E214" t="s">
        <v>1719</v>
      </c>
      <c r="F214">
        <v>81</v>
      </c>
      <c r="G214">
        <v>4</v>
      </c>
      <c r="H214">
        <v>31</v>
      </c>
      <c r="I214">
        <v>35</v>
      </c>
      <c r="J214">
        <v>32</v>
      </c>
      <c r="K214">
        <v>7</v>
      </c>
      <c r="L214">
        <v>0</v>
      </c>
      <c r="M214">
        <v>4</v>
      </c>
      <c r="N214">
        <v>0</v>
      </c>
      <c r="O214">
        <v>2</v>
      </c>
      <c r="P214">
        <v>0</v>
      </c>
      <c r="Q214">
        <v>24</v>
      </c>
      <c r="R214">
        <v>6</v>
      </c>
      <c r="S214">
        <v>1</v>
      </c>
      <c r="T214">
        <v>0</v>
      </c>
      <c r="U214">
        <v>0</v>
      </c>
      <c r="V214">
        <v>24</v>
      </c>
      <c r="W214">
        <v>10</v>
      </c>
      <c r="X214">
        <v>1</v>
      </c>
      <c r="Y214">
        <v>2</v>
      </c>
      <c r="Z214">
        <v>0</v>
      </c>
      <c r="AA214" t="s">
        <v>4098</v>
      </c>
      <c r="AB214" s="24">
        <v>0.88263888888888886</v>
      </c>
      <c r="AC214" s="24">
        <v>0.72222222222222221</v>
      </c>
      <c r="AD214" s="24">
        <v>7.2916666666666671E-2</v>
      </c>
      <c r="AE214" s="24">
        <v>8.7500000000000008E-2</v>
      </c>
      <c r="AF214" t="s">
        <v>4526</v>
      </c>
      <c r="AG214" t="s">
        <v>4527</v>
      </c>
      <c r="AH214" t="s">
        <v>4520</v>
      </c>
      <c r="AI214" t="s">
        <v>3830</v>
      </c>
      <c r="AJ214" t="s">
        <v>4144</v>
      </c>
      <c r="AK214" t="s">
        <v>4144</v>
      </c>
      <c r="AL214" t="s">
        <v>2796</v>
      </c>
      <c r="AM214" t="s">
        <v>4528</v>
      </c>
      <c r="AN214" t="s">
        <v>4529</v>
      </c>
      <c r="AO214" t="s">
        <v>4484</v>
      </c>
      <c r="AP214" t="s">
        <v>3457</v>
      </c>
      <c r="AQ214" t="s">
        <v>2858</v>
      </c>
      <c r="AR214">
        <v>188</v>
      </c>
      <c r="AS214" t="s">
        <v>3825</v>
      </c>
      <c r="AT214">
        <v>80</v>
      </c>
      <c r="AU214">
        <v>117</v>
      </c>
      <c r="AV214">
        <v>0</v>
      </c>
      <c r="AW214">
        <v>0</v>
      </c>
      <c r="AX214" t="s">
        <v>2579</v>
      </c>
    </row>
    <row r="215" spans="1:50" x14ac:dyDescent="0.25">
      <c r="A215">
        <v>210</v>
      </c>
      <c r="B215" t="s">
        <v>3158</v>
      </c>
      <c r="C215" t="s">
        <v>1856</v>
      </c>
      <c r="D215">
        <v>28</v>
      </c>
      <c r="E215" t="s">
        <v>2504</v>
      </c>
      <c r="F215">
        <v>82</v>
      </c>
      <c r="G215">
        <v>23</v>
      </c>
      <c r="H215">
        <v>11</v>
      </c>
      <c r="I215">
        <v>34</v>
      </c>
      <c r="J215">
        <v>32</v>
      </c>
      <c r="K215">
        <v>-7</v>
      </c>
      <c r="L215">
        <v>19</v>
      </c>
      <c r="M215">
        <v>4</v>
      </c>
      <c r="N215">
        <v>0</v>
      </c>
      <c r="O215">
        <v>5</v>
      </c>
      <c r="P215">
        <v>1</v>
      </c>
      <c r="Q215">
        <v>7</v>
      </c>
      <c r="R215">
        <v>4</v>
      </c>
      <c r="S215">
        <v>0</v>
      </c>
      <c r="T215">
        <v>2</v>
      </c>
      <c r="U215">
        <v>0</v>
      </c>
      <c r="V215">
        <v>26</v>
      </c>
      <c r="W215">
        <v>8</v>
      </c>
      <c r="X215">
        <v>0</v>
      </c>
      <c r="Y215">
        <v>7</v>
      </c>
      <c r="Z215">
        <v>1</v>
      </c>
      <c r="AA215" t="s">
        <v>3597</v>
      </c>
      <c r="AB215" s="24">
        <v>0.66666666666666663</v>
      </c>
      <c r="AC215" s="24">
        <v>0.55555555555555558</v>
      </c>
      <c r="AD215" s="24">
        <v>5.9027777777777783E-2</v>
      </c>
      <c r="AE215" s="24">
        <v>5.1388888888888894E-2</v>
      </c>
      <c r="AF215" t="s">
        <v>4530</v>
      </c>
      <c r="AG215" t="s">
        <v>4185</v>
      </c>
      <c r="AH215" t="s">
        <v>3391</v>
      </c>
      <c r="AI215" t="s">
        <v>4531</v>
      </c>
      <c r="AJ215" t="s">
        <v>2914</v>
      </c>
      <c r="AK215" t="s">
        <v>2636</v>
      </c>
      <c r="AL215" t="s">
        <v>2734</v>
      </c>
      <c r="AM215" t="s">
        <v>2734</v>
      </c>
      <c r="AN215" t="s">
        <v>4532</v>
      </c>
      <c r="AO215" t="s">
        <v>2561</v>
      </c>
      <c r="AP215" t="s">
        <v>4247</v>
      </c>
      <c r="AQ215" t="s">
        <v>2545</v>
      </c>
      <c r="AR215">
        <v>153</v>
      </c>
      <c r="AS215" t="s">
        <v>4112</v>
      </c>
      <c r="AT215">
        <v>155</v>
      </c>
      <c r="AU215">
        <v>42</v>
      </c>
      <c r="AV215">
        <v>584</v>
      </c>
      <c r="AW215">
        <v>585</v>
      </c>
      <c r="AX215" t="s">
        <v>4533</v>
      </c>
    </row>
    <row r="216" spans="1:50" x14ac:dyDescent="0.25">
      <c r="A216">
        <v>211</v>
      </c>
      <c r="B216" t="s">
        <v>3156</v>
      </c>
      <c r="C216" t="s">
        <v>97</v>
      </c>
      <c r="D216">
        <v>23</v>
      </c>
      <c r="E216" t="s">
        <v>2504</v>
      </c>
      <c r="F216">
        <v>82</v>
      </c>
      <c r="G216">
        <v>18</v>
      </c>
      <c r="H216">
        <v>16</v>
      </c>
      <c r="I216">
        <v>34</v>
      </c>
      <c r="J216">
        <v>52</v>
      </c>
      <c r="K216">
        <v>14</v>
      </c>
      <c r="L216">
        <v>16</v>
      </c>
      <c r="M216">
        <v>0</v>
      </c>
      <c r="N216">
        <v>2</v>
      </c>
      <c r="O216">
        <v>4</v>
      </c>
      <c r="P216">
        <v>0</v>
      </c>
      <c r="Q216">
        <v>15</v>
      </c>
      <c r="R216">
        <v>1</v>
      </c>
      <c r="S216">
        <v>0</v>
      </c>
      <c r="T216">
        <v>3</v>
      </c>
      <c r="U216">
        <v>0</v>
      </c>
      <c r="V216">
        <v>31</v>
      </c>
      <c r="W216">
        <v>1</v>
      </c>
      <c r="X216">
        <v>2</v>
      </c>
      <c r="Y216">
        <v>7</v>
      </c>
      <c r="Z216">
        <v>0</v>
      </c>
      <c r="AA216" t="s">
        <v>4534</v>
      </c>
      <c r="AB216" s="24">
        <v>0.66875000000000007</v>
      </c>
      <c r="AC216" s="24">
        <v>0.58680555555555558</v>
      </c>
      <c r="AD216" s="24">
        <v>4.7222222222222221E-2</v>
      </c>
      <c r="AE216" s="24">
        <v>3.5416666666666666E-2</v>
      </c>
      <c r="AF216" t="s">
        <v>3854</v>
      </c>
      <c r="AG216" t="s">
        <v>4019</v>
      </c>
      <c r="AH216" t="s">
        <v>4535</v>
      </c>
      <c r="AI216" t="s">
        <v>4504</v>
      </c>
      <c r="AJ216" t="s">
        <v>4536</v>
      </c>
      <c r="AK216" t="s">
        <v>4537</v>
      </c>
      <c r="AL216" t="s">
        <v>3830</v>
      </c>
      <c r="AM216" t="s">
        <v>3771</v>
      </c>
      <c r="AN216" t="s">
        <v>3771</v>
      </c>
      <c r="AO216" t="s">
        <v>3244</v>
      </c>
      <c r="AP216" t="s">
        <v>3513</v>
      </c>
      <c r="AQ216" t="s">
        <v>2545</v>
      </c>
      <c r="AR216">
        <v>211</v>
      </c>
      <c r="AS216" t="s">
        <v>4538</v>
      </c>
      <c r="AT216">
        <v>216</v>
      </c>
      <c r="AU216">
        <v>80</v>
      </c>
      <c r="AV216">
        <v>92</v>
      </c>
      <c r="AW216">
        <v>92</v>
      </c>
      <c r="AX216" t="s">
        <v>2647</v>
      </c>
    </row>
    <row r="217" spans="1:50" x14ac:dyDescent="0.25">
      <c r="A217">
        <v>212</v>
      </c>
      <c r="B217" t="s">
        <v>3156</v>
      </c>
      <c r="C217" t="s">
        <v>1852</v>
      </c>
      <c r="D217">
        <v>27</v>
      </c>
      <c r="E217" t="s">
        <v>2504</v>
      </c>
      <c r="F217">
        <v>81</v>
      </c>
      <c r="G217">
        <v>17</v>
      </c>
      <c r="H217">
        <v>17</v>
      </c>
      <c r="I217">
        <v>34</v>
      </c>
      <c r="J217">
        <v>12</v>
      </c>
      <c r="K217">
        <v>-20</v>
      </c>
      <c r="L217">
        <v>13</v>
      </c>
      <c r="M217">
        <v>4</v>
      </c>
      <c r="N217">
        <v>0</v>
      </c>
      <c r="O217">
        <v>1</v>
      </c>
      <c r="P217">
        <v>1</v>
      </c>
      <c r="Q217">
        <v>13</v>
      </c>
      <c r="R217">
        <v>4</v>
      </c>
      <c r="S217">
        <v>0</v>
      </c>
      <c r="T217">
        <v>3</v>
      </c>
      <c r="U217">
        <v>1</v>
      </c>
      <c r="V217">
        <v>26</v>
      </c>
      <c r="W217">
        <v>8</v>
      </c>
      <c r="X217">
        <v>0</v>
      </c>
      <c r="Y217">
        <v>4</v>
      </c>
      <c r="Z217">
        <v>2</v>
      </c>
      <c r="AA217" t="s">
        <v>3597</v>
      </c>
      <c r="AB217" s="24">
        <v>0.78333333333333333</v>
      </c>
      <c r="AC217" s="24">
        <v>0.59652777777777777</v>
      </c>
      <c r="AD217" s="24">
        <v>0.1076388888888889</v>
      </c>
      <c r="AE217" s="24">
        <v>7.8472222222222221E-2</v>
      </c>
      <c r="AF217" t="s">
        <v>3174</v>
      </c>
      <c r="AG217" t="s">
        <v>3174</v>
      </c>
      <c r="AH217" t="s">
        <v>4539</v>
      </c>
      <c r="AI217" t="s">
        <v>4285</v>
      </c>
      <c r="AJ217" t="s">
        <v>4285</v>
      </c>
      <c r="AK217" t="s">
        <v>4152</v>
      </c>
      <c r="AL217" t="s">
        <v>3111</v>
      </c>
      <c r="AM217" t="s">
        <v>3111</v>
      </c>
      <c r="AN217" t="s">
        <v>4540</v>
      </c>
      <c r="AO217" t="s">
        <v>3347</v>
      </c>
      <c r="AP217" t="s">
        <v>3347</v>
      </c>
      <c r="AQ217" t="s">
        <v>3533</v>
      </c>
      <c r="AR217">
        <v>160</v>
      </c>
      <c r="AS217" t="s">
        <v>3154</v>
      </c>
      <c r="AT217">
        <v>78</v>
      </c>
      <c r="AU217">
        <v>53</v>
      </c>
      <c r="AV217">
        <v>788</v>
      </c>
      <c r="AW217">
        <v>664</v>
      </c>
      <c r="AX217" t="s">
        <v>4541</v>
      </c>
    </row>
    <row r="218" spans="1:50" x14ac:dyDescent="0.25">
      <c r="A218">
        <v>213</v>
      </c>
      <c r="B218" t="s">
        <v>3160</v>
      </c>
      <c r="C218" t="s">
        <v>1855</v>
      </c>
      <c r="D218">
        <v>23</v>
      </c>
      <c r="E218" t="s">
        <v>2504</v>
      </c>
      <c r="F218">
        <v>80</v>
      </c>
      <c r="G218">
        <v>16</v>
      </c>
      <c r="H218">
        <v>18</v>
      </c>
      <c r="I218">
        <v>34</v>
      </c>
      <c r="J218">
        <v>6</v>
      </c>
      <c r="K218">
        <v>-8</v>
      </c>
      <c r="L218">
        <v>13</v>
      </c>
      <c r="M218">
        <v>2</v>
      </c>
      <c r="N218">
        <v>1</v>
      </c>
      <c r="O218">
        <v>1</v>
      </c>
      <c r="P218">
        <v>1</v>
      </c>
      <c r="Q218">
        <v>13</v>
      </c>
      <c r="R218">
        <v>4</v>
      </c>
      <c r="S218">
        <v>1</v>
      </c>
      <c r="T218">
        <v>1</v>
      </c>
      <c r="U218">
        <v>0</v>
      </c>
      <c r="V218">
        <v>26</v>
      </c>
      <c r="W218">
        <v>6</v>
      </c>
      <c r="X218">
        <v>2</v>
      </c>
      <c r="Y218">
        <v>2</v>
      </c>
      <c r="Z218">
        <v>1</v>
      </c>
      <c r="AA218" t="s">
        <v>4542</v>
      </c>
      <c r="AB218" s="24">
        <v>0.72083333333333333</v>
      </c>
      <c r="AC218" s="24">
        <v>0.57222222222222219</v>
      </c>
      <c r="AD218" s="24">
        <v>4.9999999999999996E-2</v>
      </c>
      <c r="AE218" s="24">
        <v>9.7916666666666666E-2</v>
      </c>
      <c r="AF218" t="s">
        <v>3353</v>
      </c>
      <c r="AG218" t="s">
        <v>2927</v>
      </c>
      <c r="AH218" t="s">
        <v>4543</v>
      </c>
      <c r="AI218" t="s">
        <v>3006</v>
      </c>
      <c r="AJ218" t="s">
        <v>3006</v>
      </c>
      <c r="AK218" t="s">
        <v>3435</v>
      </c>
      <c r="AL218" t="s">
        <v>4544</v>
      </c>
      <c r="AM218" t="s">
        <v>4545</v>
      </c>
      <c r="AN218" t="s">
        <v>4546</v>
      </c>
      <c r="AO218" t="s">
        <v>3981</v>
      </c>
      <c r="AP218" t="s">
        <v>3177</v>
      </c>
      <c r="AQ218" t="s">
        <v>3808</v>
      </c>
      <c r="AR218">
        <v>155</v>
      </c>
      <c r="AS218" t="s">
        <v>4547</v>
      </c>
      <c r="AT218">
        <v>24</v>
      </c>
      <c r="AU218">
        <v>38</v>
      </c>
      <c r="AV218">
        <v>4</v>
      </c>
      <c r="AW218">
        <v>9</v>
      </c>
      <c r="AX218" t="s">
        <v>4548</v>
      </c>
    </row>
    <row r="219" spans="1:50" x14ac:dyDescent="0.25">
      <c r="A219">
        <v>214</v>
      </c>
      <c r="B219" t="s">
        <v>3156</v>
      </c>
      <c r="C219" t="s">
        <v>50</v>
      </c>
      <c r="D219">
        <v>24</v>
      </c>
      <c r="E219" t="s">
        <v>2504</v>
      </c>
      <c r="F219">
        <v>63</v>
      </c>
      <c r="G219">
        <v>16</v>
      </c>
      <c r="H219">
        <v>18</v>
      </c>
      <c r="I219">
        <v>34</v>
      </c>
      <c r="J219">
        <v>22</v>
      </c>
      <c r="K219">
        <v>6</v>
      </c>
      <c r="L219">
        <v>12</v>
      </c>
      <c r="M219">
        <v>4</v>
      </c>
      <c r="N219">
        <v>0</v>
      </c>
      <c r="O219">
        <v>2</v>
      </c>
      <c r="P219">
        <v>1</v>
      </c>
      <c r="Q219">
        <v>14</v>
      </c>
      <c r="R219">
        <v>3</v>
      </c>
      <c r="S219">
        <v>1</v>
      </c>
      <c r="T219">
        <v>6</v>
      </c>
      <c r="U219">
        <v>3</v>
      </c>
      <c r="V219">
        <v>26</v>
      </c>
      <c r="W219">
        <v>7</v>
      </c>
      <c r="X219">
        <v>1</v>
      </c>
      <c r="Y219">
        <v>8</v>
      </c>
      <c r="Z219">
        <v>4</v>
      </c>
      <c r="AA219" t="s">
        <v>4549</v>
      </c>
      <c r="AB219" s="24">
        <v>0.69097222222222221</v>
      </c>
      <c r="AC219" s="24">
        <v>0.55138888888888882</v>
      </c>
      <c r="AD219" s="24">
        <v>9.5138888888888884E-2</v>
      </c>
      <c r="AE219" s="24">
        <v>4.3055555555555562E-2</v>
      </c>
      <c r="AF219" t="s">
        <v>4550</v>
      </c>
      <c r="AG219" t="s">
        <v>3122</v>
      </c>
      <c r="AH219" t="s">
        <v>2924</v>
      </c>
      <c r="AI219" t="s">
        <v>3485</v>
      </c>
      <c r="AJ219" t="s">
        <v>4010</v>
      </c>
      <c r="AK219" t="s">
        <v>4551</v>
      </c>
      <c r="AL219" t="s">
        <v>4552</v>
      </c>
      <c r="AM219" t="s">
        <v>4544</v>
      </c>
      <c r="AN219" t="s">
        <v>4553</v>
      </c>
      <c r="AO219" t="s">
        <v>3605</v>
      </c>
      <c r="AP219" t="s">
        <v>4554</v>
      </c>
      <c r="AQ219" t="s">
        <v>3376</v>
      </c>
      <c r="AR219">
        <v>165</v>
      </c>
      <c r="AS219" t="s">
        <v>3982</v>
      </c>
      <c r="AT219">
        <v>54</v>
      </c>
      <c r="AU219">
        <v>4</v>
      </c>
      <c r="AV219">
        <v>2</v>
      </c>
      <c r="AW219">
        <v>3</v>
      </c>
      <c r="AX219" t="s">
        <v>3388</v>
      </c>
    </row>
    <row r="220" spans="1:50" x14ac:dyDescent="0.25">
      <c r="A220">
        <v>215</v>
      </c>
      <c r="B220" t="s">
        <v>3156</v>
      </c>
      <c r="C220" t="s">
        <v>134</v>
      </c>
      <c r="D220">
        <v>24</v>
      </c>
      <c r="E220" t="s">
        <v>2504</v>
      </c>
      <c r="F220">
        <v>66</v>
      </c>
      <c r="G220">
        <v>14</v>
      </c>
      <c r="H220">
        <v>20</v>
      </c>
      <c r="I220">
        <v>34</v>
      </c>
      <c r="J220">
        <v>33</v>
      </c>
      <c r="K220">
        <v>12</v>
      </c>
      <c r="L220">
        <v>14</v>
      </c>
      <c r="M220">
        <v>0</v>
      </c>
      <c r="N220">
        <v>0</v>
      </c>
      <c r="O220">
        <v>2</v>
      </c>
      <c r="P220">
        <v>0</v>
      </c>
      <c r="Q220">
        <v>17</v>
      </c>
      <c r="R220">
        <v>2</v>
      </c>
      <c r="S220">
        <v>1</v>
      </c>
      <c r="T220">
        <v>3</v>
      </c>
      <c r="U220">
        <v>1</v>
      </c>
      <c r="V220">
        <v>31</v>
      </c>
      <c r="W220">
        <v>2</v>
      </c>
      <c r="X220">
        <v>1</v>
      </c>
      <c r="Y220">
        <v>5</v>
      </c>
      <c r="Z220">
        <v>1</v>
      </c>
      <c r="AA220" t="s">
        <v>3726</v>
      </c>
      <c r="AB220" s="24">
        <v>0.76597222222222217</v>
      </c>
      <c r="AC220" s="24">
        <v>0.61319444444444449</v>
      </c>
      <c r="AD220" s="24">
        <v>7.5694444444444439E-2</v>
      </c>
      <c r="AE220" s="24">
        <v>7.6388888888888895E-2</v>
      </c>
      <c r="AF220" t="s">
        <v>3946</v>
      </c>
      <c r="AG220" t="s">
        <v>4076</v>
      </c>
      <c r="AH220" t="s">
        <v>4555</v>
      </c>
      <c r="AI220" t="s">
        <v>3776</v>
      </c>
      <c r="AJ220" t="s">
        <v>4035</v>
      </c>
      <c r="AK220" t="s">
        <v>4556</v>
      </c>
      <c r="AL220" t="s">
        <v>3830</v>
      </c>
      <c r="AM220" t="s">
        <v>4557</v>
      </c>
      <c r="AN220" t="s">
        <v>4557</v>
      </c>
      <c r="AO220" t="s">
        <v>4558</v>
      </c>
      <c r="AP220" t="s">
        <v>3803</v>
      </c>
      <c r="AQ220" t="s">
        <v>3716</v>
      </c>
      <c r="AR220">
        <v>120</v>
      </c>
      <c r="AS220" t="s">
        <v>4559</v>
      </c>
      <c r="AT220">
        <v>41</v>
      </c>
      <c r="AU220">
        <v>35</v>
      </c>
      <c r="AV220">
        <v>587</v>
      </c>
      <c r="AW220">
        <v>479</v>
      </c>
      <c r="AX220" t="s">
        <v>4560</v>
      </c>
    </row>
    <row r="221" spans="1:50" x14ac:dyDescent="0.25">
      <c r="A221">
        <v>216</v>
      </c>
      <c r="B221" t="s">
        <v>3156</v>
      </c>
      <c r="C221" t="s">
        <v>1854</v>
      </c>
      <c r="D221">
        <v>29</v>
      </c>
      <c r="E221" t="s">
        <v>1719</v>
      </c>
      <c r="F221">
        <v>80</v>
      </c>
      <c r="G221">
        <v>11</v>
      </c>
      <c r="H221">
        <v>23</v>
      </c>
      <c r="I221">
        <v>34</v>
      </c>
      <c r="J221">
        <v>35</v>
      </c>
      <c r="K221">
        <v>13</v>
      </c>
      <c r="L221">
        <v>8</v>
      </c>
      <c r="M221">
        <v>3</v>
      </c>
      <c r="N221">
        <v>0</v>
      </c>
      <c r="O221">
        <v>2</v>
      </c>
      <c r="P221">
        <v>1</v>
      </c>
      <c r="Q221">
        <v>21</v>
      </c>
      <c r="R221">
        <v>1</v>
      </c>
      <c r="S221">
        <v>1</v>
      </c>
      <c r="T221">
        <v>4</v>
      </c>
      <c r="U221">
        <v>0</v>
      </c>
      <c r="V221">
        <v>29</v>
      </c>
      <c r="W221">
        <v>4</v>
      </c>
      <c r="X221">
        <v>1</v>
      </c>
      <c r="Y221">
        <v>6</v>
      </c>
      <c r="Z221">
        <v>1</v>
      </c>
      <c r="AA221" t="s">
        <v>3140</v>
      </c>
      <c r="AB221" s="24">
        <v>0.85833333333333339</v>
      </c>
      <c r="AC221" s="24">
        <v>0.76250000000000007</v>
      </c>
      <c r="AD221" s="24">
        <v>2.4999999999999998E-2</v>
      </c>
      <c r="AE221" s="24">
        <v>7.0833333333333331E-2</v>
      </c>
      <c r="AF221" t="s">
        <v>3625</v>
      </c>
      <c r="AG221" t="s">
        <v>4561</v>
      </c>
      <c r="AH221" t="s">
        <v>2851</v>
      </c>
      <c r="AI221" t="s">
        <v>4562</v>
      </c>
      <c r="AJ221" t="s">
        <v>4563</v>
      </c>
      <c r="AK221" t="s">
        <v>4564</v>
      </c>
      <c r="AL221" t="s">
        <v>4565</v>
      </c>
      <c r="AM221" t="s">
        <v>4566</v>
      </c>
      <c r="AN221" t="s">
        <v>2828</v>
      </c>
      <c r="AO221" t="s">
        <v>4288</v>
      </c>
      <c r="AP221" t="s">
        <v>3479</v>
      </c>
      <c r="AQ221" t="s">
        <v>3808</v>
      </c>
      <c r="AR221">
        <v>84</v>
      </c>
      <c r="AS221" t="s">
        <v>2861</v>
      </c>
      <c r="AT221">
        <v>164</v>
      </c>
      <c r="AU221">
        <v>88</v>
      </c>
      <c r="AV221">
        <v>0</v>
      </c>
      <c r="AW221">
        <v>1</v>
      </c>
      <c r="AX221" t="s">
        <v>2579</v>
      </c>
    </row>
    <row r="222" spans="1:50" x14ac:dyDescent="0.25">
      <c r="A222">
        <v>217</v>
      </c>
      <c r="B222" t="s">
        <v>3156</v>
      </c>
      <c r="C222" t="s">
        <v>4567</v>
      </c>
      <c r="D222">
        <v>22</v>
      </c>
      <c r="E222" t="s">
        <v>1719</v>
      </c>
      <c r="F222">
        <v>76</v>
      </c>
      <c r="G222">
        <v>11</v>
      </c>
      <c r="H222">
        <v>23</v>
      </c>
      <c r="I222">
        <v>34</v>
      </c>
      <c r="J222">
        <v>59</v>
      </c>
      <c r="K222">
        <v>15</v>
      </c>
      <c r="L222">
        <v>5</v>
      </c>
      <c r="M222">
        <v>6</v>
      </c>
      <c r="N222">
        <v>0</v>
      </c>
      <c r="O222">
        <v>1</v>
      </c>
      <c r="P222">
        <v>1</v>
      </c>
      <c r="Q222">
        <v>16</v>
      </c>
      <c r="R222">
        <v>6</v>
      </c>
      <c r="S222">
        <v>1</v>
      </c>
      <c r="T222">
        <v>6</v>
      </c>
      <c r="U222">
        <v>1</v>
      </c>
      <c r="V222">
        <v>21</v>
      </c>
      <c r="W222">
        <v>12</v>
      </c>
      <c r="X222">
        <v>1</v>
      </c>
      <c r="Y222">
        <v>7</v>
      </c>
      <c r="Z222">
        <v>2</v>
      </c>
      <c r="AA222" t="s">
        <v>3608</v>
      </c>
      <c r="AB222" s="24">
        <v>0.84722222222222221</v>
      </c>
      <c r="AC222" s="24">
        <v>0.72569444444444453</v>
      </c>
      <c r="AD222" s="24">
        <v>9.5138888888888884E-2</v>
      </c>
      <c r="AE222" s="24">
        <v>2.4999999999999998E-2</v>
      </c>
      <c r="AF222" t="s">
        <v>2952</v>
      </c>
      <c r="AG222" t="s">
        <v>4169</v>
      </c>
      <c r="AH222" t="s">
        <v>4397</v>
      </c>
      <c r="AI222" t="s">
        <v>3575</v>
      </c>
      <c r="AJ222" t="s">
        <v>3178</v>
      </c>
      <c r="AK222" t="s">
        <v>4011</v>
      </c>
      <c r="AL222" t="s">
        <v>3845</v>
      </c>
      <c r="AM222" t="s">
        <v>3845</v>
      </c>
      <c r="AN222" t="s">
        <v>4568</v>
      </c>
      <c r="AO222" t="s">
        <v>4569</v>
      </c>
      <c r="AP222" t="s">
        <v>3803</v>
      </c>
      <c r="AQ222" t="s">
        <v>4570</v>
      </c>
      <c r="AR222">
        <v>131</v>
      </c>
      <c r="AS222" t="s">
        <v>3495</v>
      </c>
      <c r="AT222">
        <v>96</v>
      </c>
      <c r="AU222">
        <v>71</v>
      </c>
      <c r="AV222">
        <v>0</v>
      </c>
      <c r="AW222">
        <v>0</v>
      </c>
      <c r="AX222" t="s">
        <v>2579</v>
      </c>
    </row>
    <row r="223" spans="1:50" x14ac:dyDescent="0.25">
      <c r="A223">
        <v>218</v>
      </c>
      <c r="B223" t="s">
        <v>3157</v>
      </c>
      <c r="C223" t="s">
        <v>1857</v>
      </c>
      <c r="D223">
        <v>22</v>
      </c>
      <c r="E223" t="s">
        <v>1719</v>
      </c>
      <c r="F223">
        <v>82</v>
      </c>
      <c r="G223">
        <v>5</v>
      </c>
      <c r="H223">
        <v>29</v>
      </c>
      <c r="I223">
        <v>34</v>
      </c>
      <c r="J223">
        <v>12</v>
      </c>
      <c r="K223">
        <v>23</v>
      </c>
      <c r="L223">
        <v>4</v>
      </c>
      <c r="M223">
        <v>0</v>
      </c>
      <c r="N223">
        <v>1</v>
      </c>
      <c r="O223">
        <v>0</v>
      </c>
      <c r="P223">
        <v>0</v>
      </c>
      <c r="Q223">
        <v>22</v>
      </c>
      <c r="R223">
        <v>4</v>
      </c>
      <c r="S223">
        <v>3</v>
      </c>
      <c r="T223">
        <v>3</v>
      </c>
      <c r="U223">
        <v>0</v>
      </c>
      <c r="V223">
        <v>26</v>
      </c>
      <c r="W223">
        <v>4</v>
      </c>
      <c r="X223">
        <v>4</v>
      </c>
      <c r="Y223">
        <v>3</v>
      </c>
      <c r="Z223">
        <v>0</v>
      </c>
      <c r="AA223" t="s">
        <v>3140</v>
      </c>
      <c r="AB223" s="24">
        <v>0.97638888888888886</v>
      </c>
      <c r="AC223" s="24">
        <v>0.80763888888888891</v>
      </c>
      <c r="AD223" s="24">
        <v>3.8194444444444441E-2</v>
      </c>
      <c r="AE223" s="24">
        <v>0.12986111111111112</v>
      </c>
      <c r="AF223" t="s">
        <v>4571</v>
      </c>
      <c r="AG223" t="s">
        <v>3902</v>
      </c>
      <c r="AH223" t="s">
        <v>4572</v>
      </c>
      <c r="AI223" t="s">
        <v>4573</v>
      </c>
      <c r="AJ223" t="s">
        <v>4574</v>
      </c>
      <c r="AK223" t="s">
        <v>3676</v>
      </c>
      <c r="AL223" t="s">
        <v>3830</v>
      </c>
      <c r="AM223" t="s">
        <v>4575</v>
      </c>
      <c r="AN223" t="s">
        <v>4575</v>
      </c>
      <c r="AO223" t="s">
        <v>4200</v>
      </c>
      <c r="AP223" t="s">
        <v>2616</v>
      </c>
      <c r="AQ223" t="s">
        <v>2545</v>
      </c>
      <c r="AR223">
        <v>99</v>
      </c>
      <c r="AS223" t="s">
        <v>4576</v>
      </c>
      <c r="AT223">
        <v>35</v>
      </c>
      <c r="AU223">
        <v>161</v>
      </c>
      <c r="AV223">
        <v>0</v>
      </c>
      <c r="AW223">
        <v>0</v>
      </c>
      <c r="AX223" t="s">
        <v>2579</v>
      </c>
    </row>
    <row r="224" spans="1:50" x14ac:dyDescent="0.25">
      <c r="A224">
        <v>219</v>
      </c>
      <c r="B224" t="s">
        <v>3156</v>
      </c>
      <c r="C224" t="s">
        <v>4577</v>
      </c>
      <c r="D224">
        <v>29</v>
      </c>
      <c r="E224" t="s">
        <v>1719</v>
      </c>
      <c r="F224">
        <v>41</v>
      </c>
      <c r="G224">
        <v>5</v>
      </c>
      <c r="H224">
        <v>29</v>
      </c>
      <c r="I224">
        <v>34</v>
      </c>
      <c r="J224">
        <v>32</v>
      </c>
      <c r="K224">
        <v>2</v>
      </c>
      <c r="L224">
        <v>3</v>
      </c>
      <c r="M224">
        <v>2</v>
      </c>
      <c r="N224">
        <v>0</v>
      </c>
      <c r="O224">
        <v>2</v>
      </c>
      <c r="P224">
        <v>1</v>
      </c>
      <c r="Q224">
        <v>16</v>
      </c>
      <c r="R224">
        <v>12</v>
      </c>
      <c r="S224">
        <v>1</v>
      </c>
      <c r="T224">
        <v>5</v>
      </c>
      <c r="U224">
        <v>3</v>
      </c>
      <c r="V224">
        <v>19</v>
      </c>
      <c r="W224">
        <v>14</v>
      </c>
      <c r="X224">
        <v>1</v>
      </c>
      <c r="Y224">
        <v>7</v>
      </c>
      <c r="Z224">
        <v>4</v>
      </c>
      <c r="AA224" t="s">
        <v>3628</v>
      </c>
      <c r="AB224" s="25">
        <v>1.0631944444444443</v>
      </c>
      <c r="AC224" s="24">
        <v>0.82013888888888886</v>
      </c>
      <c r="AD224" s="24">
        <v>0.15208333333333332</v>
      </c>
      <c r="AE224" s="24">
        <v>9.0277777777777776E-2</v>
      </c>
      <c r="AF224" t="s">
        <v>4578</v>
      </c>
      <c r="AG224" t="s">
        <v>4259</v>
      </c>
      <c r="AH224" t="s">
        <v>4579</v>
      </c>
      <c r="AI224" t="s">
        <v>4580</v>
      </c>
      <c r="AJ224" t="s">
        <v>4581</v>
      </c>
      <c r="AK224" t="s">
        <v>4582</v>
      </c>
      <c r="AL224" t="s">
        <v>3612</v>
      </c>
      <c r="AM224" t="s">
        <v>4583</v>
      </c>
      <c r="AN224" t="s">
        <v>4584</v>
      </c>
      <c r="AO224" t="s">
        <v>4585</v>
      </c>
      <c r="AP224" t="s">
        <v>3106</v>
      </c>
      <c r="AQ224" t="s">
        <v>2846</v>
      </c>
      <c r="AR224">
        <v>122</v>
      </c>
      <c r="AS224" t="s">
        <v>4586</v>
      </c>
      <c r="AT224">
        <v>70</v>
      </c>
      <c r="AU224">
        <v>70</v>
      </c>
      <c r="AV224">
        <v>0</v>
      </c>
      <c r="AW224">
        <v>0</v>
      </c>
      <c r="AX224" t="s">
        <v>2579</v>
      </c>
    </row>
    <row r="225" spans="1:50" x14ac:dyDescent="0.25">
      <c r="A225">
        <v>220</v>
      </c>
      <c r="B225" t="s">
        <v>3156</v>
      </c>
      <c r="C225" t="s">
        <v>1866</v>
      </c>
      <c r="D225">
        <v>37</v>
      </c>
      <c r="E225" t="s">
        <v>2504</v>
      </c>
      <c r="F225">
        <v>82</v>
      </c>
      <c r="G225">
        <v>20</v>
      </c>
      <c r="H225">
        <v>13</v>
      </c>
      <c r="I225">
        <v>33</v>
      </c>
      <c r="J225">
        <v>40</v>
      </c>
      <c r="K225">
        <v>1</v>
      </c>
      <c r="L225">
        <v>19</v>
      </c>
      <c r="M225">
        <v>0</v>
      </c>
      <c r="N225">
        <v>1</v>
      </c>
      <c r="O225">
        <v>2</v>
      </c>
      <c r="P225">
        <v>0</v>
      </c>
      <c r="Q225">
        <v>13</v>
      </c>
      <c r="R225">
        <v>0</v>
      </c>
      <c r="S225">
        <v>0</v>
      </c>
      <c r="T225">
        <v>2</v>
      </c>
      <c r="U225">
        <v>0</v>
      </c>
      <c r="V225">
        <v>32</v>
      </c>
      <c r="W225">
        <v>0</v>
      </c>
      <c r="X225">
        <v>1</v>
      </c>
      <c r="Y225">
        <v>4</v>
      </c>
      <c r="Z225">
        <v>0</v>
      </c>
      <c r="AA225" t="s">
        <v>4202</v>
      </c>
      <c r="AB225" s="24">
        <v>0.54305555555555551</v>
      </c>
      <c r="AC225" s="24">
        <v>0.4861111111111111</v>
      </c>
      <c r="AD225" s="24">
        <v>6.2499999999999995E-3</v>
      </c>
      <c r="AE225" s="24">
        <v>4.9999999999999996E-2</v>
      </c>
      <c r="AF225" t="s">
        <v>4587</v>
      </c>
      <c r="AG225" t="s">
        <v>4019</v>
      </c>
      <c r="AH225" t="s">
        <v>3436</v>
      </c>
      <c r="AI225" t="s">
        <v>4588</v>
      </c>
      <c r="AJ225" t="s">
        <v>4589</v>
      </c>
      <c r="AK225" t="s">
        <v>4590</v>
      </c>
      <c r="AL225" t="s">
        <v>3830</v>
      </c>
      <c r="AM225" t="s">
        <v>3830</v>
      </c>
      <c r="AN225" t="s">
        <v>3830</v>
      </c>
      <c r="AO225" t="s">
        <v>3012</v>
      </c>
      <c r="AP225" t="s">
        <v>3256</v>
      </c>
      <c r="AQ225" t="s">
        <v>2792</v>
      </c>
      <c r="AR225">
        <v>121</v>
      </c>
      <c r="AS225" t="s">
        <v>4591</v>
      </c>
      <c r="AT225">
        <v>149</v>
      </c>
      <c r="AU225">
        <v>30</v>
      </c>
      <c r="AV225">
        <v>16</v>
      </c>
      <c r="AW225">
        <v>18</v>
      </c>
      <c r="AX225" t="s">
        <v>3361</v>
      </c>
    </row>
    <row r="226" spans="1:50" x14ac:dyDescent="0.25">
      <c r="A226">
        <v>221</v>
      </c>
      <c r="B226" t="s">
        <v>3158</v>
      </c>
      <c r="C226" t="s">
        <v>58</v>
      </c>
      <c r="D226">
        <v>24</v>
      </c>
      <c r="E226" t="s">
        <v>2504</v>
      </c>
      <c r="F226">
        <v>72</v>
      </c>
      <c r="G226">
        <v>18</v>
      </c>
      <c r="H226">
        <v>15</v>
      </c>
      <c r="I226">
        <v>33</v>
      </c>
      <c r="J226">
        <v>62</v>
      </c>
      <c r="K226">
        <v>-25</v>
      </c>
      <c r="L226">
        <v>12</v>
      </c>
      <c r="M226">
        <v>5</v>
      </c>
      <c r="N226">
        <v>1</v>
      </c>
      <c r="O226">
        <v>2</v>
      </c>
      <c r="P226">
        <v>1</v>
      </c>
      <c r="Q226">
        <v>14</v>
      </c>
      <c r="R226">
        <v>1</v>
      </c>
      <c r="S226">
        <v>0</v>
      </c>
      <c r="T226">
        <v>3</v>
      </c>
      <c r="U226">
        <v>0</v>
      </c>
      <c r="V226">
        <v>26</v>
      </c>
      <c r="W226">
        <v>6</v>
      </c>
      <c r="X226">
        <v>1</v>
      </c>
      <c r="Y226">
        <v>5</v>
      </c>
      <c r="Z226">
        <v>1</v>
      </c>
      <c r="AA226" t="s">
        <v>4002</v>
      </c>
      <c r="AB226" s="24">
        <v>0.78263888888888899</v>
      </c>
      <c r="AC226" s="24">
        <v>0.60902777777777783</v>
      </c>
      <c r="AD226" s="24">
        <v>9.7916666666666666E-2</v>
      </c>
      <c r="AE226" s="24">
        <v>7.4305555555555555E-2</v>
      </c>
      <c r="AF226" t="s">
        <v>3171</v>
      </c>
      <c r="AG226" t="s">
        <v>3488</v>
      </c>
      <c r="AH226" t="s">
        <v>2908</v>
      </c>
      <c r="AI226" t="s">
        <v>3594</v>
      </c>
      <c r="AJ226" t="s">
        <v>3171</v>
      </c>
      <c r="AK226" t="s">
        <v>3609</v>
      </c>
      <c r="AL226" t="s">
        <v>4592</v>
      </c>
      <c r="AM226" t="s">
        <v>4593</v>
      </c>
      <c r="AN226" t="s">
        <v>4594</v>
      </c>
      <c r="AO226" t="s">
        <v>3036</v>
      </c>
      <c r="AP226" t="s">
        <v>4595</v>
      </c>
      <c r="AQ226" t="s">
        <v>3493</v>
      </c>
      <c r="AR226">
        <v>169</v>
      </c>
      <c r="AS226" t="s">
        <v>3000</v>
      </c>
      <c r="AT226">
        <v>143</v>
      </c>
      <c r="AU226">
        <v>41</v>
      </c>
      <c r="AV226">
        <v>62</v>
      </c>
      <c r="AW226">
        <v>63</v>
      </c>
      <c r="AX226" t="s">
        <v>4596</v>
      </c>
    </row>
    <row r="227" spans="1:50" x14ac:dyDescent="0.25">
      <c r="A227">
        <v>222</v>
      </c>
      <c r="B227" t="s">
        <v>3157</v>
      </c>
      <c r="C227" t="s">
        <v>1865</v>
      </c>
      <c r="D227">
        <v>22</v>
      </c>
      <c r="E227" t="s">
        <v>2504</v>
      </c>
      <c r="F227">
        <v>40</v>
      </c>
      <c r="G227">
        <v>16</v>
      </c>
      <c r="H227">
        <v>17</v>
      </c>
      <c r="I227">
        <v>33</v>
      </c>
      <c r="J227">
        <v>10</v>
      </c>
      <c r="K227">
        <v>7</v>
      </c>
      <c r="L227">
        <v>15</v>
      </c>
      <c r="M227">
        <v>1</v>
      </c>
      <c r="N227">
        <v>0</v>
      </c>
      <c r="O227">
        <v>0</v>
      </c>
      <c r="P227">
        <v>0</v>
      </c>
      <c r="Q227">
        <v>15</v>
      </c>
      <c r="R227">
        <v>2</v>
      </c>
      <c r="S227">
        <v>0</v>
      </c>
      <c r="T227">
        <v>0</v>
      </c>
      <c r="U227">
        <v>0</v>
      </c>
      <c r="V227">
        <v>30</v>
      </c>
      <c r="W227">
        <v>3</v>
      </c>
      <c r="X227">
        <v>0</v>
      </c>
      <c r="Y227">
        <v>0</v>
      </c>
      <c r="Z227">
        <v>0</v>
      </c>
      <c r="AA227" t="s">
        <v>2633</v>
      </c>
      <c r="AB227" s="24">
        <v>0.66180555555555554</v>
      </c>
      <c r="AC227" s="24">
        <v>0.60416666666666663</v>
      </c>
      <c r="AD227" s="24">
        <v>5.6250000000000001E-2</v>
      </c>
      <c r="AE227" s="24">
        <v>6.9444444444444447E-4</v>
      </c>
      <c r="AF227" t="s">
        <v>4597</v>
      </c>
      <c r="AG227" t="s">
        <v>3598</v>
      </c>
      <c r="AH227" t="s">
        <v>4598</v>
      </c>
      <c r="AI227" t="s">
        <v>3518</v>
      </c>
      <c r="AJ227" t="s">
        <v>3518</v>
      </c>
      <c r="AK227" t="s">
        <v>4053</v>
      </c>
      <c r="AL227" t="s">
        <v>2891</v>
      </c>
      <c r="AM227" t="s">
        <v>4599</v>
      </c>
      <c r="AN227" t="s">
        <v>4600</v>
      </c>
      <c r="AO227" t="s">
        <v>3625</v>
      </c>
      <c r="AP227" t="s">
        <v>3808</v>
      </c>
      <c r="AQ227" t="s">
        <v>3207</v>
      </c>
      <c r="AR227">
        <v>81</v>
      </c>
      <c r="AS227" t="s">
        <v>4601</v>
      </c>
      <c r="AT227">
        <v>61</v>
      </c>
      <c r="AU227">
        <v>18</v>
      </c>
      <c r="AV227">
        <v>8</v>
      </c>
      <c r="AW227">
        <v>8</v>
      </c>
      <c r="AX227" t="s">
        <v>2647</v>
      </c>
    </row>
    <row r="228" spans="1:50" x14ac:dyDescent="0.25">
      <c r="A228">
        <v>223</v>
      </c>
      <c r="B228" t="s">
        <v>3157</v>
      </c>
      <c r="C228" t="s">
        <v>1863</v>
      </c>
      <c r="D228">
        <v>20</v>
      </c>
      <c r="E228" t="s">
        <v>2504</v>
      </c>
      <c r="F228">
        <v>78</v>
      </c>
      <c r="G228">
        <v>15</v>
      </c>
      <c r="H228">
        <v>18</v>
      </c>
      <c r="I228">
        <v>33</v>
      </c>
      <c r="J228">
        <v>22</v>
      </c>
      <c r="K228">
        <v>7</v>
      </c>
      <c r="L228">
        <v>13</v>
      </c>
      <c r="M228">
        <v>2</v>
      </c>
      <c r="N228">
        <v>0</v>
      </c>
      <c r="O228">
        <v>1</v>
      </c>
      <c r="P228">
        <v>0</v>
      </c>
      <c r="Q228">
        <v>15</v>
      </c>
      <c r="R228">
        <v>3</v>
      </c>
      <c r="S228">
        <v>0</v>
      </c>
      <c r="T228">
        <v>2</v>
      </c>
      <c r="U228">
        <v>0</v>
      </c>
      <c r="V228">
        <v>28</v>
      </c>
      <c r="W228">
        <v>5</v>
      </c>
      <c r="X228">
        <v>0</v>
      </c>
      <c r="Y228">
        <v>3</v>
      </c>
      <c r="Z228">
        <v>0</v>
      </c>
      <c r="AA228" t="s">
        <v>3707</v>
      </c>
      <c r="AB228" s="24">
        <v>0.65</v>
      </c>
      <c r="AC228" s="24">
        <v>0.55486111111111114</v>
      </c>
      <c r="AD228" s="24">
        <v>5.9722222222222225E-2</v>
      </c>
      <c r="AE228" s="24">
        <v>3.4722222222222224E-2</v>
      </c>
      <c r="AF228" t="s">
        <v>4229</v>
      </c>
      <c r="AG228" t="s">
        <v>3877</v>
      </c>
      <c r="AH228" t="s">
        <v>4602</v>
      </c>
      <c r="AI228" t="s">
        <v>4603</v>
      </c>
      <c r="AJ228" t="s">
        <v>3764</v>
      </c>
      <c r="AK228" t="s">
        <v>4604</v>
      </c>
      <c r="AL228" t="s">
        <v>4605</v>
      </c>
      <c r="AM228" t="s">
        <v>2540</v>
      </c>
      <c r="AN228" t="s">
        <v>3603</v>
      </c>
      <c r="AO228" t="s">
        <v>4151</v>
      </c>
      <c r="AP228" t="s">
        <v>3335</v>
      </c>
      <c r="AQ228" t="s">
        <v>4395</v>
      </c>
      <c r="AR228">
        <v>88</v>
      </c>
      <c r="AS228" t="s">
        <v>4487</v>
      </c>
      <c r="AT228">
        <v>72</v>
      </c>
      <c r="AU228">
        <v>56</v>
      </c>
      <c r="AV228">
        <v>471</v>
      </c>
      <c r="AW228">
        <v>534</v>
      </c>
      <c r="AX228" t="s">
        <v>4606</v>
      </c>
    </row>
    <row r="229" spans="1:50" x14ac:dyDescent="0.25">
      <c r="A229">
        <v>224</v>
      </c>
      <c r="B229" t="s">
        <v>3156</v>
      </c>
      <c r="C229" t="s">
        <v>1864</v>
      </c>
      <c r="D229">
        <v>22</v>
      </c>
      <c r="E229" t="s">
        <v>2504</v>
      </c>
      <c r="F229">
        <v>82</v>
      </c>
      <c r="G229">
        <v>13</v>
      </c>
      <c r="H229">
        <v>20</v>
      </c>
      <c r="I229">
        <v>33</v>
      </c>
      <c r="J229">
        <v>14</v>
      </c>
      <c r="K229">
        <v>-4</v>
      </c>
      <c r="L229">
        <v>12</v>
      </c>
      <c r="M229">
        <v>1</v>
      </c>
      <c r="N229">
        <v>0</v>
      </c>
      <c r="O229">
        <v>0</v>
      </c>
      <c r="P229">
        <v>0</v>
      </c>
      <c r="Q229">
        <v>15</v>
      </c>
      <c r="R229">
        <v>5</v>
      </c>
      <c r="S229">
        <v>0</v>
      </c>
      <c r="T229">
        <v>2</v>
      </c>
      <c r="U229">
        <v>0</v>
      </c>
      <c r="V229">
        <v>27</v>
      </c>
      <c r="W229">
        <v>6</v>
      </c>
      <c r="X229">
        <v>0</v>
      </c>
      <c r="Y229">
        <v>2</v>
      </c>
      <c r="Z229">
        <v>0</v>
      </c>
      <c r="AA229" t="s">
        <v>4002</v>
      </c>
      <c r="AB229" s="24">
        <v>0.58819444444444446</v>
      </c>
      <c r="AC229" s="24">
        <v>0.50486111111111109</v>
      </c>
      <c r="AD229" s="24">
        <v>7.6388888888888895E-2</v>
      </c>
      <c r="AE229" s="24">
        <v>6.2499999999999995E-3</v>
      </c>
      <c r="AF229" t="s">
        <v>4607</v>
      </c>
      <c r="AG229" t="s">
        <v>3886</v>
      </c>
      <c r="AH229" t="s">
        <v>4496</v>
      </c>
      <c r="AI229" t="s">
        <v>4608</v>
      </c>
      <c r="AJ229" t="s">
        <v>3902</v>
      </c>
      <c r="AK229" t="s">
        <v>4170</v>
      </c>
      <c r="AL229" t="s">
        <v>4373</v>
      </c>
      <c r="AM229" t="s">
        <v>4609</v>
      </c>
      <c r="AN229" t="s">
        <v>4378</v>
      </c>
      <c r="AO229" t="s">
        <v>3256</v>
      </c>
      <c r="AP229" t="s">
        <v>3012</v>
      </c>
      <c r="AQ229" t="s">
        <v>2792</v>
      </c>
      <c r="AR229">
        <v>115</v>
      </c>
      <c r="AS229" t="s">
        <v>3246</v>
      </c>
      <c r="AT229">
        <v>44</v>
      </c>
      <c r="AU229">
        <v>71</v>
      </c>
      <c r="AV229">
        <v>220</v>
      </c>
      <c r="AW229">
        <v>249</v>
      </c>
      <c r="AX229" t="s">
        <v>4610</v>
      </c>
    </row>
    <row r="230" spans="1:50" x14ac:dyDescent="0.25">
      <c r="A230">
        <v>225</v>
      </c>
      <c r="B230" t="s">
        <v>3156</v>
      </c>
      <c r="C230" t="s">
        <v>1859</v>
      </c>
      <c r="D230">
        <v>24</v>
      </c>
      <c r="E230" t="s">
        <v>2504</v>
      </c>
      <c r="F230">
        <v>82</v>
      </c>
      <c r="G230">
        <v>12</v>
      </c>
      <c r="H230">
        <v>21</v>
      </c>
      <c r="I230">
        <v>33</v>
      </c>
      <c r="J230">
        <v>24</v>
      </c>
      <c r="K230">
        <v>13</v>
      </c>
      <c r="L230">
        <v>12</v>
      </c>
      <c r="M230">
        <v>0</v>
      </c>
      <c r="N230">
        <v>0</v>
      </c>
      <c r="O230">
        <v>2</v>
      </c>
      <c r="P230">
        <v>0</v>
      </c>
      <c r="Q230">
        <v>19</v>
      </c>
      <c r="R230">
        <v>0</v>
      </c>
      <c r="S230">
        <v>2</v>
      </c>
      <c r="T230">
        <v>5</v>
      </c>
      <c r="U230">
        <v>0</v>
      </c>
      <c r="V230">
        <v>31</v>
      </c>
      <c r="W230">
        <v>0</v>
      </c>
      <c r="X230">
        <v>2</v>
      </c>
      <c r="Y230">
        <v>7</v>
      </c>
      <c r="Z230">
        <v>0</v>
      </c>
      <c r="AA230" t="s">
        <v>4202</v>
      </c>
      <c r="AB230" s="24">
        <v>0.67152777777777783</v>
      </c>
      <c r="AC230" s="24">
        <v>0.56597222222222221</v>
      </c>
      <c r="AD230" s="24">
        <v>1.3888888888888888E-2</v>
      </c>
      <c r="AE230" s="24">
        <v>9.0277777777777776E-2</v>
      </c>
      <c r="AF230" t="s">
        <v>3026</v>
      </c>
      <c r="AG230" t="s">
        <v>4611</v>
      </c>
      <c r="AH230" t="s">
        <v>4612</v>
      </c>
      <c r="AI230" t="s">
        <v>3431</v>
      </c>
      <c r="AJ230" t="s">
        <v>4613</v>
      </c>
      <c r="AK230" t="s">
        <v>3885</v>
      </c>
      <c r="AL230" t="s">
        <v>3830</v>
      </c>
      <c r="AM230" t="s">
        <v>3830</v>
      </c>
      <c r="AN230" t="s">
        <v>3830</v>
      </c>
      <c r="AO230" t="s">
        <v>4055</v>
      </c>
      <c r="AP230" t="s">
        <v>3881</v>
      </c>
      <c r="AQ230" t="s">
        <v>2792</v>
      </c>
      <c r="AR230">
        <v>169</v>
      </c>
      <c r="AS230" t="s">
        <v>4091</v>
      </c>
      <c r="AT230">
        <v>161</v>
      </c>
      <c r="AU230">
        <v>79</v>
      </c>
      <c r="AV230">
        <v>558</v>
      </c>
      <c r="AW230">
        <v>460</v>
      </c>
      <c r="AX230" t="s">
        <v>4614</v>
      </c>
    </row>
    <row r="231" spans="1:50" x14ac:dyDescent="0.25">
      <c r="A231">
        <v>226</v>
      </c>
      <c r="B231" t="s">
        <v>3161</v>
      </c>
      <c r="C231" t="s">
        <v>1861</v>
      </c>
      <c r="D231">
        <v>22</v>
      </c>
      <c r="E231" t="s">
        <v>2504</v>
      </c>
      <c r="F231">
        <v>80</v>
      </c>
      <c r="G231">
        <v>12</v>
      </c>
      <c r="H231">
        <v>21</v>
      </c>
      <c r="I231">
        <v>33</v>
      </c>
      <c r="J231">
        <v>67</v>
      </c>
      <c r="K231">
        <v>-6</v>
      </c>
      <c r="L231">
        <v>12</v>
      </c>
      <c r="M231">
        <v>0</v>
      </c>
      <c r="N231">
        <v>0</v>
      </c>
      <c r="O231">
        <v>0</v>
      </c>
      <c r="P231">
        <v>0</v>
      </c>
      <c r="Q231">
        <v>19</v>
      </c>
      <c r="R231">
        <v>2</v>
      </c>
      <c r="S231">
        <v>0</v>
      </c>
      <c r="T231">
        <v>0</v>
      </c>
      <c r="U231">
        <v>0</v>
      </c>
      <c r="V231">
        <v>31</v>
      </c>
      <c r="W231">
        <v>2</v>
      </c>
      <c r="X231">
        <v>0</v>
      </c>
      <c r="Y231">
        <v>0</v>
      </c>
      <c r="Z231">
        <v>0</v>
      </c>
      <c r="AA231" t="s">
        <v>4477</v>
      </c>
      <c r="AB231" s="24">
        <v>0.67291666666666661</v>
      </c>
      <c r="AC231" s="24">
        <v>0.56874999999999998</v>
      </c>
      <c r="AD231" s="24">
        <v>2.2222222222222223E-2</v>
      </c>
      <c r="AE231" s="24">
        <v>8.1250000000000003E-2</v>
      </c>
      <c r="AF231" t="s">
        <v>4615</v>
      </c>
      <c r="AG231" t="s">
        <v>3471</v>
      </c>
      <c r="AH231" t="s">
        <v>4616</v>
      </c>
      <c r="AI231" t="s">
        <v>3359</v>
      </c>
      <c r="AJ231" t="s">
        <v>4617</v>
      </c>
      <c r="AK231" t="s">
        <v>4618</v>
      </c>
      <c r="AL231" t="s">
        <v>3830</v>
      </c>
      <c r="AM231" t="s">
        <v>4619</v>
      </c>
      <c r="AN231" t="s">
        <v>4619</v>
      </c>
      <c r="AO231" t="s">
        <v>3519</v>
      </c>
      <c r="AP231" t="s">
        <v>4620</v>
      </c>
      <c r="AQ231" t="s">
        <v>3580</v>
      </c>
      <c r="AR231">
        <v>132</v>
      </c>
      <c r="AS231" t="s">
        <v>2633</v>
      </c>
      <c r="AT231">
        <v>101</v>
      </c>
      <c r="AU231">
        <v>62</v>
      </c>
      <c r="AV231">
        <v>590</v>
      </c>
      <c r="AW231">
        <v>632</v>
      </c>
      <c r="AX231" t="s">
        <v>3129</v>
      </c>
    </row>
    <row r="232" spans="1:50" x14ac:dyDescent="0.25">
      <c r="A232">
        <v>227</v>
      </c>
      <c r="B232" t="s">
        <v>3157</v>
      </c>
      <c r="C232" t="s">
        <v>1858</v>
      </c>
      <c r="D232">
        <v>22</v>
      </c>
      <c r="E232" t="s">
        <v>1719</v>
      </c>
      <c r="F232">
        <v>60</v>
      </c>
      <c r="G232">
        <v>8</v>
      </c>
      <c r="H232">
        <v>25</v>
      </c>
      <c r="I232">
        <v>33</v>
      </c>
      <c r="J232">
        <v>54</v>
      </c>
      <c r="K232">
        <v>4</v>
      </c>
      <c r="L232">
        <v>6</v>
      </c>
      <c r="M232">
        <v>2</v>
      </c>
      <c r="N232">
        <v>0</v>
      </c>
      <c r="O232">
        <v>1</v>
      </c>
      <c r="P232">
        <v>0</v>
      </c>
      <c r="Q232">
        <v>22</v>
      </c>
      <c r="R232">
        <v>2</v>
      </c>
      <c r="S232">
        <v>1</v>
      </c>
      <c r="T232">
        <v>6</v>
      </c>
      <c r="U232">
        <v>0</v>
      </c>
      <c r="V232">
        <v>28</v>
      </c>
      <c r="W232">
        <v>4</v>
      </c>
      <c r="X232">
        <v>1</v>
      </c>
      <c r="Y232">
        <v>7</v>
      </c>
      <c r="Z232">
        <v>0</v>
      </c>
      <c r="AA232" t="s">
        <v>4621</v>
      </c>
      <c r="AB232" s="25">
        <v>1.0395833333333333</v>
      </c>
      <c r="AC232" s="24">
        <v>0.84513888888888899</v>
      </c>
      <c r="AD232" s="24">
        <v>7.013888888888889E-2</v>
      </c>
      <c r="AE232" s="24">
        <v>0.12430555555555556</v>
      </c>
      <c r="AF232" t="s">
        <v>4622</v>
      </c>
      <c r="AG232" t="s">
        <v>3046</v>
      </c>
      <c r="AH232" t="s">
        <v>4377</v>
      </c>
      <c r="AI232" t="s">
        <v>4623</v>
      </c>
      <c r="AJ232" t="s">
        <v>4624</v>
      </c>
      <c r="AK232" t="s">
        <v>4625</v>
      </c>
      <c r="AL232" t="s">
        <v>4626</v>
      </c>
      <c r="AM232" t="s">
        <v>4626</v>
      </c>
      <c r="AN232" t="s">
        <v>4627</v>
      </c>
      <c r="AO232" t="s">
        <v>4478</v>
      </c>
      <c r="AP232" t="s">
        <v>3773</v>
      </c>
      <c r="AQ232" t="s">
        <v>3081</v>
      </c>
      <c r="AR232">
        <v>154</v>
      </c>
      <c r="AS232" t="s">
        <v>4628</v>
      </c>
      <c r="AT232">
        <v>107</v>
      </c>
      <c r="AU232">
        <v>118</v>
      </c>
      <c r="AV232">
        <v>0</v>
      </c>
      <c r="AW232">
        <v>0</v>
      </c>
      <c r="AX232" t="s">
        <v>2579</v>
      </c>
    </row>
    <row r="233" spans="1:50" x14ac:dyDescent="0.25">
      <c r="A233">
        <v>228</v>
      </c>
      <c r="B233" t="s">
        <v>3159</v>
      </c>
      <c r="C233" t="s">
        <v>1862</v>
      </c>
      <c r="D233">
        <v>25</v>
      </c>
      <c r="E233" t="s">
        <v>1719</v>
      </c>
      <c r="F233">
        <v>82</v>
      </c>
      <c r="G233">
        <v>6</v>
      </c>
      <c r="H233">
        <v>27</v>
      </c>
      <c r="I233">
        <v>33</v>
      </c>
      <c r="J233">
        <v>51</v>
      </c>
      <c r="K233">
        <v>30</v>
      </c>
      <c r="L233">
        <v>5</v>
      </c>
      <c r="M233">
        <v>1</v>
      </c>
      <c r="N233">
        <v>0</v>
      </c>
      <c r="O233">
        <v>0</v>
      </c>
      <c r="P233">
        <v>0</v>
      </c>
      <c r="Q233">
        <v>22</v>
      </c>
      <c r="R233">
        <v>5</v>
      </c>
      <c r="S233">
        <v>0</v>
      </c>
      <c r="T233">
        <v>10</v>
      </c>
      <c r="U233">
        <v>2</v>
      </c>
      <c r="V233">
        <v>27</v>
      </c>
      <c r="W233">
        <v>6</v>
      </c>
      <c r="X233">
        <v>0</v>
      </c>
      <c r="Y233">
        <v>10</v>
      </c>
      <c r="Z233">
        <v>2</v>
      </c>
      <c r="AA233" t="s">
        <v>4002</v>
      </c>
      <c r="AB233" s="24">
        <v>0.81388888888888899</v>
      </c>
      <c r="AC233" s="24">
        <v>0.75624999999999998</v>
      </c>
      <c r="AD233" s="24">
        <v>4.7222222222222221E-2</v>
      </c>
      <c r="AE233" s="24">
        <v>9.7222222222222224E-3</v>
      </c>
      <c r="AF233" t="s">
        <v>3177</v>
      </c>
      <c r="AG233" t="s">
        <v>2725</v>
      </c>
      <c r="AH233" t="s">
        <v>3131</v>
      </c>
      <c r="AI233" t="s">
        <v>4629</v>
      </c>
      <c r="AJ233" t="s">
        <v>4399</v>
      </c>
      <c r="AK233" t="s">
        <v>3543</v>
      </c>
      <c r="AL233" t="s">
        <v>3535</v>
      </c>
      <c r="AM233" t="s">
        <v>4630</v>
      </c>
      <c r="AN233" t="s">
        <v>4631</v>
      </c>
      <c r="AO233" t="s">
        <v>4461</v>
      </c>
      <c r="AP233" t="s">
        <v>2939</v>
      </c>
      <c r="AQ233" t="s">
        <v>2792</v>
      </c>
      <c r="AR233">
        <v>125</v>
      </c>
      <c r="AS233" t="s">
        <v>4632</v>
      </c>
      <c r="AT233">
        <v>122</v>
      </c>
      <c r="AU233">
        <v>94</v>
      </c>
      <c r="AV233">
        <v>0</v>
      </c>
      <c r="AW233">
        <v>0</v>
      </c>
      <c r="AX233" t="s">
        <v>2579</v>
      </c>
    </row>
    <row r="234" spans="1:50" x14ac:dyDescent="0.25">
      <c r="A234">
        <v>229</v>
      </c>
      <c r="B234" t="s">
        <v>3162</v>
      </c>
      <c r="C234" t="s">
        <v>1870</v>
      </c>
      <c r="D234">
        <v>23</v>
      </c>
      <c r="E234" t="s">
        <v>2504</v>
      </c>
      <c r="F234">
        <v>69</v>
      </c>
      <c r="G234">
        <v>19</v>
      </c>
      <c r="H234">
        <v>13</v>
      </c>
      <c r="I234">
        <v>32</v>
      </c>
      <c r="J234">
        <v>14</v>
      </c>
      <c r="K234">
        <v>-19</v>
      </c>
      <c r="L234">
        <v>16</v>
      </c>
      <c r="M234">
        <v>3</v>
      </c>
      <c r="N234">
        <v>0</v>
      </c>
      <c r="O234">
        <v>3</v>
      </c>
      <c r="P234">
        <v>1</v>
      </c>
      <c r="Q234">
        <v>9</v>
      </c>
      <c r="R234">
        <v>4</v>
      </c>
      <c r="S234">
        <v>0</v>
      </c>
      <c r="T234">
        <v>3</v>
      </c>
      <c r="U234">
        <v>0</v>
      </c>
      <c r="V234">
        <v>25</v>
      </c>
      <c r="W234">
        <v>7</v>
      </c>
      <c r="X234">
        <v>0</v>
      </c>
      <c r="Y234">
        <v>6</v>
      </c>
      <c r="Z234">
        <v>1</v>
      </c>
      <c r="AA234" t="s">
        <v>2904</v>
      </c>
      <c r="AB234" s="24">
        <v>0.72083333333333333</v>
      </c>
      <c r="AC234" s="24">
        <v>0.58888888888888891</v>
      </c>
      <c r="AD234" s="24">
        <v>8.1250000000000003E-2</v>
      </c>
      <c r="AE234" s="24">
        <v>4.9999999999999996E-2</v>
      </c>
      <c r="AF234" t="s">
        <v>4633</v>
      </c>
      <c r="AG234" t="s">
        <v>4634</v>
      </c>
      <c r="AH234" t="s">
        <v>4635</v>
      </c>
      <c r="AI234" t="s">
        <v>4448</v>
      </c>
      <c r="AJ234" t="s">
        <v>4636</v>
      </c>
      <c r="AK234" t="s">
        <v>4637</v>
      </c>
      <c r="AL234" t="s">
        <v>2956</v>
      </c>
      <c r="AM234" t="s">
        <v>4638</v>
      </c>
      <c r="AN234" t="s">
        <v>3034</v>
      </c>
      <c r="AO234" t="s">
        <v>4103</v>
      </c>
      <c r="AP234" t="s">
        <v>3080</v>
      </c>
      <c r="AQ234" t="s">
        <v>4639</v>
      </c>
      <c r="AR234">
        <v>122</v>
      </c>
      <c r="AS234" t="s">
        <v>3914</v>
      </c>
      <c r="AT234">
        <v>32</v>
      </c>
      <c r="AU234">
        <v>11</v>
      </c>
      <c r="AV234">
        <v>40</v>
      </c>
      <c r="AW234">
        <v>61</v>
      </c>
      <c r="AX234" t="s">
        <v>4640</v>
      </c>
    </row>
    <row r="235" spans="1:50" x14ac:dyDescent="0.25">
      <c r="A235">
        <v>230</v>
      </c>
      <c r="B235" t="s">
        <v>3157</v>
      </c>
      <c r="C235" t="s">
        <v>64</v>
      </c>
      <c r="D235">
        <v>20</v>
      </c>
      <c r="E235" t="s">
        <v>2504</v>
      </c>
      <c r="F235">
        <v>80</v>
      </c>
      <c r="G235">
        <v>17</v>
      </c>
      <c r="H235">
        <v>15</v>
      </c>
      <c r="I235">
        <v>32</v>
      </c>
      <c r="J235">
        <v>37</v>
      </c>
      <c r="K235">
        <v>-28</v>
      </c>
      <c r="L235">
        <v>11</v>
      </c>
      <c r="M235">
        <v>5</v>
      </c>
      <c r="N235">
        <v>1</v>
      </c>
      <c r="O235">
        <v>1</v>
      </c>
      <c r="P235">
        <v>0</v>
      </c>
      <c r="Q235">
        <v>13</v>
      </c>
      <c r="R235">
        <v>2</v>
      </c>
      <c r="S235">
        <v>0</v>
      </c>
      <c r="T235">
        <v>0</v>
      </c>
      <c r="U235">
        <v>0</v>
      </c>
      <c r="V235">
        <v>24</v>
      </c>
      <c r="W235">
        <v>7</v>
      </c>
      <c r="X235">
        <v>1</v>
      </c>
      <c r="Y235">
        <v>1</v>
      </c>
      <c r="Z235">
        <v>0</v>
      </c>
      <c r="AA235" t="s">
        <v>2904</v>
      </c>
      <c r="AB235" s="24">
        <v>0.67222222222222217</v>
      </c>
      <c r="AC235" s="24">
        <v>0.57986111111111105</v>
      </c>
      <c r="AD235" s="24">
        <v>7.7777777777777779E-2</v>
      </c>
      <c r="AE235" s="24">
        <v>1.3888888888888888E-2</v>
      </c>
      <c r="AF235" t="s">
        <v>4641</v>
      </c>
      <c r="AG235" t="s">
        <v>4642</v>
      </c>
      <c r="AH235" t="s">
        <v>2524</v>
      </c>
      <c r="AI235" t="s">
        <v>4643</v>
      </c>
      <c r="AJ235" t="s">
        <v>3270</v>
      </c>
      <c r="AK235" t="s">
        <v>3615</v>
      </c>
      <c r="AL235" t="s">
        <v>3908</v>
      </c>
      <c r="AM235" t="s">
        <v>2940</v>
      </c>
      <c r="AN235" t="s">
        <v>4644</v>
      </c>
      <c r="AO235" t="s">
        <v>3962</v>
      </c>
      <c r="AP235" t="s">
        <v>3080</v>
      </c>
      <c r="AQ235" t="s">
        <v>3625</v>
      </c>
      <c r="AR235">
        <v>178</v>
      </c>
      <c r="AS235" t="s">
        <v>2730</v>
      </c>
      <c r="AT235">
        <v>67</v>
      </c>
      <c r="AU235">
        <v>22</v>
      </c>
      <c r="AV235">
        <v>196</v>
      </c>
      <c r="AW235">
        <v>236</v>
      </c>
      <c r="AX235" t="s">
        <v>4645</v>
      </c>
    </row>
    <row r="236" spans="1:50" x14ac:dyDescent="0.25">
      <c r="A236">
        <v>231</v>
      </c>
      <c r="B236" t="s">
        <v>3156</v>
      </c>
      <c r="C236" t="s">
        <v>1867</v>
      </c>
      <c r="D236">
        <v>28</v>
      </c>
      <c r="E236" t="s">
        <v>2504</v>
      </c>
      <c r="F236">
        <v>74</v>
      </c>
      <c r="G236">
        <v>16</v>
      </c>
      <c r="H236">
        <v>16</v>
      </c>
      <c r="I236">
        <v>32</v>
      </c>
      <c r="J236">
        <v>61</v>
      </c>
      <c r="K236">
        <v>6</v>
      </c>
      <c r="L236">
        <v>11</v>
      </c>
      <c r="M236">
        <v>1</v>
      </c>
      <c r="N236">
        <v>4</v>
      </c>
      <c r="O236">
        <v>1</v>
      </c>
      <c r="P236">
        <v>0</v>
      </c>
      <c r="Q236">
        <v>16</v>
      </c>
      <c r="R236">
        <v>0</v>
      </c>
      <c r="S236">
        <v>0</v>
      </c>
      <c r="T236">
        <v>3</v>
      </c>
      <c r="U236">
        <v>0</v>
      </c>
      <c r="V236">
        <v>27</v>
      </c>
      <c r="W236">
        <v>1</v>
      </c>
      <c r="X236">
        <v>4</v>
      </c>
      <c r="Y236">
        <v>4</v>
      </c>
      <c r="Z236">
        <v>0</v>
      </c>
      <c r="AA236" t="s">
        <v>4646</v>
      </c>
      <c r="AB236" s="24">
        <v>0.68263888888888891</v>
      </c>
      <c r="AC236" s="24">
        <v>0.54236111111111118</v>
      </c>
      <c r="AD236" s="24">
        <v>5.7638888888888885E-2</v>
      </c>
      <c r="AE236" s="24">
        <v>8.1250000000000003E-2</v>
      </c>
      <c r="AF236" t="s">
        <v>2625</v>
      </c>
      <c r="AG236" t="s">
        <v>2625</v>
      </c>
      <c r="AH236" t="s">
        <v>2930</v>
      </c>
      <c r="AI236" t="s">
        <v>3594</v>
      </c>
      <c r="AJ236" t="s">
        <v>4344</v>
      </c>
      <c r="AK236" t="s">
        <v>3953</v>
      </c>
      <c r="AL236" t="s">
        <v>4647</v>
      </c>
      <c r="AM236" t="s">
        <v>3830</v>
      </c>
      <c r="AN236" t="s">
        <v>4647</v>
      </c>
      <c r="AO236" t="s">
        <v>4648</v>
      </c>
      <c r="AP236" t="s">
        <v>4648</v>
      </c>
      <c r="AQ236" t="s">
        <v>2858</v>
      </c>
      <c r="AR236">
        <v>137</v>
      </c>
      <c r="AS236" t="s">
        <v>4559</v>
      </c>
      <c r="AT236">
        <v>140</v>
      </c>
      <c r="AU236">
        <v>38</v>
      </c>
      <c r="AV236">
        <v>317</v>
      </c>
      <c r="AW236">
        <v>292</v>
      </c>
      <c r="AX236" t="s">
        <v>4649</v>
      </c>
    </row>
    <row r="237" spans="1:50" x14ac:dyDescent="0.25">
      <c r="A237">
        <v>232</v>
      </c>
      <c r="B237" t="s">
        <v>3162</v>
      </c>
      <c r="C237" t="s">
        <v>704</v>
      </c>
      <c r="D237">
        <v>29</v>
      </c>
      <c r="E237" t="s">
        <v>2504</v>
      </c>
      <c r="F237">
        <v>82</v>
      </c>
      <c r="G237">
        <v>14</v>
      </c>
      <c r="H237">
        <v>18</v>
      </c>
      <c r="I237">
        <v>32</v>
      </c>
      <c r="J237">
        <v>31</v>
      </c>
      <c r="K237">
        <v>6</v>
      </c>
      <c r="L237">
        <v>9</v>
      </c>
      <c r="M237">
        <v>4</v>
      </c>
      <c r="N237">
        <v>1</v>
      </c>
      <c r="O237">
        <v>1</v>
      </c>
      <c r="P237">
        <v>0</v>
      </c>
      <c r="Q237">
        <v>11</v>
      </c>
      <c r="R237">
        <v>6</v>
      </c>
      <c r="S237">
        <v>1</v>
      </c>
      <c r="T237">
        <v>3</v>
      </c>
      <c r="U237">
        <v>0</v>
      </c>
      <c r="V237">
        <v>20</v>
      </c>
      <c r="W237">
        <v>10</v>
      </c>
      <c r="X237">
        <v>2</v>
      </c>
      <c r="Y237">
        <v>4</v>
      </c>
      <c r="Z237">
        <v>0</v>
      </c>
      <c r="AA237" t="s">
        <v>4650</v>
      </c>
      <c r="AB237" s="24">
        <v>0.71111111111111114</v>
      </c>
      <c r="AC237" s="24">
        <v>0.53541666666666665</v>
      </c>
      <c r="AD237" s="24">
        <v>8.819444444444445E-2</v>
      </c>
      <c r="AE237" s="24">
        <v>8.8888888888888892E-2</v>
      </c>
      <c r="AF237" t="s">
        <v>2531</v>
      </c>
      <c r="AG237" t="s">
        <v>4178</v>
      </c>
      <c r="AH237" t="s">
        <v>2856</v>
      </c>
      <c r="AI237" t="s">
        <v>4651</v>
      </c>
      <c r="AJ237" t="s">
        <v>3811</v>
      </c>
      <c r="AK237" t="s">
        <v>4652</v>
      </c>
      <c r="AL237" t="s">
        <v>2865</v>
      </c>
      <c r="AM237" t="s">
        <v>4653</v>
      </c>
      <c r="AN237" t="s">
        <v>4654</v>
      </c>
      <c r="AO237" t="s">
        <v>3049</v>
      </c>
      <c r="AP237" t="s">
        <v>3244</v>
      </c>
      <c r="AQ237" t="s">
        <v>2872</v>
      </c>
      <c r="AR237">
        <v>114</v>
      </c>
      <c r="AS237" t="s">
        <v>2928</v>
      </c>
      <c r="AT237">
        <v>232</v>
      </c>
      <c r="AU237">
        <v>50</v>
      </c>
      <c r="AV237">
        <v>91</v>
      </c>
      <c r="AW237">
        <v>111</v>
      </c>
      <c r="AX237" t="s">
        <v>4655</v>
      </c>
    </row>
    <row r="238" spans="1:50" x14ac:dyDescent="0.25">
      <c r="A238">
        <v>233</v>
      </c>
      <c r="B238" t="s">
        <v>3156</v>
      </c>
      <c r="C238" t="s">
        <v>1868</v>
      </c>
      <c r="D238">
        <v>33</v>
      </c>
      <c r="E238" t="s">
        <v>2504</v>
      </c>
      <c r="F238">
        <v>81</v>
      </c>
      <c r="G238">
        <v>14</v>
      </c>
      <c r="H238">
        <v>18</v>
      </c>
      <c r="I238">
        <v>32</v>
      </c>
      <c r="J238">
        <v>10</v>
      </c>
      <c r="K238">
        <v>-4</v>
      </c>
      <c r="L238">
        <v>3</v>
      </c>
      <c r="M238">
        <v>11</v>
      </c>
      <c r="N238">
        <v>0</v>
      </c>
      <c r="O238">
        <v>2</v>
      </c>
      <c r="P238">
        <v>0</v>
      </c>
      <c r="Q238">
        <v>11</v>
      </c>
      <c r="R238">
        <v>7</v>
      </c>
      <c r="S238">
        <v>0</v>
      </c>
      <c r="T238">
        <v>2</v>
      </c>
      <c r="U238">
        <v>0</v>
      </c>
      <c r="V238">
        <v>14</v>
      </c>
      <c r="W238">
        <v>18</v>
      </c>
      <c r="X238">
        <v>0</v>
      </c>
      <c r="Y238">
        <v>4</v>
      </c>
      <c r="Z238">
        <v>0</v>
      </c>
      <c r="AA238" t="s">
        <v>4656</v>
      </c>
      <c r="AB238" s="24">
        <v>0.48333333333333334</v>
      </c>
      <c r="AC238" s="24">
        <v>0.39444444444444443</v>
      </c>
      <c r="AD238" s="24">
        <v>8.819444444444445E-2</v>
      </c>
      <c r="AE238" s="24">
        <v>0</v>
      </c>
      <c r="AF238" t="s">
        <v>4169</v>
      </c>
      <c r="AG238" t="s">
        <v>2577</v>
      </c>
      <c r="AH238" t="s">
        <v>4657</v>
      </c>
      <c r="AI238" t="s">
        <v>4172</v>
      </c>
      <c r="AJ238" t="s">
        <v>4658</v>
      </c>
      <c r="AK238" t="s">
        <v>2626</v>
      </c>
      <c r="AL238" t="s">
        <v>4659</v>
      </c>
      <c r="AM238" t="s">
        <v>4660</v>
      </c>
      <c r="AN238" t="s">
        <v>4661</v>
      </c>
      <c r="AO238" t="s">
        <v>4264</v>
      </c>
      <c r="AP238" t="s">
        <v>3534</v>
      </c>
      <c r="AQ238" t="s">
        <v>2859</v>
      </c>
      <c r="AR238">
        <v>134</v>
      </c>
      <c r="AS238" t="s">
        <v>2793</v>
      </c>
      <c r="AT238">
        <v>37</v>
      </c>
      <c r="AU238">
        <v>18</v>
      </c>
      <c r="AV238">
        <v>1</v>
      </c>
      <c r="AW238">
        <v>3</v>
      </c>
      <c r="AX238" t="s">
        <v>3060</v>
      </c>
    </row>
    <row r="239" spans="1:50" x14ac:dyDescent="0.25">
      <c r="A239">
        <v>234</v>
      </c>
      <c r="B239" t="s">
        <v>3157</v>
      </c>
      <c r="C239" t="s">
        <v>1871</v>
      </c>
      <c r="D239">
        <v>24</v>
      </c>
      <c r="E239" t="s">
        <v>2504</v>
      </c>
      <c r="F239">
        <v>81</v>
      </c>
      <c r="G239">
        <v>14</v>
      </c>
      <c r="H239">
        <v>18</v>
      </c>
      <c r="I239">
        <v>32</v>
      </c>
      <c r="J239">
        <v>30</v>
      </c>
      <c r="K239">
        <v>7</v>
      </c>
      <c r="L239">
        <v>12</v>
      </c>
      <c r="M239">
        <v>1</v>
      </c>
      <c r="N239">
        <v>1</v>
      </c>
      <c r="O239">
        <v>1</v>
      </c>
      <c r="P239">
        <v>0</v>
      </c>
      <c r="Q239">
        <v>16</v>
      </c>
      <c r="R239">
        <v>2</v>
      </c>
      <c r="S239">
        <v>0</v>
      </c>
      <c r="T239">
        <v>2</v>
      </c>
      <c r="U239">
        <v>0</v>
      </c>
      <c r="V239">
        <v>28</v>
      </c>
      <c r="W239">
        <v>3</v>
      </c>
      <c r="X239">
        <v>1</v>
      </c>
      <c r="Y239">
        <v>3</v>
      </c>
      <c r="Z239">
        <v>0</v>
      </c>
      <c r="AA239" t="s">
        <v>3434</v>
      </c>
      <c r="AB239" s="24">
        <v>0.59930555555555554</v>
      </c>
      <c r="AC239" s="24">
        <v>0.53611111111111109</v>
      </c>
      <c r="AD239" s="24">
        <v>5.5555555555555552E-2</v>
      </c>
      <c r="AE239" s="24">
        <v>6.9444444444444441E-3</v>
      </c>
      <c r="AF239" t="s">
        <v>3070</v>
      </c>
      <c r="AG239" t="s">
        <v>3413</v>
      </c>
      <c r="AH239" t="s">
        <v>4446</v>
      </c>
      <c r="AI239" t="s">
        <v>4662</v>
      </c>
      <c r="AJ239" t="s">
        <v>4003</v>
      </c>
      <c r="AK239" t="s">
        <v>3702</v>
      </c>
      <c r="AL239" t="s">
        <v>4305</v>
      </c>
      <c r="AM239" t="s">
        <v>4028</v>
      </c>
      <c r="AN239" t="s">
        <v>4259</v>
      </c>
      <c r="AO239" t="s">
        <v>4264</v>
      </c>
      <c r="AP239" t="s">
        <v>3534</v>
      </c>
      <c r="AQ239" t="s">
        <v>2859</v>
      </c>
      <c r="AR239">
        <v>123</v>
      </c>
      <c r="AS239" t="s">
        <v>3432</v>
      </c>
      <c r="AT239">
        <v>71</v>
      </c>
      <c r="AU239">
        <v>21</v>
      </c>
      <c r="AV239">
        <v>9</v>
      </c>
      <c r="AW239">
        <v>21</v>
      </c>
      <c r="AX239" t="s">
        <v>4663</v>
      </c>
    </row>
    <row r="240" spans="1:50" x14ac:dyDescent="0.25">
      <c r="A240">
        <v>235</v>
      </c>
      <c r="B240" t="s">
        <v>3156</v>
      </c>
      <c r="C240" t="s">
        <v>80</v>
      </c>
      <c r="D240">
        <v>31</v>
      </c>
      <c r="E240" t="s">
        <v>2504</v>
      </c>
      <c r="F240">
        <v>78</v>
      </c>
      <c r="G240">
        <v>23</v>
      </c>
      <c r="H240">
        <v>8</v>
      </c>
      <c r="I240">
        <v>31</v>
      </c>
      <c r="J240">
        <v>45</v>
      </c>
      <c r="K240">
        <v>-14</v>
      </c>
      <c r="L240">
        <v>19</v>
      </c>
      <c r="M240">
        <v>3</v>
      </c>
      <c r="N240">
        <v>1</v>
      </c>
      <c r="O240">
        <v>4</v>
      </c>
      <c r="P240">
        <v>1</v>
      </c>
      <c r="Q240">
        <v>6</v>
      </c>
      <c r="R240">
        <v>2</v>
      </c>
      <c r="S240">
        <v>0</v>
      </c>
      <c r="T240">
        <v>1</v>
      </c>
      <c r="U240">
        <v>0</v>
      </c>
      <c r="V240">
        <v>25</v>
      </c>
      <c r="W240">
        <v>5</v>
      </c>
      <c r="X240">
        <v>1</v>
      </c>
      <c r="Y240">
        <v>5</v>
      </c>
      <c r="Z240">
        <v>1</v>
      </c>
      <c r="AA240" t="s">
        <v>3236</v>
      </c>
      <c r="AB240" s="24">
        <v>0.67291666666666661</v>
      </c>
      <c r="AC240" s="24">
        <v>0.55069444444444449</v>
      </c>
      <c r="AD240" s="24">
        <v>8.6805555555555566E-2</v>
      </c>
      <c r="AE240" s="24">
        <v>3.4722222222222224E-2</v>
      </c>
      <c r="AF240" t="s">
        <v>3786</v>
      </c>
      <c r="AG240" t="s">
        <v>4664</v>
      </c>
      <c r="AH240" t="s">
        <v>4665</v>
      </c>
      <c r="AI240" t="s">
        <v>4666</v>
      </c>
      <c r="AJ240" t="s">
        <v>3591</v>
      </c>
      <c r="AK240" t="s">
        <v>4667</v>
      </c>
      <c r="AL240" t="s">
        <v>4668</v>
      </c>
      <c r="AM240" t="s">
        <v>4669</v>
      </c>
      <c r="AN240" t="s">
        <v>4670</v>
      </c>
      <c r="AO240" t="s">
        <v>4671</v>
      </c>
      <c r="AP240" t="s">
        <v>4672</v>
      </c>
      <c r="AQ240" t="s">
        <v>4373</v>
      </c>
      <c r="AR240">
        <v>142</v>
      </c>
      <c r="AS240" t="s">
        <v>4673</v>
      </c>
      <c r="AT240">
        <v>112</v>
      </c>
      <c r="AU240">
        <v>54</v>
      </c>
      <c r="AV240">
        <v>4</v>
      </c>
      <c r="AW240">
        <v>6</v>
      </c>
      <c r="AX240" t="s">
        <v>3388</v>
      </c>
    </row>
    <row r="241" spans="1:50" x14ac:dyDescent="0.25">
      <c r="A241">
        <v>236</v>
      </c>
      <c r="B241" t="s">
        <v>3157</v>
      </c>
      <c r="C241" t="s">
        <v>1874</v>
      </c>
      <c r="D241">
        <v>22</v>
      </c>
      <c r="E241" t="s">
        <v>2504</v>
      </c>
      <c r="F241">
        <v>76</v>
      </c>
      <c r="G241">
        <v>19</v>
      </c>
      <c r="H241">
        <v>12</v>
      </c>
      <c r="I241">
        <v>31</v>
      </c>
      <c r="J241">
        <v>70</v>
      </c>
      <c r="K241">
        <v>13</v>
      </c>
      <c r="L241">
        <v>18</v>
      </c>
      <c r="M241">
        <v>1</v>
      </c>
      <c r="N241">
        <v>0</v>
      </c>
      <c r="O241">
        <v>4</v>
      </c>
      <c r="P241">
        <v>1</v>
      </c>
      <c r="Q241">
        <v>12</v>
      </c>
      <c r="R241">
        <v>0</v>
      </c>
      <c r="S241">
        <v>0</v>
      </c>
      <c r="T241">
        <v>0</v>
      </c>
      <c r="U241">
        <v>0</v>
      </c>
      <c r="V241">
        <v>30</v>
      </c>
      <c r="W241">
        <v>1</v>
      </c>
      <c r="X241">
        <v>0</v>
      </c>
      <c r="Y241">
        <v>4</v>
      </c>
      <c r="Z241">
        <v>1</v>
      </c>
      <c r="AA241" t="s">
        <v>4001</v>
      </c>
      <c r="AB241" s="24">
        <v>0.53194444444444444</v>
      </c>
      <c r="AC241" s="24">
        <v>0.50624999999999998</v>
      </c>
      <c r="AD241" s="24">
        <v>2.1527777777777781E-2</v>
      </c>
      <c r="AE241" s="24">
        <v>3.472222222222222E-3</v>
      </c>
      <c r="AF241" t="s">
        <v>4390</v>
      </c>
      <c r="AG241" t="s">
        <v>4674</v>
      </c>
      <c r="AH241" t="s">
        <v>4675</v>
      </c>
      <c r="AI241" t="s">
        <v>4676</v>
      </c>
      <c r="AJ241" t="s">
        <v>4536</v>
      </c>
      <c r="AK241" t="s">
        <v>3875</v>
      </c>
      <c r="AL241" t="s">
        <v>3475</v>
      </c>
      <c r="AM241" t="s">
        <v>3830</v>
      </c>
      <c r="AN241" t="s">
        <v>3475</v>
      </c>
      <c r="AO241" t="s">
        <v>3036</v>
      </c>
      <c r="AP241" t="s">
        <v>3593</v>
      </c>
      <c r="AQ241" t="s">
        <v>4677</v>
      </c>
      <c r="AR241">
        <v>170</v>
      </c>
      <c r="AS241" t="s">
        <v>3071</v>
      </c>
      <c r="AT241">
        <v>121</v>
      </c>
      <c r="AU241">
        <v>30</v>
      </c>
      <c r="AV241">
        <v>25</v>
      </c>
      <c r="AW241">
        <v>37</v>
      </c>
      <c r="AX241" t="s">
        <v>4678</v>
      </c>
    </row>
    <row r="242" spans="1:50" x14ac:dyDescent="0.25">
      <c r="A242">
        <v>237</v>
      </c>
      <c r="B242" t="s">
        <v>3158</v>
      </c>
      <c r="C242" t="s">
        <v>4679</v>
      </c>
      <c r="D242">
        <v>25</v>
      </c>
      <c r="E242" t="s">
        <v>2504</v>
      </c>
      <c r="F242">
        <v>81</v>
      </c>
      <c r="G242">
        <v>15</v>
      </c>
      <c r="H242">
        <v>16</v>
      </c>
      <c r="I242">
        <v>31</v>
      </c>
      <c r="J242">
        <v>25</v>
      </c>
      <c r="K242">
        <v>-1</v>
      </c>
      <c r="L242">
        <v>12</v>
      </c>
      <c r="M242">
        <v>2</v>
      </c>
      <c r="N242">
        <v>1</v>
      </c>
      <c r="O242">
        <v>1</v>
      </c>
      <c r="P242">
        <v>1</v>
      </c>
      <c r="Q242">
        <v>12</v>
      </c>
      <c r="R242">
        <v>2</v>
      </c>
      <c r="S242">
        <v>2</v>
      </c>
      <c r="T242">
        <v>0</v>
      </c>
      <c r="U242">
        <v>0</v>
      </c>
      <c r="V242">
        <v>24</v>
      </c>
      <c r="W242">
        <v>4</v>
      </c>
      <c r="X242">
        <v>3</v>
      </c>
      <c r="Y242">
        <v>1</v>
      </c>
      <c r="Z242">
        <v>1</v>
      </c>
      <c r="AA242" t="s">
        <v>2817</v>
      </c>
      <c r="AB242" s="24">
        <v>0.65486111111111112</v>
      </c>
      <c r="AC242" s="24">
        <v>0.54722222222222217</v>
      </c>
      <c r="AD242" s="24">
        <v>3.4027777777777775E-2</v>
      </c>
      <c r="AE242" s="24">
        <v>7.3611111111111113E-2</v>
      </c>
      <c r="AF242" t="s">
        <v>3106</v>
      </c>
      <c r="AG242" t="s">
        <v>4176</v>
      </c>
      <c r="AH242" t="s">
        <v>3438</v>
      </c>
      <c r="AI242" t="s">
        <v>3339</v>
      </c>
      <c r="AJ242" t="s">
        <v>3339</v>
      </c>
      <c r="AK242" t="s">
        <v>3658</v>
      </c>
      <c r="AL242" t="s">
        <v>4680</v>
      </c>
      <c r="AM242" t="s">
        <v>4680</v>
      </c>
      <c r="AN242" t="s">
        <v>4681</v>
      </c>
      <c r="AO242" t="s">
        <v>4096</v>
      </c>
      <c r="AP242" t="s">
        <v>4284</v>
      </c>
      <c r="AQ242" t="s">
        <v>3457</v>
      </c>
      <c r="AR242">
        <v>134</v>
      </c>
      <c r="AS242" t="s">
        <v>3071</v>
      </c>
      <c r="AT242">
        <v>49</v>
      </c>
      <c r="AU242">
        <v>29</v>
      </c>
      <c r="AV242">
        <v>452</v>
      </c>
      <c r="AW242">
        <v>463</v>
      </c>
      <c r="AX242" t="s">
        <v>4682</v>
      </c>
    </row>
    <row r="243" spans="1:50" x14ac:dyDescent="0.25">
      <c r="A243">
        <v>238</v>
      </c>
      <c r="B243" t="s">
        <v>3156</v>
      </c>
      <c r="C243" t="s">
        <v>1872</v>
      </c>
      <c r="D243">
        <v>35</v>
      </c>
      <c r="E243" t="s">
        <v>2504</v>
      </c>
      <c r="F243">
        <v>75</v>
      </c>
      <c r="G243">
        <v>15</v>
      </c>
      <c r="H243">
        <v>16</v>
      </c>
      <c r="I243">
        <v>31</v>
      </c>
      <c r="J243">
        <v>62</v>
      </c>
      <c r="K243">
        <v>3</v>
      </c>
      <c r="L243">
        <v>14</v>
      </c>
      <c r="M243">
        <v>1</v>
      </c>
      <c r="N243">
        <v>0</v>
      </c>
      <c r="O243">
        <v>2</v>
      </c>
      <c r="P243">
        <v>0</v>
      </c>
      <c r="Q243">
        <v>15</v>
      </c>
      <c r="R243">
        <v>0</v>
      </c>
      <c r="S243">
        <v>1</v>
      </c>
      <c r="T243">
        <v>2</v>
      </c>
      <c r="U243">
        <v>0</v>
      </c>
      <c r="V243">
        <v>29</v>
      </c>
      <c r="W243">
        <v>1</v>
      </c>
      <c r="X243">
        <v>1</v>
      </c>
      <c r="Y243">
        <v>4</v>
      </c>
      <c r="Z243">
        <v>0</v>
      </c>
      <c r="AA243" t="s">
        <v>4001</v>
      </c>
      <c r="AB243" s="24">
        <v>0.60972222222222217</v>
      </c>
      <c r="AC243" s="24">
        <v>0.53125</v>
      </c>
      <c r="AD243" s="24">
        <v>2.9166666666666664E-2</v>
      </c>
      <c r="AE243" s="24">
        <v>4.8611111111111112E-2</v>
      </c>
      <c r="AF243" t="s">
        <v>3854</v>
      </c>
      <c r="AG243" t="s">
        <v>4683</v>
      </c>
      <c r="AH243" t="s">
        <v>3895</v>
      </c>
      <c r="AI243" t="s">
        <v>2716</v>
      </c>
      <c r="AJ243" t="s">
        <v>4457</v>
      </c>
      <c r="AK243" t="s">
        <v>4177</v>
      </c>
      <c r="AL243" t="s">
        <v>4684</v>
      </c>
      <c r="AM243" t="s">
        <v>3830</v>
      </c>
      <c r="AN243" t="s">
        <v>4684</v>
      </c>
      <c r="AO243" t="s">
        <v>3981</v>
      </c>
      <c r="AP243" t="s">
        <v>3962</v>
      </c>
      <c r="AQ243" t="s">
        <v>3580</v>
      </c>
      <c r="AR243">
        <v>143</v>
      </c>
      <c r="AS243" t="s">
        <v>2793</v>
      </c>
      <c r="AT243">
        <v>68</v>
      </c>
      <c r="AU243">
        <v>34</v>
      </c>
      <c r="AV243">
        <v>5</v>
      </c>
      <c r="AW243">
        <v>9</v>
      </c>
      <c r="AX243" t="s">
        <v>3915</v>
      </c>
    </row>
    <row r="244" spans="1:50" x14ac:dyDescent="0.25">
      <c r="A244">
        <v>239</v>
      </c>
      <c r="B244" t="s">
        <v>3157</v>
      </c>
      <c r="C244" t="s">
        <v>1873</v>
      </c>
      <c r="D244">
        <v>40</v>
      </c>
      <c r="E244" t="s">
        <v>2504</v>
      </c>
      <c r="F244">
        <v>72</v>
      </c>
      <c r="G244">
        <v>13</v>
      </c>
      <c r="H244">
        <v>18</v>
      </c>
      <c r="I244">
        <v>31</v>
      </c>
      <c r="J244">
        <v>30</v>
      </c>
      <c r="K244">
        <v>4</v>
      </c>
      <c r="L244">
        <v>9</v>
      </c>
      <c r="M244">
        <v>2</v>
      </c>
      <c r="N244">
        <v>2</v>
      </c>
      <c r="O244">
        <v>2</v>
      </c>
      <c r="P244">
        <v>0</v>
      </c>
      <c r="Q244">
        <v>16</v>
      </c>
      <c r="R244">
        <v>2</v>
      </c>
      <c r="S244">
        <v>0</v>
      </c>
      <c r="T244">
        <v>3</v>
      </c>
      <c r="U244">
        <v>0</v>
      </c>
      <c r="V244">
        <v>25</v>
      </c>
      <c r="W244">
        <v>4</v>
      </c>
      <c r="X244">
        <v>2</v>
      </c>
      <c r="Y244">
        <v>5</v>
      </c>
      <c r="Z244">
        <v>0</v>
      </c>
      <c r="AA244" t="s">
        <v>2817</v>
      </c>
      <c r="AB244" s="24">
        <v>0.57916666666666672</v>
      </c>
      <c r="AC244" s="24">
        <v>0.46597222222222223</v>
      </c>
      <c r="AD244" s="24">
        <v>1.5972222222222224E-2</v>
      </c>
      <c r="AE244" s="24">
        <v>9.7222222222222224E-2</v>
      </c>
      <c r="AF244" t="s">
        <v>4536</v>
      </c>
      <c r="AG244" t="s">
        <v>4376</v>
      </c>
      <c r="AH244" t="s">
        <v>4685</v>
      </c>
      <c r="AI244" t="s">
        <v>3174</v>
      </c>
      <c r="AJ244" t="s">
        <v>4686</v>
      </c>
      <c r="AK244" t="s">
        <v>2609</v>
      </c>
      <c r="AL244" t="s">
        <v>3650</v>
      </c>
      <c r="AM244" t="s">
        <v>3650</v>
      </c>
      <c r="AN244" t="s">
        <v>4687</v>
      </c>
      <c r="AO244" t="s">
        <v>4688</v>
      </c>
      <c r="AP244" t="s">
        <v>3036</v>
      </c>
      <c r="AQ244" t="s">
        <v>4689</v>
      </c>
      <c r="AR244">
        <v>93</v>
      </c>
      <c r="AS244" t="s">
        <v>3296</v>
      </c>
      <c r="AT244">
        <v>36</v>
      </c>
      <c r="AU244">
        <v>27</v>
      </c>
      <c r="AV244">
        <v>440</v>
      </c>
      <c r="AW244">
        <v>419</v>
      </c>
      <c r="AX244" t="s">
        <v>4690</v>
      </c>
    </row>
    <row r="245" spans="1:50" x14ac:dyDescent="0.25">
      <c r="A245">
        <v>240</v>
      </c>
      <c r="B245" t="s">
        <v>3156</v>
      </c>
      <c r="C245" t="s">
        <v>4691</v>
      </c>
      <c r="D245">
        <v>34</v>
      </c>
      <c r="E245" t="s">
        <v>2504</v>
      </c>
      <c r="F245">
        <v>61</v>
      </c>
      <c r="G245">
        <v>10</v>
      </c>
      <c r="H245">
        <v>21</v>
      </c>
      <c r="I245">
        <v>31</v>
      </c>
      <c r="J245">
        <v>21</v>
      </c>
      <c r="K245">
        <v>-9</v>
      </c>
      <c r="L245">
        <v>9</v>
      </c>
      <c r="M245">
        <v>1</v>
      </c>
      <c r="N245">
        <v>0</v>
      </c>
      <c r="O245">
        <v>3</v>
      </c>
      <c r="P245">
        <v>1</v>
      </c>
      <c r="Q245">
        <v>12</v>
      </c>
      <c r="R245">
        <v>9</v>
      </c>
      <c r="S245">
        <v>0</v>
      </c>
      <c r="T245">
        <v>3</v>
      </c>
      <c r="U245">
        <v>0</v>
      </c>
      <c r="V245">
        <v>21</v>
      </c>
      <c r="W245">
        <v>10</v>
      </c>
      <c r="X245">
        <v>0</v>
      </c>
      <c r="Y245">
        <v>6</v>
      </c>
      <c r="Z245">
        <v>1</v>
      </c>
      <c r="AA245" t="s">
        <v>4692</v>
      </c>
      <c r="AB245" s="24">
        <v>0.72361111111111109</v>
      </c>
      <c r="AC245" s="24">
        <v>0.61597222222222225</v>
      </c>
      <c r="AD245" s="24">
        <v>0.10416666666666667</v>
      </c>
      <c r="AE245" s="24">
        <v>2.0833333333333333E-3</v>
      </c>
      <c r="AF245" t="s">
        <v>4693</v>
      </c>
      <c r="AG245" t="s">
        <v>4581</v>
      </c>
      <c r="AH245" t="s">
        <v>3509</v>
      </c>
      <c r="AI245" t="s">
        <v>3752</v>
      </c>
      <c r="AJ245" t="s">
        <v>3171</v>
      </c>
      <c r="AK245" t="s">
        <v>4694</v>
      </c>
      <c r="AL245" t="s">
        <v>4695</v>
      </c>
      <c r="AM245" t="s">
        <v>4696</v>
      </c>
      <c r="AN245" t="s">
        <v>4697</v>
      </c>
      <c r="AO245" t="s">
        <v>4698</v>
      </c>
      <c r="AP245" t="s">
        <v>3556</v>
      </c>
      <c r="AQ245" t="s">
        <v>3557</v>
      </c>
      <c r="AR245">
        <v>142</v>
      </c>
      <c r="AS245" t="s">
        <v>3190</v>
      </c>
      <c r="AT245">
        <v>44</v>
      </c>
      <c r="AU245">
        <v>14</v>
      </c>
      <c r="AV245">
        <v>17</v>
      </c>
      <c r="AW245">
        <v>11</v>
      </c>
      <c r="AX245" t="s">
        <v>4699</v>
      </c>
    </row>
    <row r="246" spans="1:50" x14ac:dyDescent="0.25">
      <c r="A246">
        <v>241</v>
      </c>
      <c r="B246" t="s">
        <v>3156</v>
      </c>
      <c r="C246" t="s">
        <v>1875</v>
      </c>
      <c r="D246">
        <v>22</v>
      </c>
      <c r="E246" t="s">
        <v>1719</v>
      </c>
      <c r="F246">
        <v>80</v>
      </c>
      <c r="G246">
        <v>3</v>
      </c>
      <c r="H246">
        <v>28</v>
      </c>
      <c r="I246">
        <v>31</v>
      </c>
      <c r="J246">
        <v>58</v>
      </c>
      <c r="K246">
        <v>-31</v>
      </c>
      <c r="L246">
        <v>3</v>
      </c>
      <c r="M246">
        <v>0</v>
      </c>
      <c r="N246">
        <v>0</v>
      </c>
      <c r="O246">
        <v>1</v>
      </c>
      <c r="P246">
        <v>0</v>
      </c>
      <c r="Q246">
        <v>15</v>
      </c>
      <c r="R246">
        <v>13</v>
      </c>
      <c r="S246">
        <v>0</v>
      </c>
      <c r="T246">
        <v>7</v>
      </c>
      <c r="U246">
        <v>0</v>
      </c>
      <c r="V246">
        <v>18</v>
      </c>
      <c r="W246">
        <v>13</v>
      </c>
      <c r="X246">
        <v>0</v>
      </c>
      <c r="Y246">
        <v>8</v>
      </c>
      <c r="Z246">
        <v>0</v>
      </c>
      <c r="AA246" t="s">
        <v>4700</v>
      </c>
      <c r="AB246" s="24">
        <v>0.84722222222222221</v>
      </c>
      <c r="AC246" s="24">
        <v>0.73402777777777783</v>
      </c>
      <c r="AD246" s="24">
        <v>9.3055555555555558E-2</v>
      </c>
      <c r="AE246" s="24">
        <v>1.1111111111111112E-2</v>
      </c>
      <c r="AF246" t="s">
        <v>4701</v>
      </c>
      <c r="AG246" t="s">
        <v>3118</v>
      </c>
      <c r="AH246" t="s">
        <v>4702</v>
      </c>
      <c r="AI246" t="s">
        <v>4703</v>
      </c>
      <c r="AJ246" t="s">
        <v>4704</v>
      </c>
      <c r="AK246" t="s">
        <v>4167</v>
      </c>
      <c r="AL246" t="s">
        <v>3830</v>
      </c>
      <c r="AM246" t="s">
        <v>4705</v>
      </c>
      <c r="AN246" t="s">
        <v>4705</v>
      </c>
      <c r="AO246" t="s">
        <v>4327</v>
      </c>
      <c r="AP246" t="s">
        <v>4289</v>
      </c>
      <c r="AQ246" t="s">
        <v>3971</v>
      </c>
      <c r="AR246">
        <v>125</v>
      </c>
      <c r="AS246" t="s">
        <v>4706</v>
      </c>
      <c r="AT246">
        <v>79</v>
      </c>
      <c r="AU246">
        <v>73</v>
      </c>
      <c r="AV246">
        <v>0</v>
      </c>
      <c r="AW246">
        <v>0</v>
      </c>
      <c r="AX246" t="s">
        <v>2579</v>
      </c>
    </row>
    <row r="247" spans="1:50" x14ac:dyDescent="0.25">
      <c r="A247">
        <v>242</v>
      </c>
      <c r="B247" t="s">
        <v>3156</v>
      </c>
      <c r="C247" t="s">
        <v>1879</v>
      </c>
      <c r="D247">
        <v>31</v>
      </c>
      <c r="E247" t="s">
        <v>2504</v>
      </c>
      <c r="F247">
        <v>81</v>
      </c>
      <c r="G247">
        <v>13</v>
      </c>
      <c r="H247">
        <v>17</v>
      </c>
      <c r="I247">
        <v>30</v>
      </c>
      <c r="J247">
        <v>22</v>
      </c>
      <c r="K247">
        <v>20</v>
      </c>
      <c r="L247">
        <v>12</v>
      </c>
      <c r="M247">
        <v>0</v>
      </c>
      <c r="N247">
        <v>1</v>
      </c>
      <c r="O247">
        <v>4</v>
      </c>
      <c r="P247">
        <v>1</v>
      </c>
      <c r="Q247">
        <v>15</v>
      </c>
      <c r="R247">
        <v>0</v>
      </c>
      <c r="S247">
        <v>2</v>
      </c>
      <c r="T247">
        <v>2</v>
      </c>
      <c r="U247">
        <v>0</v>
      </c>
      <c r="V247">
        <v>27</v>
      </c>
      <c r="W247">
        <v>0</v>
      </c>
      <c r="X247">
        <v>3</v>
      </c>
      <c r="Y247">
        <v>6</v>
      </c>
      <c r="Z247">
        <v>1</v>
      </c>
      <c r="AA247" t="s">
        <v>4202</v>
      </c>
      <c r="AB247" s="24">
        <v>0.56736111111111109</v>
      </c>
      <c r="AC247" s="24">
        <v>0.44861111111111113</v>
      </c>
      <c r="AD247" s="24">
        <v>3.472222222222222E-3</v>
      </c>
      <c r="AE247" s="24">
        <v>0.11458333333333333</v>
      </c>
      <c r="AF247" t="s">
        <v>3106</v>
      </c>
      <c r="AG247" t="s">
        <v>4481</v>
      </c>
      <c r="AH247" t="s">
        <v>3217</v>
      </c>
      <c r="AI247" t="s">
        <v>3581</v>
      </c>
      <c r="AJ247" t="s">
        <v>4489</v>
      </c>
      <c r="AK247" t="s">
        <v>4707</v>
      </c>
      <c r="AL247" t="s">
        <v>3830</v>
      </c>
      <c r="AM247" t="s">
        <v>3830</v>
      </c>
      <c r="AN247" t="s">
        <v>3830</v>
      </c>
      <c r="AO247" t="s">
        <v>3725</v>
      </c>
      <c r="AP247" t="s">
        <v>3347</v>
      </c>
      <c r="AQ247" t="s">
        <v>3546</v>
      </c>
      <c r="AR247">
        <v>100</v>
      </c>
      <c r="AS247" t="s">
        <v>2758</v>
      </c>
      <c r="AT247">
        <v>55</v>
      </c>
      <c r="AU247">
        <v>44</v>
      </c>
      <c r="AV247">
        <v>624</v>
      </c>
      <c r="AW247">
        <v>483</v>
      </c>
      <c r="AX247" t="s">
        <v>4708</v>
      </c>
    </row>
    <row r="248" spans="1:50" x14ac:dyDescent="0.25">
      <c r="A248">
        <v>243</v>
      </c>
      <c r="B248" t="s">
        <v>3156</v>
      </c>
      <c r="C248" t="s">
        <v>1878</v>
      </c>
      <c r="D248">
        <v>23</v>
      </c>
      <c r="E248" t="s">
        <v>2504</v>
      </c>
      <c r="F248">
        <v>69</v>
      </c>
      <c r="G248">
        <v>13</v>
      </c>
      <c r="H248">
        <v>17</v>
      </c>
      <c r="I248">
        <v>30</v>
      </c>
      <c r="J248">
        <v>40</v>
      </c>
      <c r="K248">
        <v>-8</v>
      </c>
      <c r="L248">
        <v>11</v>
      </c>
      <c r="M248">
        <v>2</v>
      </c>
      <c r="N248">
        <v>0</v>
      </c>
      <c r="O248">
        <v>2</v>
      </c>
      <c r="P248">
        <v>0</v>
      </c>
      <c r="Q248">
        <v>11</v>
      </c>
      <c r="R248">
        <v>6</v>
      </c>
      <c r="S248">
        <v>0</v>
      </c>
      <c r="T248">
        <v>3</v>
      </c>
      <c r="U248">
        <v>1</v>
      </c>
      <c r="V248">
        <v>22</v>
      </c>
      <c r="W248">
        <v>8</v>
      </c>
      <c r="X248">
        <v>0</v>
      </c>
      <c r="Y248">
        <v>5</v>
      </c>
      <c r="Z248">
        <v>1</v>
      </c>
      <c r="AA248" t="s">
        <v>3966</v>
      </c>
      <c r="AB248" s="24">
        <v>0.61041666666666672</v>
      </c>
      <c r="AC248" s="24">
        <v>0.49791666666666662</v>
      </c>
      <c r="AD248" s="24">
        <v>0.11041666666666666</v>
      </c>
      <c r="AE248" s="24">
        <v>1.3888888888888889E-3</v>
      </c>
      <c r="AF248" t="s">
        <v>4178</v>
      </c>
      <c r="AG248" t="s">
        <v>3802</v>
      </c>
      <c r="AH248" t="s">
        <v>4638</v>
      </c>
      <c r="AI248" t="s">
        <v>4215</v>
      </c>
      <c r="AJ248" t="s">
        <v>4215</v>
      </c>
      <c r="AK248" t="s">
        <v>4709</v>
      </c>
      <c r="AL248" t="s">
        <v>3569</v>
      </c>
      <c r="AM248" t="s">
        <v>4447</v>
      </c>
      <c r="AN248" t="s">
        <v>4710</v>
      </c>
      <c r="AO248" t="s">
        <v>3080</v>
      </c>
      <c r="AP248" t="s">
        <v>4711</v>
      </c>
      <c r="AQ248" t="s">
        <v>3043</v>
      </c>
      <c r="AR248">
        <v>114</v>
      </c>
      <c r="AS248" t="s">
        <v>3432</v>
      </c>
      <c r="AT248">
        <v>59</v>
      </c>
      <c r="AU248">
        <v>21</v>
      </c>
      <c r="AV248">
        <v>147</v>
      </c>
      <c r="AW248">
        <v>197</v>
      </c>
      <c r="AX248" t="s">
        <v>4712</v>
      </c>
    </row>
    <row r="249" spans="1:50" x14ac:dyDescent="0.25">
      <c r="A249">
        <v>244</v>
      </c>
      <c r="B249" t="s">
        <v>3156</v>
      </c>
      <c r="C249" t="s">
        <v>709</v>
      </c>
      <c r="D249">
        <v>31</v>
      </c>
      <c r="E249" t="s">
        <v>1719</v>
      </c>
      <c r="F249">
        <v>81</v>
      </c>
      <c r="G249">
        <v>9</v>
      </c>
      <c r="H249">
        <v>21</v>
      </c>
      <c r="I249">
        <v>30</v>
      </c>
      <c r="J249">
        <v>100</v>
      </c>
      <c r="K249">
        <v>-6</v>
      </c>
      <c r="L249">
        <v>4</v>
      </c>
      <c r="M249">
        <v>4</v>
      </c>
      <c r="N249">
        <v>1</v>
      </c>
      <c r="O249">
        <v>2</v>
      </c>
      <c r="P249">
        <v>0</v>
      </c>
      <c r="Q249">
        <v>9</v>
      </c>
      <c r="R249">
        <v>12</v>
      </c>
      <c r="S249">
        <v>0</v>
      </c>
      <c r="T249">
        <v>5</v>
      </c>
      <c r="U249">
        <v>1</v>
      </c>
      <c r="V249">
        <v>13</v>
      </c>
      <c r="W249">
        <v>16</v>
      </c>
      <c r="X249">
        <v>1</v>
      </c>
      <c r="Y249">
        <v>7</v>
      </c>
      <c r="Z249">
        <v>1</v>
      </c>
      <c r="AA249" t="s">
        <v>4713</v>
      </c>
      <c r="AB249" s="24">
        <v>0.95972222222222225</v>
      </c>
      <c r="AC249" s="24">
        <v>0.75069444444444444</v>
      </c>
      <c r="AD249" s="24">
        <v>0.10694444444444444</v>
      </c>
      <c r="AE249" s="24">
        <v>0.1013888888888889</v>
      </c>
      <c r="AF249" t="s">
        <v>4714</v>
      </c>
      <c r="AG249" t="s">
        <v>3473</v>
      </c>
      <c r="AH249" t="s">
        <v>4426</v>
      </c>
      <c r="AI249" t="s">
        <v>4698</v>
      </c>
      <c r="AJ249" t="s">
        <v>3546</v>
      </c>
      <c r="AK249" t="s">
        <v>4715</v>
      </c>
      <c r="AL249" t="s">
        <v>3863</v>
      </c>
      <c r="AM249" t="s">
        <v>4716</v>
      </c>
      <c r="AN249" t="s">
        <v>4717</v>
      </c>
      <c r="AO249" t="s">
        <v>4701</v>
      </c>
      <c r="AP249" t="s">
        <v>4071</v>
      </c>
      <c r="AQ249" t="s">
        <v>3546</v>
      </c>
      <c r="AR249">
        <v>156</v>
      </c>
      <c r="AS249" t="s">
        <v>4718</v>
      </c>
      <c r="AT249">
        <v>132</v>
      </c>
      <c r="AU249">
        <v>156</v>
      </c>
      <c r="AV249">
        <v>0</v>
      </c>
      <c r="AW249">
        <v>0</v>
      </c>
      <c r="AX249" t="s">
        <v>2579</v>
      </c>
    </row>
    <row r="250" spans="1:50" x14ac:dyDescent="0.25">
      <c r="A250">
        <v>245</v>
      </c>
      <c r="B250" t="s">
        <v>3159</v>
      </c>
      <c r="C250" t="s">
        <v>1881</v>
      </c>
      <c r="D250">
        <v>19</v>
      </c>
      <c r="E250" t="s">
        <v>1719</v>
      </c>
      <c r="F250">
        <v>82</v>
      </c>
      <c r="G250">
        <v>6</v>
      </c>
      <c r="H250">
        <v>24</v>
      </c>
      <c r="I250">
        <v>30</v>
      </c>
      <c r="J250">
        <v>34</v>
      </c>
      <c r="K250">
        <v>-7</v>
      </c>
      <c r="L250">
        <v>6</v>
      </c>
      <c r="M250">
        <v>0</v>
      </c>
      <c r="N250">
        <v>0</v>
      </c>
      <c r="O250">
        <v>1</v>
      </c>
      <c r="P250">
        <v>0</v>
      </c>
      <c r="Q250">
        <v>19</v>
      </c>
      <c r="R250">
        <v>5</v>
      </c>
      <c r="S250">
        <v>0</v>
      </c>
      <c r="T250">
        <v>3</v>
      </c>
      <c r="U250">
        <v>2</v>
      </c>
      <c r="V250">
        <v>25</v>
      </c>
      <c r="W250">
        <v>5</v>
      </c>
      <c r="X250">
        <v>0</v>
      </c>
      <c r="Y250">
        <v>4</v>
      </c>
      <c r="Z250">
        <v>2</v>
      </c>
      <c r="AA250" t="s">
        <v>3234</v>
      </c>
      <c r="AB250" s="24">
        <v>0.9145833333333333</v>
      </c>
      <c r="AC250" s="24">
        <v>0.72430555555555554</v>
      </c>
      <c r="AD250" s="24">
        <v>7.0833333333333331E-2</v>
      </c>
      <c r="AE250" s="24">
        <v>0.11805555555555557</v>
      </c>
      <c r="AF250" t="s">
        <v>3981</v>
      </c>
      <c r="AG250" t="s">
        <v>3612</v>
      </c>
      <c r="AH250" t="s">
        <v>4557</v>
      </c>
      <c r="AI250" t="s">
        <v>4155</v>
      </c>
      <c r="AJ250" t="s">
        <v>3612</v>
      </c>
      <c r="AK250" t="s">
        <v>4323</v>
      </c>
      <c r="AL250" t="s">
        <v>3830</v>
      </c>
      <c r="AM250" t="s">
        <v>4719</v>
      </c>
      <c r="AN250" t="s">
        <v>4719</v>
      </c>
      <c r="AO250" t="s">
        <v>4461</v>
      </c>
      <c r="AP250" t="s">
        <v>3127</v>
      </c>
      <c r="AQ250" t="s">
        <v>2515</v>
      </c>
      <c r="AR250">
        <v>161</v>
      </c>
      <c r="AS250" t="s">
        <v>4720</v>
      </c>
      <c r="AT250">
        <v>111</v>
      </c>
      <c r="AU250">
        <v>166</v>
      </c>
      <c r="AV250">
        <v>0</v>
      </c>
      <c r="AW250">
        <v>0</v>
      </c>
      <c r="AX250" t="s">
        <v>2579</v>
      </c>
    </row>
    <row r="251" spans="1:50" x14ac:dyDescent="0.25">
      <c r="A251">
        <v>246</v>
      </c>
      <c r="B251" t="s">
        <v>3156</v>
      </c>
      <c r="C251" t="s">
        <v>1888</v>
      </c>
      <c r="D251">
        <v>22</v>
      </c>
      <c r="E251" t="s">
        <v>2504</v>
      </c>
      <c r="F251">
        <v>64</v>
      </c>
      <c r="G251">
        <v>18</v>
      </c>
      <c r="H251">
        <v>11</v>
      </c>
      <c r="I251">
        <v>29</v>
      </c>
      <c r="J251">
        <v>28</v>
      </c>
      <c r="K251">
        <v>-7</v>
      </c>
      <c r="L251">
        <v>17</v>
      </c>
      <c r="M251">
        <v>1</v>
      </c>
      <c r="N251">
        <v>0</v>
      </c>
      <c r="O251">
        <v>3</v>
      </c>
      <c r="P251">
        <v>2</v>
      </c>
      <c r="Q251">
        <v>8</v>
      </c>
      <c r="R251">
        <v>3</v>
      </c>
      <c r="S251">
        <v>0</v>
      </c>
      <c r="T251">
        <v>1</v>
      </c>
      <c r="U251">
        <v>0</v>
      </c>
      <c r="V251">
        <v>25</v>
      </c>
      <c r="W251">
        <v>4</v>
      </c>
      <c r="X251">
        <v>0</v>
      </c>
      <c r="Y251">
        <v>4</v>
      </c>
      <c r="Z251">
        <v>2</v>
      </c>
      <c r="AA251" t="s">
        <v>3360</v>
      </c>
      <c r="AB251" s="24">
        <v>0.56041666666666667</v>
      </c>
      <c r="AC251" s="24">
        <v>0.48819444444444443</v>
      </c>
      <c r="AD251" s="24">
        <v>4.9999999999999996E-2</v>
      </c>
      <c r="AE251" s="24">
        <v>2.1527777777777781E-2</v>
      </c>
      <c r="AF251" t="s">
        <v>4316</v>
      </c>
      <c r="AG251" t="s">
        <v>4167</v>
      </c>
      <c r="AH251" t="s">
        <v>3766</v>
      </c>
      <c r="AI251" t="s">
        <v>3309</v>
      </c>
      <c r="AJ251" t="s">
        <v>4721</v>
      </c>
      <c r="AK251" t="s">
        <v>4722</v>
      </c>
      <c r="AL251" t="s">
        <v>3253</v>
      </c>
      <c r="AM251" t="s">
        <v>4723</v>
      </c>
      <c r="AN251" t="s">
        <v>4510</v>
      </c>
      <c r="AO251" t="s">
        <v>4724</v>
      </c>
      <c r="AP251" t="s">
        <v>3994</v>
      </c>
      <c r="AQ251" t="s">
        <v>2755</v>
      </c>
      <c r="AR251">
        <v>120</v>
      </c>
      <c r="AS251" t="s">
        <v>4112</v>
      </c>
      <c r="AT251">
        <v>30</v>
      </c>
      <c r="AU251">
        <v>21</v>
      </c>
      <c r="AV251">
        <v>37</v>
      </c>
      <c r="AW251">
        <v>46</v>
      </c>
      <c r="AX251" t="s">
        <v>4725</v>
      </c>
    </row>
    <row r="252" spans="1:50" x14ac:dyDescent="0.25">
      <c r="A252">
        <v>247</v>
      </c>
      <c r="B252" t="s">
        <v>3156</v>
      </c>
      <c r="C252" t="s">
        <v>1883</v>
      </c>
      <c r="D252">
        <v>22</v>
      </c>
      <c r="E252" t="s">
        <v>2504</v>
      </c>
      <c r="F252">
        <v>78</v>
      </c>
      <c r="G252">
        <v>17</v>
      </c>
      <c r="H252">
        <v>12</v>
      </c>
      <c r="I252">
        <v>29</v>
      </c>
      <c r="J252">
        <v>89</v>
      </c>
      <c r="K252">
        <v>12</v>
      </c>
      <c r="L252">
        <v>17</v>
      </c>
      <c r="M252">
        <v>0</v>
      </c>
      <c r="N252">
        <v>0</v>
      </c>
      <c r="O252">
        <v>3</v>
      </c>
      <c r="P252">
        <v>0</v>
      </c>
      <c r="Q252">
        <v>12</v>
      </c>
      <c r="R252">
        <v>0</v>
      </c>
      <c r="S252">
        <v>0</v>
      </c>
      <c r="T252">
        <v>1</v>
      </c>
      <c r="U252">
        <v>0</v>
      </c>
      <c r="V252">
        <v>29</v>
      </c>
      <c r="W252">
        <v>0</v>
      </c>
      <c r="X252">
        <v>0</v>
      </c>
      <c r="Y252">
        <v>4</v>
      </c>
      <c r="Z252">
        <v>0</v>
      </c>
      <c r="AA252" t="s">
        <v>4202</v>
      </c>
      <c r="AB252" s="24">
        <v>0.5</v>
      </c>
      <c r="AC252" s="24">
        <v>0.48888888888888887</v>
      </c>
      <c r="AD252" s="24">
        <v>2.7777777777777779E-3</v>
      </c>
      <c r="AE252" s="24">
        <v>7.6388888888888886E-3</v>
      </c>
      <c r="AF252" t="s">
        <v>3007</v>
      </c>
      <c r="AG252" t="s">
        <v>4726</v>
      </c>
      <c r="AH252" t="s">
        <v>4685</v>
      </c>
      <c r="AI252" t="s">
        <v>4160</v>
      </c>
      <c r="AJ252" t="s">
        <v>4727</v>
      </c>
      <c r="AK252" t="s">
        <v>3373</v>
      </c>
      <c r="AL252" t="s">
        <v>3830</v>
      </c>
      <c r="AM252" t="s">
        <v>3830</v>
      </c>
      <c r="AN252" t="s">
        <v>3830</v>
      </c>
      <c r="AO252" t="s">
        <v>4123</v>
      </c>
      <c r="AP252" t="s">
        <v>3662</v>
      </c>
      <c r="AQ252" t="s">
        <v>4728</v>
      </c>
      <c r="AR252">
        <v>119</v>
      </c>
      <c r="AS252" t="s">
        <v>2781</v>
      </c>
      <c r="AT252">
        <v>147</v>
      </c>
      <c r="AU252">
        <v>40</v>
      </c>
      <c r="AV252">
        <v>8</v>
      </c>
      <c r="AW252">
        <v>21</v>
      </c>
      <c r="AX252" t="s">
        <v>4729</v>
      </c>
    </row>
    <row r="253" spans="1:50" x14ac:dyDescent="0.25">
      <c r="A253">
        <v>248</v>
      </c>
      <c r="B253" t="s">
        <v>3156</v>
      </c>
      <c r="C253" t="s">
        <v>1886</v>
      </c>
      <c r="D253">
        <v>23</v>
      </c>
      <c r="E253" t="s">
        <v>2504</v>
      </c>
      <c r="F253">
        <v>82</v>
      </c>
      <c r="G253">
        <v>15</v>
      </c>
      <c r="H253">
        <v>14</v>
      </c>
      <c r="I253">
        <v>29</v>
      </c>
      <c r="J253">
        <v>52</v>
      </c>
      <c r="K253">
        <v>1</v>
      </c>
      <c r="L253">
        <v>10</v>
      </c>
      <c r="M253">
        <v>5</v>
      </c>
      <c r="N253">
        <v>0</v>
      </c>
      <c r="O253">
        <v>1</v>
      </c>
      <c r="P253">
        <v>0</v>
      </c>
      <c r="Q253">
        <v>9</v>
      </c>
      <c r="R253">
        <v>4</v>
      </c>
      <c r="S253">
        <v>1</v>
      </c>
      <c r="T253">
        <v>1</v>
      </c>
      <c r="U253">
        <v>0</v>
      </c>
      <c r="V253">
        <v>19</v>
      </c>
      <c r="W253">
        <v>9</v>
      </c>
      <c r="X253">
        <v>1</v>
      </c>
      <c r="Y253">
        <v>2</v>
      </c>
      <c r="Z253">
        <v>0</v>
      </c>
      <c r="AA253" t="s">
        <v>4730</v>
      </c>
      <c r="AB253" s="24">
        <v>0.66805555555555562</v>
      </c>
      <c r="AC253" s="24">
        <v>0.50347222222222221</v>
      </c>
      <c r="AD253" s="24">
        <v>7.1527777777777787E-2</v>
      </c>
      <c r="AE253" s="24">
        <v>9.2361111111111116E-2</v>
      </c>
      <c r="AF253" t="s">
        <v>3594</v>
      </c>
      <c r="AG253" t="s">
        <v>4704</v>
      </c>
      <c r="AH253" t="s">
        <v>4377</v>
      </c>
      <c r="AI253" t="s">
        <v>3341</v>
      </c>
      <c r="AJ253" t="s">
        <v>3026</v>
      </c>
      <c r="AK253" t="s">
        <v>2947</v>
      </c>
      <c r="AL253" t="s">
        <v>3147</v>
      </c>
      <c r="AM253" t="s">
        <v>4731</v>
      </c>
      <c r="AN253" t="s">
        <v>4732</v>
      </c>
      <c r="AO253" t="s">
        <v>3706</v>
      </c>
      <c r="AP253" t="s">
        <v>3049</v>
      </c>
      <c r="AQ253" t="s">
        <v>2616</v>
      </c>
      <c r="AR253">
        <v>122</v>
      </c>
      <c r="AS253" t="s">
        <v>2928</v>
      </c>
      <c r="AT253">
        <v>217</v>
      </c>
      <c r="AU253">
        <v>56</v>
      </c>
      <c r="AV253">
        <v>658</v>
      </c>
      <c r="AW253">
        <v>638</v>
      </c>
      <c r="AX253" t="s">
        <v>4733</v>
      </c>
    </row>
    <row r="254" spans="1:50" x14ac:dyDescent="0.25">
      <c r="A254">
        <v>249</v>
      </c>
      <c r="B254" t="s">
        <v>3157</v>
      </c>
      <c r="C254" t="s">
        <v>674</v>
      </c>
      <c r="D254">
        <v>27</v>
      </c>
      <c r="E254" t="s">
        <v>2504</v>
      </c>
      <c r="F254">
        <v>78</v>
      </c>
      <c r="G254">
        <v>12</v>
      </c>
      <c r="H254">
        <v>17</v>
      </c>
      <c r="I254">
        <v>29</v>
      </c>
      <c r="J254">
        <v>30</v>
      </c>
      <c r="K254">
        <v>7</v>
      </c>
      <c r="L254">
        <v>10</v>
      </c>
      <c r="M254">
        <v>2</v>
      </c>
      <c r="N254">
        <v>0</v>
      </c>
      <c r="O254">
        <v>1</v>
      </c>
      <c r="P254">
        <v>0</v>
      </c>
      <c r="Q254">
        <v>16</v>
      </c>
      <c r="R254">
        <v>1</v>
      </c>
      <c r="S254">
        <v>0</v>
      </c>
      <c r="T254">
        <v>2</v>
      </c>
      <c r="U254">
        <v>0</v>
      </c>
      <c r="V254">
        <v>26</v>
      </c>
      <c r="W254">
        <v>3</v>
      </c>
      <c r="X254">
        <v>0</v>
      </c>
      <c r="Y254">
        <v>3</v>
      </c>
      <c r="Z254">
        <v>0</v>
      </c>
      <c r="AA254" t="s">
        <v>4547</v>
      </c>
      <c r="AB254" s="24">
        <v>0.57638888888888895</v>
      </c>
      <c r="AC254" s="24">
        <v>0.52916666666666667</v>
      </c>
      <c r="AD254" s="24">
        <v>4.5833333333333337E-2</v>
      </c>
      <c r="AE254" s="24">
        <v>0</v>
      </c>
      <c r="AF254" t="s">
        <v>4734</v>
      </c>
      <c r="AG254" t="s">
        <v>2664</v>
      </c>
      <c r="AH254" t="s">
        <v>2979</v>
      </c>
      <c r="AI254" t="s">
        <v>3341</v>
      </c>
      <c r="AJ254" t="s">
        <v>4735</v>
      </c>
      <c r="AK254" t="s">
        <v>3775</v>
      </c>
      <c r="AL254" t="s">
        <v>2923</v>
      </c>
      <c r="AM254" t="s">
        <v>4642</v>
      </c>
      <c r="AN254" t="s">
        <v>4736</v>
      </c>
      <c r="AO254" t="s">
        <v>3662</v>
      </c>
      <c r="AP254" t="s">
        <v>4123</v>
      </c>
      <c r="AQ254" t="s">
        <v>4728</v>
      </c>
      <c r="AR254">
        <v>155</v>
      </c>
      <c r="AS254" t="s">
        <v>3809</v>
      </c>
      <c r="AT254">
        <v>93</v>
      </c>
      <c r="AU254">
        <v>16</v>
      </c>
      <c r="AV254">
        <v>51</v>
      </c>
      <c r="AW254">
        <v>60</v>
      </c>
      <c r="AX254" t="s">
        <v>4737</v>
      </c>
    </row>
    <row r="255" spans="1:50" x14ac:dyDescent="0.25">
      <c r="A255">
        <v>250</v>
      </c>
      <c r="B255" t="s">
        <v>3156</v>
      </c>
      <c r="C255" t="s">
        <v>707</v>
      </c>
      <c r="D255">
        <v>25</v>
      </c>
      <c r="E255" t="s">
        <v>2504</v>
      </c>
      <c r="F255">
        <v>68</v>
      </c>
      <c r="G255">
        <v>12</v>
      </c>
      <c r="H255">
        <v>17</v>
      </c>
      <c r="I255">
        <v>29</v>
      </c>
      <c r="J255">
        <v>110</v>
      </c>
      <c r="K255">
        <v>4</v>
      </c>
      <c r="L255">
        <v>11</v>
      </c>
      <c r="M255">
        <v>1</v>
      </c>
      <c r="N255">
        <v>0</v>
      </c>
      <c r="O255">
        <v>1</v>
      </c>
      <c r="P255">
        <v>1</v>
      </c>
      <c r="Q255">
        <v>11</v>
      </c>
      <c r="R255">
        <v>6</v>
      </c>
      <c r="S255">
        <v>0</v>
      </c>
      <c r="T255">
        <v>3</v>
      </c>
      <c r="U255">
        <v>0</v>
      </c>
      <c r="V255">
        <v>22</v>
      </c>
      <c r="W255">
        <v>7</v>
      </c>
      <c r="X255">
        <v>0</v>
      </c>
      <c r="Y255">
        <v>4</v>
      </c>
      <c r="Z255">
        <v>1</v>
      </c>
      <c r="AA255" t="s">
        <v>4738</v>
      </c>
      <c r="AB255" s="24">
        <v>0.63263888888888886</v>
      </c>
      <c r="AC255" s="24">
        <v>0.54027777777777775</v>
      </c>
      <c r="AD255" s="24">
        <v>8.6805555555555566E-2</v>
      </c>
      <c r="AE255" s="24">
        <v>4.8611111111111112E-3</v>
      </c>
      <c r="AF255" t="s">
        <v>4642</v>
      </c>
      <c r="AG255" t="s">
        <v>4739</v>
      </c>
      <c r="AH255" t="s">
        <v>2525</v>
      </c>
      <c r="AI255" t="s">
        <v>4740</v>
      </c>
      <c r="AJ255" t="s">
        <v>4740</v>
      </c>
      <c r="AK255" t="s">
        <v>4741</v>
      </c>
      <c r="AL255" t="s">
        <v>3770</v>
      </c>
      <c r="AM255" t="s">
        <v>4742</v>
      </c>
      <c r="AN255" t="s">
        <v>4743</v>
      </c>
      <c r="AO255" t="s">
        <v>3516</v>
      </c>
      <c r="AP255" t="s">
        <v>3036</v>
      </c>
      <c r="AQ255" t="s">
        <v>4744</v>
      </c>
      <c r="AR255">
        <v>127</v>
      </c>
      <c r="AS255" t="s">
        <v>4745</v>
      </c>
      <c r="AT255">
        <v>147</v>
      </c>
      <c r="AU255">
        <v>38</v>
      </c>
      <c r="AV255">
        <v>240</v>
      </c>
      <c r="AW255">
        <v>199</v>
      </c>
      <c r="AX255" t="s">
        <v>3974</v>
      </c>
    </row>
    <row r="256" spans="1:50" x14ac:dyDescent="0.25">
      <c r="A256">
        <v>251</v>
      </c>
      <c r="B256" t="s">
        <v>3157</v>
      </c>
      <c r="C256" t="s">
        <v>1885</v>
      </c>
      <c r="D256">
        <v>30</v>
      </c>
      <c r="E256" t="s">
        <v>2504</v>
      </c>
      <c r="F256">
        <v>67</v>
      </c>
      <c r="G256">
        <v>11</v>
      </c>
      <c r="H256">
        <v>18</v>
      </c>
      <c r="I256">
        <v>29</v>
      </c>
      <c r="J256">
        <v>22</v>
      </c>
      <c r="K256">
        <v>-8</v>
      </c>
      <c r="L256">
        <v>6</v>
      </c>
      <c r="M256">
        <v>4</v>
      </c>
      <c r="N256">
        <v>1</v>
      </c>
      <c r="O256">
        <v>3</v>
      </c>
      <c r="P256">
        <v>0</v>
      </c>
      <c r="Q256">
        <v>14</v>
      </c>
      <c r="R256">
        <v>4</v>
      </c>
      <c r="S256">
        <v>0</v>
      </c>
      <c r="T256">
        <v>2</v>
      </c>
      <c r="U256">
        <v>0</v>
      </c>
      <c r="V256">
        <v>20</v>
      </c>
      <c r="W256">
        <v>8</v>
      </c>
      <c r="X256">
        <v>1</v>
      </c>
      <c r="Y256">
        <v>5</v>
      </c>
      <c r="Z256">
        <v>0</v>
      </c>
      <c r="AA256" t="s">
        <v>4746</v>
      </c>
      <c r="AB256" s="24">
        <v>0.62013888888888891</v>
      </c>
      <c r="AC256" s="24">
        <v>0.5131944444444444</v>
      </c>
      <c r="AD256" s="24">
        <v>8.819444444444445E-2</v>
      </c>
      <c r="AE256" s="24">
        <v>1.8055555555555557E-2</v>
      </c>
      <c r="AF256" t="s">
        <v>4300</v>
      </c>
      <c r="AG256" t="s">
        <v>4066</v>
      </c>
      <c r="AH256" t="s">
        <v>2665</v>
      </c>
      <c r="AI256" t="s">
        <v>3184</v>
      </c>
      <c r="AJ256" t="s">
        <v>3009</v>
      </c>
      <c r="AK256" t="s">
        <v>4667</v>
      </c>
      <c r="AL256" t="s">
        <v>4747</v>
      </c>
      <c r="AM256" t="s">
        <v>4747</v>
      </c>
      <c r="AN256" t="s">
        <v>4748</v>
      </c>
      <c r="AO256" t="s">
        <v>4698</v>
      </c>
      <c r="AP256" t="s">
        <v>4749</v>
      </c>
      <c r="AQ256" t="s">
        <v>3287</v>
      </c>
      <c r="AR256">
        <v>73</v>
      </c>
      <c r="AS256" t="s">
        <v>3409</v>
      </c>
      <c r="AT256">
        <v>33</v>
      </c>
      <c r="AU256">
        <v>37</v>
      </c>
      <c r="AV256">
        <v>391</v>
      </c>
      <c r="AW256">
        <v>316</v>
      </c>
      <c r="AX256" t="s">
        <v>4750</v>
      </c>
    </row>
    <row r="257" spans="1:50" x14ac:dyDescent="0.25">
      <c r="A257">
        <v>252</v>
      </c>
      <c r="B257" t="s">
        <v>3156</v>
      </c>
      <c r="C257" t="s">
        <v>137</v>
      </c>
      <c r="D257">
        <v>20</v>
      </c>
      <c r="E257" t="s">
        <v>2504</v>
      </c>
      <c r="F257">
        <v>51</v>
      </c>
      <c r="G257">
        <v>11</v>
      </c>
      <c r="H257">
        <v>18</v>
      </c>
      <c r="I257">
        <v>29</v>
      </c>
      <c r="J257">
        <v>27</v>
      </c>
      <c r="K257">
        <v>-16</v>
      </c>
      <c r="L257">
        <v>7</v>
      </c>
      <c r="M257">
        <v>4</v>
      </c>
      <c r="N257">
        <v>0</v>
      </c>
      <c r="O257">
        <v>0</v>
      </c>
      <c r="P257">
        <v>0</v>
      </c>
      <c r="Q257">
        <v>13</v>
      </c>
      <c r="R257">
        <v>5</v>
      </c>
      <c r="S257">
        <v>0</v>
      </c>
      <c r="T257">
        <v>3</v>
      </c>
      <c r="U257">
        <v>0</v>
      </c>
      <c r="V257">
        <v>20</v>
      </c>
      <c r="W257">
        <v>9</v>
      </c>
      <c r="X257">
        <v>0</v>
      </c>
      <c r="Y257">
        <v>3</v>
      </c>
      <c r="Z257">
        <v>0</v>
      </c>
      <c r="AA257" t="s">
        <v>4730</v>
      </c>
      <c r="AB257" s="24">
        <v>0.65</v>
      </c>
      <c r="AC257" s="24">
        <v>0.55347222222222225</v>
      </c>
      <c r="AD257" s="24">
        <v>9.4444444444444442E-2</v>
      </c>
      <c r="AE257" s="24">
        <v>1.3888888888888889E-3</v>
      </c>
      <c r="AF257" t="s">
        <v>2846</v>
      </c>
      <c r="AG257" t="s">
        <v>4751</v>
      </c>
      <c r="AH257" t="s">
        <v>4752</v>
      </c>
      <c r="AI257" t="s">
        <v>4753</v>
      </c>
      <c r="AJ257" t="s">
        <v>2947</v>
      </c>
      <c r="AK257" t="s">
        <v>3135</v>
      </c>
      <c r="AL257" t="s">
        <v>3463</v>
      </c>
      <c r="AM257" t="s">
        <v>2852</v>
      </c>
      <c r="AN257" t="s">
        <v>4754</v>
      </c>
      <c r="AO257" t="s">
        <v>4648</v>
      </c>
      <c r="AP257" t="s">
        <v>4593</v>
      </c>
      <c r="AQ257" t="s">
        <v>4372</v>
      </c>
      <c r="AR257">
        <v>91</v>
      </c>
      <c r="AS257" t="s">
        <v>4621</v>
      </c>
      <c r="AT257">
        <v>64</v>
      </c>
      <c r="AU257">
        <v>14</v>
      </c>
      <c r="AV257">
        <v>13</v>
      </c>
      <c r="AW257">
        <v>11</v>
      </c>
      <c r="AX257" t="s">
        <v>4755</v>
      </c>
    </row>
    <row r="258" spans="1:50" x14ac:dyDescent="0.25">
      <c r="A258">
        <v>253</v>
      </c>
      <c r="B258" t="s">
        <v>3156</v>
      </c>
      <c r="C258" t="s">
        <v>1882</v>
      </c>
      <c r="D258">
        <v>36</v>
      </c>
      <c r="E258" t="s">
        <v>2504</v>
      </c>
      <c r="F258">
        <v>78</v>
      </c>
      <c r="G258">
        <v>10</v>
      </c>
      <c r="H258">
        <v>19</v>
      </c>
      <c r="I258">
        <v>29</v>
      </c>
      <c r="J258">
        <v>30</v>
      </c>
      <c r="K258">
        <v>-2</v>
      </c>
      <c r="L258">
        <v>7</v>
      </c>
      <c r="M258">
        <v>1</v>
      </c>
      <c r="N258">
        <v>2</v>
      </c>
      <c r="O258">
        <v>2</v>
      </c>
      <c r="P258">
        <v>0</v>
      </c>
      <c r="Q258">
        <v>17</v>
      </c>
      <c r="R258">
        <v>2</v>
      </c>
      <c r="S258">
        <v>0</v>
      </c>
      <c r="T258">
        <v>3</v>
      </c>
      <c r="U258">
        <v>0</v>
      </c>
      <c r="V258">
        <v>24</v>
      </c>
      <c r="W258">
        <v>3</v>
      </c>
      <c r="X258">
        <v>2</v>
      </c>
      <c r="Y258">
        <v>5</v>
      </c>
      <c r="Z258">
        <v>0</v>
      </c>
      <c r="AA258" t="s">
        <v>4547</v>
      </c>
      <c r="AB258" s="24">
        <v>0.66388888888888886</v>
      </c>
      <c r="AC258" s="24">
        <v>0.55763888888888891</v>
      </c>
      <c r="AD258" s="24">
        <v>5.2083333333333336E-2</v>
      </c>
      <c r="AE258" s="24">
        <v>5.6944444444444443E-2</v>
      </c>
      <c r="AF258" t="s">
        <v>2735</v>
      </c>
      <c r="AG258" t="s">
        <v>4268</v>
      </c>
      <c r="AH258" t="s">
        <v>4756</v>
      </c>
      <c r="AI258" t="s">
        <v>2792</v>
      </c>
      <c r="AJ258" t="s">
        <v>3186</v>
      </c>
      <c r="AK258" t="s">
        <v>4757</v>
      </c>
      <c r="AL258" t="s">
        <v>4758</v>
      </c>
      <c r="AM258" t="s">
        <v>3054</v>
      </c>
      <c r="AN258" t="s">
        <v>3805</v>
      </c>
      <c r="AO258" t="s">
        <v>4703</v>
      </c>
      <c r="AP258" t="s">
        <v>3012</v>
      </c>
      <c r="AQ258" t="s">
        <v>4728</v>
      </c>
      <c r="AR258">
        <v>105</v>
      </c>
      <c r="AS258" t="s">
        <v>4745</v>
      </c>
      <c r="AT258">
        <v>61</v>
      </c>
      <c r="AU258">
        <v>56</v>
      </c>
      <c r="AV258">
        <v>223</v>
      </c>
      <c r="AW258">
        <v>233</v>
      </c>
      <c r="AX258" t="s">
        <v>4759</v>
      </c>
    </row>
    <row r="259" spans="1:50" x14ac:dyDescent="0.25">
      <c r="A259">
        <v>254</v>
      </c>
      <c r="B259" t="s">
        <v>4135</v>
      </c>
      <c r="C259" t="s">
        <v>679</v>
      </c>
      <c r="D259">
        <v>39</v>
      </c>
      <c r="E259" t="s">
        <v>1719</v>
      </c>
      <c r="F259">
        <v>75</v>
      </c>
      <c r="G259">
        <v>10</v>
      </c>
      <c r="H259">
        <v>19</v>
      </c>
      <c r="I259">
        <v>29</v>
      </c>
      <c r="J259">
        <v>59</v>
      </c>
      <c r="K259">
        <v>18</v>
      </c>
      <c r="L259">
        <v>7</v>
      </c>
      <c r="M259">
        <v>1</v>
      </c>
      <c r="N259">
        <v>2</v>
      </c>
      <c r="O259">
        <v>0</v>
      </c>
      <c r="P259">
        <v>0</v>
      </c>
      <c r="Q259">
        <v>17</v>
      </c>
      <c r="R259">
        <v>2</v>
      </c>
      <c r="S259">
        <v>0</v>
      </c>
      <c r="T259">
        <v>3</v>
      </c>
      <c r="U259">
        <v>0</v>
      </c>
      <c r="V259">
        <v>24</v>
      </c>
      <c r="W259">
        <v>3</v>
      </c>
      <c r="X259">
        <v>2</v>
      </c>
      <c r="Y259">
        <v>3</v>
      </c>
      <c r="Z259">
        <v>0</v>
      </c>
      <c r="AA259" t="s">
        <v>4547</v>
      </c>
      <c r="AB259" s="24">
        <v>0.97222222222222221</v>
      </c>
      <c r="AC259" s="24">
        <v>0.79305555555555562</v>
      </c>
      <c r="AD259" s="24">
        <v>1.8749999999999999E-2</v>
      </c>
      <c r="AE259" s="24">
        <v>0.15555555555555556</v>
      </c>
      <c r="AF259" t="s">
        <v>4334</v>
      </c>
      <c r="AG259" t="s">
        <v>4760</v>
      </c>
      <c r="AH259" t="s">
        <v>4761</v>
      </c>
      <c r="AI259" t="s">
        <v>3735</v>
      </c>
      <c r="AJ259" t="s">
        <v>4762</v>
      </c>
      <c r="AK259" t="s">
        <v>3231</v>
      </c>
      <c r="AL259" t="s">
        <v>4763</v>
      </c>
      <c r="AM259" t="s">
        <v>3903</v>
      </c>
      <c r="AN259" t="s">
        <v>4764</v>
      </c>
      <c r="AO259" t="s">
        <v>4478</v>
      </c>
      <c r="AP259" t="s">
        <v>4765</v>
      </c>
      <c r="AQ259" t="s">
        <v>3963</v>
      </c>
      <c r="AR259">
        <v>136</v>
      </c>
      <c r="AS259" t="s">
        <v>3858</v>
      </c>
      <c r="AT259">
        <v>130</v>
      </c>
      <c r="AU259">
        <v>140</v>
      </c>
      <c r="AV259">
        <v>0</v>
      </c>
      <c r="AW259">
        <v>1</v>
      </c>
      <c r="AX259" t="s">
        <v>2579</v>
      </c>
    </row>
    <row r="260" spans="1:50" x14ac:dyDescent="0.25">
      <c r="A260">
        <v>255</v>
      </c>
      <c r="B260" t="s">
        <v>3156</v>
      </c>
      <c r="C260" t="s">
        <v>84</v>
      </c>
      <c r="D260">
        <v>24</v>
      </c>
      <c r="E260" t="s">
        <v>2504</v>
      </c>
      <c r="F260">
        <v>64</v>
      </c>
      <c r="G260">
        <v>10</v>
      </c>
      <c r="H260">
        <v>19</v>
      </c>
      <c r="I260">
        <v>29</v>
      </c>
      <c r="J260">
        <v>39</v>
      </c>
      <c r="K260">
        <v>7</v>
      </c>
      <c r="L260">
        <v>9</v>
      </c>
      <c r="M260">
        <v>1</v>
      </c>
      <c r="N260">
        <v>0</v>
      </c>
      <c r="O260">
        <v>2</v>
      </c>
      <c r="P260">
        <v>0</v>
      </c>
      <c r="Q260">
        <v>17</v>
      </c>
      <c r="R260">
        <v>2</v>
      </c>
      <c r="S260">
        <v>0</v>
      </c>
      <c r="T260">
        <v>3</v>
      </c>
      <c r="U260">
        <v>0</v>
      </c>
      <c r="V260">
        <v>26</v>
      </c>
      <c r="W260">
        <v>3</v>
      </c>
      <c r="X260">
        <v>0</v>
      </c>
      <c r="Y260">
        <v>5</v>
      </c>
      <c r="Z260">
        <v>0</v>
      </c>
      <c r="AA260" t="s">
        <v>4547</v>
      </c>
      <c r="AB260" s="24">
        <v>0.62847222222222221</v>
      </c>
      <c r="AC260" s="24">
        <v>0.54166666666666663</v>
      </c>
      <c r="AD260" s="24">
        <v>8.5416666666666655E-2</v>
      </c>
      <c r="AE260" s="24">
        <v>1.3888888888888889E-3</v>
      </c>
      <c r="AF260" t="s">
        <v>4766</v>
      </c>
      <c r="AG260" t="s">
        <v>4767</v>
      </c>
      <c r="AH260" t="s">
        <v>4209</v>
      </c>
      <c r="AI260" t="s">
        <v>4768</v>
      </c>
      <c r="AJ260" t="s">
        <v>4267</v>
      </c>
      <c r="AK260" t="s">
        <v>4769</v>
      </c>
      <c r="AL260" t="s">
        <v>3588</v>
      </c>
      <c r="AM260" t="s">
        <v>4252</v>
      </c>
      <c r="AN260" t="s">
        <v>2856</v>
      </c>
      <c r="AO260" t="s">
        <v>4571</v>
      </c>
      <c r="AP260" t="s">
        <v>4770</v>
      </c>
      <c r="AQ260" t="s">
        <v>2755</v>
      </c>
      <c r="AR260">
        <v>187</v>
      </c>
      <c r="AS260" t="s">
        <v>3586</v>
      </c>
      <c r="AT260">
        <v>69</v>
      </c>
      <c r="AU260">
        <v>15</v>
      </c>
      <c r="AV260">
        <v>30</v>
      </c>
      <c r="AW260">
        <v>44</v>
      </c>
      <c r="AX260" t="s">
        <v>4771</v>
      </c>
    </row>
    <row r="261" spans="1:50" x14ac:dyDescent="0.25">
      <c r="A261">
        <v>256</v>
      </c>
      <c r="B261" t="s">
        <v>3156</v>
      </c>
      <c r="C261" t="s">
        <v>1884</v>
      </c>
      <c r="D261">
        <v>37</v>
      </c>
      <c r="E261" t="s">
        <v>2504</v>
      </c>
      <c r="F261">
        <v>71</v>
      </c>
      <c r="G261">
        <v>9</v>
      </c>
      <c r="H261">
        <v>20</v>
      </c>
      <c r="I261">
        <v>29</v>
      </c>
      <c r="J261">
        <v>36</v>
      </c>
      <c r="K261">
        <v>0</v>
      </c>
      <c r="L261">
        <v>9</v>
      </c>
      <c r="M261">
        <v>0</v>
      </c>
      <c r="N261">
        <v>0</v>
      </c>
      <c r="O261">
        <v>3</v>
      </c>
      <c r="P261">
        <v>0</v>
      </c>
      <c r="Q261">
        <v>15</v>
      </c>
      <c r="R261">
        <v>5</v>
      </c>
      <c r="S261">
        <v>0</v>
      </c>
      <c r="T261">
        <v>1</v>
      </c>
      <c r="U261">
        <v>0</v>
      </c>
      <c r="V261">
        <v>24</v>
      </c>
      <c r="W261">
        <v>5</v>
      </c>
      <c r="X261">
        <v>0</v>
      </c>
      <c r="Y261">
        <v>4</v>
      </c>
      <c r="Z261">
        <v>0</v>
      </c>
      <c r="AA261" t="s">
        <v>4772</v>
      </c>
      <c r="AB261" s="24">
        <v>0.64583333333333337</v>
      </c>
      <c r="AC261" s="24">
        <v>0.54999999999999993</v>
      </c>
      <c r="AD261" s="24">
        <v>6.5277777777777782E-2</v>
      </c>
      <c r="AE261" s="24">
        <v>3.0555555555555555E-2</v>
      </c>
      <c r="AF261" t="s">
        <v>4773</v>
      </c>
      <c r="AG261" t="s">
        <v>3007</v>
      </c>
      <c r="AH261" t="s">
        <v>3220</v>
      </c>
      <c r="AI261" t="s">
        <v>3697</v>
      </c>
      <c r="AJ261" t="s">
        <v>4774</v>
      </c>
      <c r="AK261" t="s">
        <v>4775</v>
      </c>
      <c r="AL261" t="s">
        <v>3830</v>
      </c>
      <c r="AM261" t="s">
        <v>4776</v>
      </c>
      <c r="AN261" t="s">
        <v>4776</v>
      </c>
      <c r="AO261" t="s">
        <v>4196</v>
      </c>
      <c r="AP261" t="s">
        <v>4256</v>
      </c>
      <c r="AQ261" t="s">
        <v>4677</v>
      </c>
      <c r="AR261">
        <v>134</v>
      </c>
      <c r="AS261" t="s">
        <v>4777</v>
      </c>
      <c r="AT261">
        <v>216</v>
      </c>
      <c r="AU261">
        <v>28</v>
      </c>
      <c r="AV261">
        <v>3</v>
      </c>
      <c r="AW261">
        <v>10</v>
      </c>
      <c r="AX261" t="s">
        <v>4778</v>
      </c>
    </row>
    <row r="262" spans="1:50" x14ac:dyDescent="0.25">
      <c r="A262">
        <v>257</v>
      </c>
      <c r="B262" t="s">
        <v>3157</v>
      </c>
      <c r="C262" t="s">
        <v>1889</v>
      </c>
      <c r="D262">
        <v>19</v>
      </c>
      <c r="E262" t="s">
        <v>1719</v>
      </c>
      <c r="F262">
        <v>81</v>
      </c>
      <c r="G262">
        <v>4</v>
      </c>
      <c r="H262">
        <v>25</v>
      </c>
      <c r="I262">
        <v>29</v>
      </c>
      <c r="J262">
        <v>26</v>
      </c>
      <c r="K262">
        <v>-19</v>
      </c>
      <c r="L262">
        <v>2</v>
      </c>
      <c r="M262">
        <v>2</v>
      </c>
      <c r="N262">
        <v>0</v>
      </c>
      <c r="O262">
        <v>1</v>
      </c>
      <c r="P262">
        <v>1</v>
      </c>
      <c r="Q262">
        <v>16</v>
      </c>
      <c r="R262">
        <v>9</v>
      </c>
      <c r="S262">
        <v>0</v>
      </c>
      <c r="T262">
        <v>3</v>
      </c>
      <c r="U262">
        <v>0</v>
      </c>
      <c r="V262">
        <v>18</v>
      </c>
      <c r="W262">
        <v>11</v>
      </c>
      <c r="X262">
        <v>0</v>
      </c>
      <c r="Y262">
        <v>4</v>
      </c>
      <c r="Z262">
        <v>1</v>
      </c>
      <c r="AA262" t="s">
        <v>4779</v>
      </c>
      <c r="AB262" s="24">
        <v>0.74652777777777779</v>
      </c>
      <c r="AC262" s="24">
        <v>0.66041666666666665</v>
      </c>
      <c r="AD262" s="24">
        <v>8.4027777777777771E-2</v>
      </c>
      <c r="AE262" s="24">
        <v>1.3888888888888889E-3</v>
      </c>
      <c r="AF262" t="s">
        <v>4153</v>
      </c>
      <c r="AG262" t="s">
        <v>3118</v>
      </c>
      <c r="AH262" t="s">
        <v>2978</v>
      </c>
      <c r="AI262" t="s">
        <v>4780</v>
      </c>
      <c r="AJ262" t="s">
        <v>4740</v>
      </c>
      <c r="AK262" t="s">
        <v>2780</v>
      </c>
      <c r="AL262" t="s">
        <v>4019</v>
      </c>
      <c r="AM262" t="s">
        <v>4781</v>
      </c>
      <c r="AN262" t="s">
        <v>4782</v>
      </c>
      <c r="AO262" t="s">
        <v>4484</v>
      </c>
      <c r="AP262" t="s">
        <v>3926</v>
      </c>
      <c r="AQ262" t="s">
        <v>2829</v>
      </c>
      <c r="AR262">
        <v>108</v>
      </c>
      <c r="AS262" t="s">
        <v>4720</v>
      </c>
      <c r="AT262">
        <v>57</v>
      </c>
      <c r="AU262">
        <v>73</v>
      </c>
      <c r="AV262">
        <v>0</v>
      </c>
      <c r="AW262">
        <v>0</v>
      </c>
      <c r="AX262" t="s">
        <v>2579</v>
      </c>
    </row>
    <row r="263" spans="1:50" x14ac:dyDescent="0.25">
      <c r="A263">
        <v>258</v>
      </c>
      <c r="B263" t="s">
        <v>3162</v>
      </c>
      <c r="C263" t="s">
        <v>1891</v>
      </c>
      <c r="D263">
        <v>21</v>
      </c>
      <c r="E263" t="s">
        <v>2504</v>
      </c>
      <c r="F263">
        <v>73</v>
      </c>
      <c r="G263">
        <v>18</v>
      </c>
      <c r="H263">
        <v>10</v>
      </c>
      <c r="I263">
        <v>28</v>
      </c>
      <c r="J263">
        <v>8</v>
      </c>
      <c r="K263">
        <v>-1</v>
      </c>
      <c r="L263">
        <v>15</v>
      </c>
      <c r="M263">
        <v>2</v>
      </c>
      <c r="N263">
        <v>1</v>
      </c>
      <c r="O263">
        <v>3</v>
      </c>
      <c r="P263">
        <v>0</v>
      </c>
      <c r="Q263">
        <v>8</v>
      </c>
      <c r="R263">
        <v>2</v>
      </c>
      <c r="S263">
        <v>0</v>
      </c>
      <c r="T263">
        <v>2</v>
      </c>
      <c r="U263">
        <v>0</v>
      </c>
      <c r="V263">
        <v>23</v>
      </c>
      <c r="W263">
        <v>4</v>
      </c>
      <c r="X263">
        <v>1</v>
      </c>
      <c r="Y263">
        <v>5</v>
      </c>
      <c r="Z263">
        <v>0</v>
      </c>
      <c r="AA263" t="s">
        <v>2781</v>
      </c>
      <c r="AB263" s="24">
        <v>0.57708333333333328</v>
      </c>
      <c r="AC263" s="24">
        <v>0.51874999999999993</v>
      </c>
      <c r="AD263" s="24">
        <v>3.8194444444444441E-2</v>
      </c>
      <c r="AE263" s="24">
        <v>1.9444444444444445E-2</v>
      </c>
      <c r="AF263" t="s">
        <v>2877</v>
      </c>
      <c r="AG263" t="s">
        <v>3951</v>
      </c>
      <c r="AH263" t="s">
        <v>3728</v>
      </c>
      <c r="AI263" t="s">
        <v>4076</v>
      </c>
      <c r="AJ263" t="s">
        <v>3733</v>
      </c>
      <c r="AK263" t="s">
        <v>2570</v>
      </c>
      <c r="AL263" t="s">
        <v>4783</v>
      </c>
      <c r="AM263" t="s">
        <v>4783</v>
      </c>
      <c r="AN263" t="s">
        <v>4784</v>
      </c>
      <c r="AO263" t="s">
        <v>3025</v>
      </c>
      <c r="AP263" t="s">
        <v>4785</v>
      </c>
      <c r="AQ263" t="s">
        <v>2914</v>
      </c>
      <c r="AR263">
        <v>158</v>
      </c>
      <c r="AS263" t="s">
        <v>3432</v>
      </c>
      <c r="AT263">
        <v>72</v>
      </c>
      <c r="AU263">
        <v>25</v>
      </c>
      <c r="AV263">
        <v>2</v>
      </c>
      <c r="AW263">
        <v>2</v>
      </c>
      <c r="AX263" t="s">
        <v>2647</v>
      </c>
    </row>
    <row r="264" spans="1:50" x14ac:dyDescent="0.25">
      <c r="A264">
        <v>259</v>
      </c>
      <c r="B264" t="s">
        <v>3157</v>
      </c>
      <c r="C264" t="s">
        <v>1894</v>
      </c>
      <c r="D264">
        <v>24</v>
      </c>
      <c r="E264" t="s">
        <v>2504</v>
      </c>
      <c r="F264">
        <v>57</v>
      </c>
      <c r="G264">
        <v>15</v>
      </c>
      <c r="H264">
        <v>13</v>
      </c>
      <c r="I264">
        <v>28</v>
      </c>
      <c r="J264">
        <v>8</v>
      </c>
      <c r="K264">
        <v>4</v>
      </c>
      <c r="L264">
        <v>15</v>
      </c>
      <c r="M264">
        <v>0</v>
      </c>
      <c r="N264">
        <v>0</v>
      </c>
      <c r="O264">
        <v>1</v>
      </c>
      <c r="P264">
        <v>1</v>
      </c>
      <c r="Q264">
        <v>12</v>
      </c>
      <c r="R264">
        <v>0</v>
      </c>
      <c r="S264">
        <v>1</v>
      </c>
      <c r="T264">
        <v>3</v>
      </c>
      <c r="U264">
        <v>0</v>
      </c>
      <c r="V264">
        <v>27</v>
      </c>
      <c r="W264">
        <v>0</v>
      </c>
      <c r="X264">
        <v>1</v>
      </c>
      <c r="Y264">
        <v>4</v>
      </c>
      <c r="Z264">
        <v>1</v>
      </c>
      <c r="AA264" t="s">
        <v>4202</v>
      </c>
      <c r="AB264" s="24">
        <v>0.56805555555555554</v>
      </c>
      <c r="AC264" s="24">
        <v>0.52916666666666667</v>
      </c>
      <c r="AD264" s="24">
        <v>8.3333333333333332E-3</v>
      </c>
      <c r="AE264" s="24">
        <v>3.0555555555555555E-2</v>
      </c>
      <c r="AF264" t="s">
        <v>2824</v>
      </c>
      <c r="AG264" t="s">
        <v>4786</v>
      </c>
      <c r="AH264" t="s">
        <v>4787</v>
      </c>
      <c r="AI264" t="s">
        <v>2881</v>
      </c>
      <c r="AJ264" t="s">
        <v>4761</v>
      </c>
      <c r="AK264" t="s">
        <v>3320</v>
      </c>
      <c r="AL264" t="s">
        <v>3830</v>
      </c>
      <c r="AM264" t="s">
        <v>3830</v>
      </c>
      <c r="AN264" t="s">
        <v>3830</v>
      </c>
      <c r="AO264" t="s">
        <v>4620</v>
      </c>
      <c r="AP264" t="s">
        <v>3263</v>
      </c>
      <c r="AQ264" t="s">
        <v>4788</v>
      </c>
      <c r="AR264">
        <v>110</v>
      </c>
      <c r="AS264" t="s">
        <v>2646</v>
      </c>
      <c r="AT264">
        <v>101</v>
      </c>
      <c r="AU264">
        <v>29</v>
      </c>
      <c r="AV264">
        <v>2</v>
      </c>
      <c r="AW264">
        <v>3</v>
      </c>
      <c r="AX264" t="s">
        <v>3388</v>
      </c>
    </row>
    <row r="265" spans="1:50" x14ac:dyDescent="0.25">
      <c r="A265">
        <v>260</v>
      </c>
      <c r="B265" t="s">
        <v>3156</v>
      </c>
      <c r="C265" t="s">
        <v>1901</v>
      </c>
      <c r="D265">
        <v>21</v>
      </c>
      <c r="E265" t="s">
        <v>2504</v>
      </c>
      <c r="F265">
        <v>77</v>
      </c>
      <c r="G265">
        <v>14</v>
      </c>
      <c r="H265">
        <v>14</v>
      </c>
      <c r="I265">
        <v>28</v>
      </c>
      <c r="J265">
        <v>62</v>
      </c>
      <c r="K265">
        <v>4</v>
      </c>
      <c r="L265">
        <v>13</v>
      </c>
      <c r="M265">
        <v>1</v>
      </c>
      <c r="N265">
        <v>0</v>
      </c>
      <c r="O265">
        <v>3</v>
      </c>
      <c r="P265">
        <v>0</v>
      </c>
      <c r="Q265">
        <v>13</v>
      </c>
      <c r="R265">
        <v>1</v>
      </c>
      <c r="S265">
        <v>0</v>
      </c>
      <c r="T265">
        <v>4</v>
      </c>
      <c r="U265">
        <v>0</v>
      </c>
      <c r="V265">
        <v>26</v>
      </c>
      <c r="W265">
        <v>2</v>
      </c>
      <c r="X265">
        <v>0</v>
      </c>
      <c r="Y265">
        <v>7</v>
      </c>
      <c r="Z265">
        <v>0</v>
      </c>
      <c r="AA265" t="s">
        <v>4091</v>
      </c>
      <c r="AB265" s="24">
        <v>0.54097222222222219</v>
      </c>
      <c r="AC265" s="24">
        <v>0.51458333333333328</v>
      </c>
      <c r="AD265" s="24">
        <v>2.2916666666666669E-2</v>
      </c>
      <c r="AE265" s="24">
        <v>2.0833333333333333E-3</v>
      </c>
      <c r="AF265" t="s">
        <v>2831</v>
      </c>
      <c r="AG265" t="s">
        <v>2831</v>
      </c>
      <c r="AH265" t="s">
        <v>3953</v>
      </c>
      <c r="AI265" t="s">
        <v>3019</v>
      </c>
      <c r="AJ265" t="s">
        <v>3019</v>
      </c>
      <c r="AK265" t="s">
        <v>2628</v>
      </c>
      <c r="AL265" t="s">
        <v>4757</v>
      </c>
      <c r="AM265" t="s">
        <v>4757</v>
      </c>
      <c r="AN265" t="s">
        <v>4789</v>
      </c>
      <c r="AO265" t="s">
        <v>4790</v>
      </c>
      <c r="AP265" t="s">
        <v>4790</v>
      </c>
      <c r="AQ265" t="s">
        <v>2886</v>
      </c>
      <c r="AR265">
        <v>149</v>
      </c>
      <c r="AS265" t="s">
        <v>3434</v>
      </c>
      <c r="AT265">
        <v>247</v>
      </c>
      <c r="AU265">
        <v>24</v>
      </c>
      <c r="AV265">
        <v>4</v>
      </c>
      <c r="AW265">
        <v>4</v>
      </c>
      <c r="AX265" t="s">
        <v>2647</v>
      </c>
    </row>
    <row r="266" spans="1:50" x14ac:dyDescent="0.25">
      <c r="A266">
        <v>261</v>
      </c>
      <c r="B266" t="s">
        <v>3156</v>
      </c>
      <c r="C266" t="s">
        <v>4791</v>
      </c>
      <c r="D266">
        <v>33</v>
      </c>
      <c r="E266" t="s">
        <v>2504</v>
      </c>
      <c r="F266">
        <v>67</v>
      </c>
      <c r="G266">
        <v>13</v>
      </c>
      <c r="H266">
        <v>15</v>
      </c>
      <c r="I266">
        <v>28</v>
      </c>
      <c r="J266">
        <v>35</v>
      </c>
      <c r="K266">
        <v>-18</v>
      </c>
      <c r="L266">
        <v>9</v>
      </c>
      <c r="M266">
        <v>4</v>
      </c>
      <c r="N266">
        <v>0</v>
      </c>
      <c r="O266">
        <v>2</v>
      </c>
      <c r="P266">
        <v>0</v>
      </c>
      <c r="Q266">
        <v>11</v>
      </c>
      <c r="R266">
        <v>4</v>
      </c>
      <c r="S266">
        <v>0</v>
      </c>
      <c r="T266">
        <v>2</v>
      </c>
      <c r="U266">
        <v>0</v>
      </c>
      <c r="V266">
        <v>20</v>
      </c>
      <c r="W266">
        <v>8</v>
      </c>
      <c r="X266">
        <v>0</v>
      </c>
      <c r="Y266">
        <v>4</v>
      </c>
      <c r="Z266">
        <v>0</v>
      </c>
      <c r="AA266" t="s">
        <v>4098</v>
      </c>
      <c r="AB266" s="24">
        <v>0.6118055555555556</v>
      </c>
      <c r="AC266" s="24">
        <v>0.51180555555555551</v>
      </c>
      <c r="AD266" s="24">
        <v>9.0277777777777776E-2</v>
      </c>
      <c r="AE266" s="24">
        <v>0</v>
      </c>
      <c r="AF266" t="s">
        <v>2625</v>
      </c>
      <c r="AG266" t="s">
        <v>4252</v>
      </c>
      <c r="AH266" t="s">
        <v>4792</v>
      </c>
      <c r="AI266" t="s">
        <v>3569</v>
      </c>
      <c r="AJ266" t="s">
        <v>2786</v>
      </c>
      <c r="AK266" t="s">
        <v>4793</v>
      </c>
      <c r="AL266" t="s">
        <v>3383</v>
      </c>
      <c r="AM266" t="s">
        <v>3383</v>
      </c>
      <c r="AN266" t="s">
        <v>4794</v>
      </c>
      <c r="AO266" t="s">
        <v>4456</v>
      </c>
      <c r="AP266" t="s">
        <v>3769</v>
      </c>
      <c r="AQ266" t="s">
        <v>4795</v>
      </c>
      <c r="AR266">
        <v>123</v>
      </c>
      <c r="AS266" t="s">
        <v>3154</v>
      </c>
      <c r="AT266">
        <v>60</v>
      </c>
      <c r="AU266">
        <v>9</v>
      </c>
      <c r="AV266">
        <v>6</v>
      </c>
      <c r="AW266">
        <v>14</v>
      </c>
      <c r="AX266" t="s">
        <v>4663</v>
      </c>
    </row>
    <row r="267" spans="1:50" x14ac:dyDescent="0.25">
      <c r="A267">
        <v>262</v>
      </c>
      <c r="B267" t="s">
        <v>3156</v>
      </c>
      <c r="C267" t="s">
        <v>1896</v>
      </c>
      <c r="D267">
        <v>19</v>
      </c>
      <c r="E267" t="s">
        <v>2504</v>
      </c>
      <c r="F267">
        <v>70</v>
      </c>
      <c r="G267">
        <v>11</v>
      </c>
      <c r="H267">
        <v>17</v>
      </c>
      <c r="I267">
        <v>28</v>
      </c>
      <c r="J267">
        <v>49</v>
      </c>
      <c r="K267">
        <v>-2</v>
      </c>
      <c r="L267">
        <v>8</v>
      </c>
      <c r="M267">
        <v>3</v>
      </c>
      <c r="N267">
        <v>0</v>
      </c>
      <c r="O267">
        <v>0</v>
      </c>
      <c r="P267">
        <v>0</v>
      </c>
      <c r="Q267">
        <v>16</v>
      </c>
      <c r="R267">
        <v>1</v>
      </c>
      <c r="S267">
        <v>0</v>
      </c>
      <c r="T267">
        <v>3</v>
      </c>
      <c r="U267">
        <v>0</v>
      </c>
      <c r="V267">
        <v>24</v>
      </c>
      <c r="W267">
        <v>4</v>
      </c>
      <c r="X267">
        <v>0</v>
      </c>
      <c r="Y267">
        <v>3</v>
      </c>
      <c r="Z267">
        <v>0</v>
      </c>
      <c r="AA267" t="s">
        <v>2781</v>
      </c>
      <c r="AB267" s="24">
        <v>0.58680555555555558</v>
      </c>
      <c r="AC267" s="24">
        <v>0.51597222222222217</v>
      </c>
      <c r="AD267" s="24">
        <v>7.013888888888889E-2</v>
      </c>
      <c r="AE267" s="24">
        <v>6.9444444444444447E-4</v>
      </c>
      <c r="AF267" t="s">
        <v>4796</v>
      </c>
      <c r="AG267" t="s">
        <v>3122</v>
      </c>
      <c r="AH267" t="s">
        <v>3855</v>
      </c>
      <c r="AI267" t="s">
        <v>4305</v>
      </c>
      <c r="AJ267" t="s">
        <v>3827</v>
      </c>
      <c r="AK267" t="s">
        <v>2771</v>
      </c>
      <c r="AL267" t="s">
        <v>2724</v>
      </c>
      <c r="AM267" t="s">
        <v>3557</v>
      </c>
      <c r="AN267" t="s">
        <v>4797</v>
      </c>
      <c r="AO267" t="s">
        <v>4275</v>
      </c>
      <c r="AP267" t="s">
        <v>4798</v>
      </c>
      <c r="AQ267" t="s">
        <v>3625</v>
      </c>
      <c r="AR267">
        <v>133</v>
      </c>
      <c r="AS267" t="s">
        <v>4279</v>
      </c>
      <c r="AT267">
        <v>92</v>
      </c>
      <c r="AU267">
        <v>26</v>
      </c>
      <c r="AV267">
        <v>0</v>
      </c>
      <c r="AW267">
        <v>5</v>
      </c>
      <c r="AX267" t="s">
        <v>2579</v>
      </c>
    </row>
    <row r="268" spans="1:50" x14ac:dyDescent="0.25">
      <c r="A268">
        <v>263</v>
      </c>
      <c r="B268" t="s">
        <v>3162</v>
      </c>
      <c r="C268" t="s">
        <v>93</v>
      </c>
      <c r="D268">
        <v>33</v>
      </c>
      <c r="E268" t="s">
        <v>2504</v>
      </c>
      <c r="F268">
        <v>69</v>
      </c>
      <c r="G268">
        <v>11</v>
      </c>
      <c r="H268">
        <v>17</v>
      </c>
      <c r="I268">
        <v>28</v>
      </c>
      <c r="J268">
        <v>39</v>
      </c>
      <c r="K268">
        <v>-15</v>
      </c>
      <c r="L268">
        <v>6</v>
      </c>
      <c r="M268">
        <v>4</v>
      </c>
      <c r="N268">
        <v>1</v>
      </c>
      <c r="O268">
        <v>2</v>
      </c>
      <c r="P268">
        <v>0</v>
      </c>
      <c r="Q268">
        <v>11</v>
      </c>
      <c r="R268">
        <v>6</v>
      </c>
      <c r="S268">
        <v>0</v>
      </c>
      <c r="T268">
        <v>4</v>
      </c>
      <c r="U268">
        <v>2</v>
      </c>
      <c r="V268">
        <v>17</v>
      </c>
      <c r="W268">
        <v>10</v>
      </c>
      <c r="X268">
        <v>1</v>
      </c>
      <c r="Y268">
        <v>6</v>
      </c>
      <c r="Z268">
        <v>2</v>
      </c>
      <c r="AA268" t="s">
        <v>4125</v>
      </c>
      <c r="AB268" s="24">
        <v>0.72361111111111109</v>
      </c>
      <c r="AC268" s="24">
        <v>0.56458333333333333</v>
      </c>
      <c r="AD268" s="24">
        <v>0.1013888888888889</v>
      </c>
      <c r="AE268" s="24">
        <v>5.6250000000000001E-2</v>
      </c>
      <c r="AF268" t="s">
        <v>4799</v>
      </c>
      <c r="AG268" t="s">
        <v>4800</v>
      </c>
      <c r="AH268" t="s">
        <v>4801</v>
      </c>
      <c r="AI268" t="s">
        <v>4802</v>
      </c>
      <c r="AJ268" t="s">
        <v>3281</v>
      </c>
      <c r="AK268" t="s">
        <v>3747</v>
      </c>
      <c r="AL268" t="s">
        <v>4803</v>
      </c>
      <c r="AM268" t="s">
        <v>4804</v>
      </c>
      <c r="AN268" t="s">
        <v>4805</v>
      </c>
      <c r="AO268" t="s">
        <v>3256</v>
      </c>
      <c r="AP268" t="s">
        <v>4711</v>
      </c>
      <c r="AQ268" t="s">
        <v>4806</v>
      </c>
      <c r="AR268">
        <v>118</v>
      </c>
      <c r="AS268" t="s">
        <v>4065</v>
      </c>
      <c r="AT268">
        <v>28</v>
      </c>
      <c r="AU268">
        <v>33</v>
      </c>
      <c r="AV268">
        <v>75</v>
      </c>
      <c r="AW268">
        <v>69</v>
      </c>
      <c r="AX268" t="s">
        <v>4807</v>
      </c>
    </row>
    <row r="269" spans="1:50" x14ac:dyDescent="0.25">
      <c r="A269">
        <v>264</v>
      </c>
      <c r="B269" t="s">
        <v>3156</v>
      </c>
      <c r="C269" t="s">
        <v>1900</v>
      </c>
      <c r="D269">
        <v>24</v>
      </c>
      <c r="E269" t="s">
        <v>2504</v>
      </c>
      <c r="F269">
        <v>82</v>
      </c>
      <c r="G269">
        <v>10</v>
      </c>
      <c r="H269">
        <v>18</v>
      </c>
      <c r="I269">
        <v>28</v>
      </c>
      <c r="J269">
        <v>30</v>
      </c>
      <c r="K269">
        <v>2</v>
      </c>
      <c r="L269">
        <v>6</v>
      </c>
      <c r="M269">
        <v>0</v>
      </c>
      <c r="N269">
        <v>4</v>
      </c>
      <c r="O269">
        <v>3</v>
      </c>
      <c r="P269">
        <v>0</v>
      </c>
      <c r="Q269">
        <v>18</v>
      </c>
      <c r="R269">
        <v>0</v>
      </c>
      <c r="S269">
        <v>0</v>
      </c>
      <c r="T269">
        <v>2</v>
      </c>
      <c r="U269">
        <v>0</v>
      </c>
      <c r="V269">
        <v>24</v>
      </c>
      <c r="W269">
        <v>0</v>
      </c>
      <c r="X269">
        <v>4</v>
      </c>
      <c r="Y269">
        <v>5</v>
      </c>
      <c r="Z269">
        <v>0</v>
      </c>
      <c r="AA269" t="s">
        <v>4202</v>
      </c>
      <c r="AB269" s="24">
        <v>0.69513888888888886</v>
      </c>
      <c r="AC269" s="24">
        <v>0.57222222222222219</v>
      </c>
      <c r="AD269" s="24">
        <v>7.6388888888888886E-3</v>
      </c>
      <c r="AE269" s="24">
        <v>0.11666666666666665</v>
      </c>
      <c r="AF269" t="s">
        <v>3480</v>
      </c>
      <c r="AG269" t="s">
        <v>4808</v>
      </c>
      <c r="AH269" t="s">
        <v>4409</v>
      </c>
      <c r="AI269" t="s">
        <v>4622</v>
      </c>
      <c r="AJ269" t="s">
        <v>4809</v>
      </c>
      <c r="AK269" t="s">
        <v>3285</v>
      </c>
      <c r="AL269" t="s">
        <v>3830</v>
      </c>
      <c r="AM269" t="s">
        <v>3830</v>
      </c>
      <c r="AN269" t="s">
        <v>3830</v>
      </c>
      <c r="AO269" t="s">
        <v>4585</v>
      </c>
      <c r="AP269" t="s">
        <v>3244</v>
      </c>
      <c r="AQ269" t="s">
        <v>2899</v>
      </c>
      <c r="AR269">
        <v>156</v>
      </c>
      <c r="AS269" t="s">
        <v>3514</v>
      </c>
      <c r="AT269">
        <v>109</v>
      </c>
      <c r="AU269">
        <v>43</v>
      </c>
      <c r="AV269">
        <v>11</v>
      </c>
      <c r="AW269">
        <v>18</v>
      </c>
      <c r="AX269" t="s">
        <v>4810</v>
      </c>
    </row>
    <row r="270" spans="1:50" x14ac:dyDescent="0.25">
      <c r="A270">
        <v>265</v>
      </c>
      <c r="B270" t="s">
        <v>3161</v>
      </c>
      <c r="C270" t="s">
        <v>4811</v>
      </c>
      <c r="D270">
        <v>34</v>
      </c>
      <c r="E270" t="s">
        <v>2504</v>
      </c>
      <c r="F270">
        <v>78</v>
      </c>
      <c r="G270">
        <v>10</v>
      </c>
      <c r="H270">
        <v>18</v>
      </c>
      <c r="I270">
        <v>28</v>
      </c>
      <c r="J270">
        <v>24</v>
      </c>
      <c r="K270">
        <v>10</v>
      </c>
      <c r="L270">
        <v>5</v>
      </c>
      <c r="M270">
        <v>3</v>
      </c>
      <c r="N270">
        <v>2</v>
      </c>
      <c r="O270">
        <v>3</v>
      </c>
      <c r="P270">
        <v>0</v>
      </c>
      <c r="Q270">
        <v>14</v>
      </c>
      <c r="R270">
        <v>4</v>
      </c>
      <c r="S270">
        <v>0</v>
      </c>
      <c r="T270">
        <v>4</v>
      </c>
      <c r="U270">
        <v>1</v>
      </c>
      <c r="V270">
        <v>19</v>
      </c>
      <c r="W270">
        <v>7</v>
      </c>
      <c r="X270">
        <v>2</v>
      </c>
      <c r="Y270">
        <v>7</v>
      </c>
      <c r="Z270">
        <v>1</v>
      </c>
      <c r="AA270" t="s">
        <v>4206</v>
      </c>
      <c r="AB270" s="24">
        <v>0.70208333333333339</v>
      </c>
      <c r="AC270" s="24">
        <v>0.57916666666666672</v>
      </c>
      <c r="AD270" s="24">
        <v>3.9583333333333331E-2</v>
      </c>
      <c r="AE270" s="24">
        <v>8.2638888888888887E-2</v>
      </c>
      <c r="AF270" t="s">
        <v>3799</v>
      </c>
      <c r="AG270" t="s">
        <v>3561</v>
      </c>
      <c r="AH270" t="s">
        <v>4812</v>
      </c>
      <c r="AI270" t="s">
        <v>4086</v>
      </c>
      <c r="AJ270" t="s">
        <v>3253</v>
      </c>
      <c r="AK270" t="s">
        <v>4323</v>
      </c>
      <c r="AL270" t="s">
        <v>2507</v>
      </c>
      <c r="AM270" t="s">
        <v>4813</v>
      </c>
      <c r="AN270" t="s">
        <v>4814</v>
      </c>
      <c r="AO270" t="s">
        <v>4703</v>
      </c>
      <c r="AP270" t="s">
        <v>3335</v>
      </c>
      <c r="AQ270" t="s">
        <v>3280</v>
      </c>
      <c r="AR270">
        <v>139</v>
      </c>
      <c r="AS270" t="s">
        <v>4265</v>
      </c>
      <c r="AT270">
        <v>57</v>
      </c>
      <c r="AU270">
        <v>45</v>
      </c>
      <c r="AV270">
        <v>692</v>
      </c>
      <c r="AW270">
        <v>660</v>
      </c>
      <c r="AX270" t="s">
        <v>4815</v>
      </c>
    </row>
    <row r="271" spans="1:50" x14ac:dyDescent="0.25">
      <c r="A271">
        <v>266</v>
      </c>
      <c r="B271" t="s">
        <v>3159</v>
      </c>
      <c r="C271" t="s">
        <v>1899</v>
      </c>
      <c r="D271">
        <v>24</v>
      </c>
      <c r="E271" t="s">
        <v>2504</v>
      </c>
      <c r="F271">
        <v>74</v>
      </c>
      <c r="G271">
        <v>10</v>
      </c>
      <c r="H271">
        <v>18</v>
      </c>
      <c r="I271">
        <v>28</v>
      </c>
      <c r="J271">
        <v>31</v>
      </c>
      <c r="K271">
        <v>-4</v>
      </c>
      <c r="L271">
        <v>7</v>
      </c>
      <c r="M271">
        <v>3</v>
      </c>
      <c r="N271">
        <v>0</v>
      </c>
      <c r="O271">
        <v>0</v>
      </c>
      <c r="P271">
        <v>0</v>
      </c>
      <c r="Q271">
        <v>14</v>
      </c>
      <c r="R271">
        <v>3</v>
      </c>
      <c r="S271">
        <v>1</v>
      </c>
      <c r="T271">
        <v>2</v>
      </c>
      <c r="U271">
        <v>0</v>
      </c>
      <c r="V271">
        <v>21</v>
      </c>
      <c r="W271">
        <v>6</v>
      </c>
      <c r="X271">
        <v>1</v>
      </c>
      <c r="Y271">
        <v>2</v>
      </c>
      <c r="Z271">
        <v>0</v>
      </c>
      <c r="AA271" t="s">
        <v>3248</v>
      </c>
      <c r="AB271" s="24">
        <v>0.61597222222222225</v>
      </c>
      <c r="AC271" s="24">
        <v>0.51597222222222217</v>
      </c>
      <c r="AD271" s="24">
        <v>8.6805555555555566E-2</v>
      </c>
      <c r="AE271" s="24">
        <v>1.1805555555555555E-2</v>
      </c>
      <c r="AF271" t="s">
        <v>4816</v>
      </c>
      <c r="AG271" t="s">
        <v>4739</v>
      </c>
      <c r="AH271" t="s">
        <v>4775</v>
      </c>
      <c r="AI271" t="s">
        <v>3493</v>
      </c>
      <c r="AJ271" t="s">
        <v>4492</v>
      </c>
      <c r="AK271" t="s">
        <v>4817</v>
      </c>
      <c r="AL271" t="s">
        <v>2536</v>
      </c>
      <c r="AM271" t="s">
        <v>2536</v>
      </c>
      <c r="AN271" t="s">
        <v>2776</v>
      </c>
      <c r="AO271" t="s">
        <v>4818</v>
      </c>
      <c r="AP271" t="s">
        <v>4798</v>
      </c>
      <c r="AQ271" t="s">
        <v>2658</v>
      </c>
      <c r="AR271">
        <v>114</v>
      </c>
      <c r="AS271" t="s">
        <v>3504</v>
      </c>
      <c r="AT271">
        <v>72</v>
      </c>
      <c r="AU271">
        <v>31</v>
      </c>
      <c r="AV271">
        <v>209</v>
      </c>
      <c r="AW271">
        <v>271</v>
      </c>
      <c r="AX271" t="s">
        <v>4819</v>
      </c>
    </row>
    <row r="272" spans="1:50" x14ac:dyDescent="0.25">
      <c r="A272">
        <v>267</v>
      </c>
      <c r="B272" t="s">
        <v>3156</v>
      </c>
      <c r="C272" t="s">
        <v>671</v>
      </c>
      <c r="D272">
        <v>27</v>
      </c>
      <c r="E272" t="s">
        <v>1719</v>
      </c>
      <c r="F272">
        <v>82</v>
      </c>
      <c r="G272">
        <v>9</v>
      </c>
      <c r="H272">
        <v>19</v>
      </c>
      <c r="I272">
        <v>28</v>
      </c>
      <c r="J272">
        <v>46</v>
      </c>
      <c r="K272">
        <v>-21</v>
      </c>
      <c r="L272">
        <v>5</v>
      </c>
      <c r="M272">
        <v>4</v>
      </c>
      <c r="N272">
        <v>0</v>
      </c>
      <c r="O272">
        <v>1</v>
      </c>
      <c r="P272">
        <v>0</v>
      </c>
      <c r="Q272">
        <v>13</v>
      </c>
      <c r="R272">
        <v>6</v>
      </c>
      <c r="S272">
        <v>0</v>
      </c>
      <c r="T272">
        <v>3</v>
      </c>
      <c r="U272">
        <v>1</v>
      </c>
      <c r="V272">
        <v>18</v>
      </c>
      <c r="W272">
        <v>10</v>
      </c>
      <c r="X272">
        <v>0</v>
      </c>
      <c r="Y272">
        <v>4</v>
      </c>
      <c r="Z272">
        <v>1</v>
      </c>
      <c r="AA272" t="s">
        <v>4125</v>
      </c>
      <c r="AB272" s="24">
        <v>0.92847222222222225</v>
      </c>
      <c r="AC272" s="24">
        <v>0.73749999999999993</v>
      </c>
      <c r="AD272" s="24">
        <v>0.1013888888888889</v>
      </c>
      <c r="AE272" s="24">
        <v>8.8888888888888892E-2</v>
      </c>
      <c r="AF272" t="s">
        <v>4623</v>
      </c>
      <c r="AG272" t="s">
        <v>4820</v>
      </c>
      <c r="AH272" t="s">
        <v>4550</v>
      </c>
      <c r="AI272" t="s">
        <v>2844</v>
      </c>
      <c r="AJ272" t="s">
        <v>3189</v>
      </c>
      <c r="AK272" t="s">
        <v>2975</v>
      </c>
      <c r="AL272" t="s">
        <v>3364</v>
      </c>
      <c r="AM272" t="s">
        <v>4345</v>
      </c>
      <c r="AN272" t="s">
        <v>4821</v>
      </c>
      <c r="AO272" t="s">
        <v>4090</v>
      </c>
      <c r="AP272" t="s">
        <v>3069</v>
      </c>
      <c r="AQ272" t="s">
        <v>2899</v>
      </c>
      <c r="AR272">
        <v>184</v>
      </c>
      <c r="AS272" t="s">
        <v>4822</v>
      </c>
      <c r="AT272">
        <v>162</v>
      </c>
      <c r="AU272">
        <v>122</v>
      </c>
      <c r="AV272">
        <v>0</v>
      </c>
      <c r="AW272">
        <v>0</v>
      </c>
      <c r="AX272" t="s">
        <v>2579</v>
      </c>
    </row>
    <row r="273" spans="1:50" x14ac:dyDescent="0.25">
      <c r="A273">
        <v>268</v>
      </c>
      <c r="B273" t="s">
        <v>3156</v>
      </c>
      <c r="C273" t="s">
        <v>1892</v>
      </c>
      <c r="D273">
        <v>28</v>
      </c>
      <c r="E273" t="s">
        <v>1719</v>
      </c>
      <c r="F273">
        <v>81</v>
      </c>
      <c r="G273">
        <v>9</v>
      </c>
      <c r="H273">
        <v>19</v>
      </c>
      <c r="I273">
        <v>28</v>
      </c>
      <c r="J273">
        <v>53</v>
      </c>
      <c r="K273">
        <v>-14</v>
      </c>
      <c r="L273">
        <v>9</v>
      </c>
      <c r="M273">
        <v>0</v>
      </c>
      <c r="N273">
        <v>0</v>
      </c>
      <c r="O273">
        <v>2</v>
      </c>
      <c r="P273">
        <v>0</v>
      </c>
      <c r="Q273">
        <v>12</v>
      </c>
      <c r="R273">
        <v>5</v>
      </c>
      <c r="S273">
        <v>2</v>
      </c>
      <c r="T273">
        <v>2</v>
      </c>
      <c r="U273">
        <v>0</v>
      </c>
      <c r="V273">
        <v>21</v>
      </c>
      <c r="W273">
        <v>5</v>
      </c>
      <c r="X273">
        <v>2</v>
      </c>
      <c r="Y273">
        <v>4</v>
      </c>
      <c r="Z273">
        <v>0</v>
      </c>
      <c r="AA273" t="s">
        <v>4258</v>
      </c>
      <c r="AB273" s="24">
        <v>0.81666666666666676</v>
      </c>
      <c r="AC273" s="24">
        <v>0.67569444444444438</v>
      </c>
      <c r="AD273" s="24">
        <v>6.5277777777777782E-2</v>
      </c>
      <c r="AE273" s="24">
        <v>7.3611111111111113E-2</v>
      </c>
      <c r="AF273" t="s">
        <v>4522</v>
      </c>
      <c r="AG273" t="s">
        <v>3606</v>
      </c>
      <c r="AH273" t="s">
        <v>4356</v>
      </c>
      <c r="AI273" t="s">
        <v>3893</v>
      </c>
      <c r="AJ273" t="s">
        <v>4816</v>
      </c>
      <c r="AK273" t="s">
        <v>4823</v>
      </c>
      <c r="AL273" t="s">
        <v>3830</v>
      </c>
      <c r="AM273" t="s">
        <v>3073</v>
      </c>
      <c r="AN273" t="s">
        <v>3073</v>
      </c>
      <c r="AO273" t="s">
        <v>4701</v>
      </c>
      <c r="AP273" t="s">
        <v>4434</v>
      </c>
      <c r="AQ273" t="s">
        <v>3279</v>
      </c>
      <c r="AR273">
        <v>98</v>
      </c>
      <c r="AS273" t="s">
        <v>3816</v>
      </c>
      <c r="AT273">
        <v>106</v>
      </c>
      <c r="AU273">
        <v>90</v>
      </c>
      <c r="AV273">
        <v>0</v>
      </c>
      <c r="AW273">
        <v>1</v>
      </c>
      <c r="AX273" t="s">
        <v>2579</v>
      </c>
    </row>
    <row r="274" spans="1:50" x14ac:dyDescent="0.25">
      <c r="A274">
        <v>269</v>
      </c>
      <c r="B274" t="s">
        <v>3156</v>
      </c>
      <c r="C274" t="s">
        <v>1893</v>
      </c>
      <c r="D274">
        <v>34</v>
      </c>
      <c r="E274" t="s">
        <v>2504</v>
      </c>
      <c r="F274">
        <v>72</v>
      </c>
      <c r="G274">
        <v>9</v>
      </c>
      <c r="H274">
        <v>19</v>
      </c>
      <c r="I274">
        <v>28</v>
      </c>
      <c r="J274">
        <v>42</v>
      </c>
      <c r="K274">
        <v>-7</v>
      </c>
      <c r="L274">
        <v>4</v>
      </c>
      <c r="M274">
        <v>5</v>
      </c>
      <c r="N274">
        <v>0</v>
      </c>
      <c r="O274">
        <v>1</v>
      </c>
      <c r="P274">
        <v>0</v>
      </c>
      <c r="Q274">
        <v>13</v>
      </c>
      <c r="R274">
        <v>6</v>
      </c>
      <c r="S274">
        <v>0</v>
      </c>
      <c r="T274">
        <v>2</v>
      </c>
      <c r="U274">
        <v>0</v>
      </c>
      <c r="V274">
        <v>17</v>
      </c>
      <c r="W274">
        <v>11</v>
      </c>
      <c r="X274">
        <v>0</v>
      </c>
      <c r="Y274">
        <v>3</v>
      </c>
      <c r="Z274">
        <v>0</v>
      </c>
      <c r="AA274" t="s">
        <v>4824</v>
      </c>
      <c r="AB274" s="24">
        <v>0.66249999999999998</v>
      </c>
      <c r="AC274" s="24">
        <v>0.54513888888888895</v>
      </c>
      <c r="AD274" s="24">
        <v>7.7083333333333337E-2</v>
      </c>
      <c r="AE274" s="24">
        <v>3.888888888888889E-2</v>
      </c>
      <c r="AF274" t="s">
        <v>3990</v>
      </c>
      <c r="AG274" t="s">
        <v>4469</v>
      </c>
      <c r="AH274" t="s">
        <v>3656</v>
      </c>
      <c r="AI274" t="s">
        <v>3605</v>
      </c>
      <c r="AJ274" t="s">
        <v>2860</v>
      </c>
      <c r="AK274" t="s">
        <v>4066</v>
      </c>
      <c r="AL274" t="s">
        <v>2624</v>
      </c>
      <c r="AM274" t="s">
        <v>4825</v>
      </c>
      <c r="AN274" t="s">
        <v>4826</v>
      </c>
      <c r="AO274" t="s">
        <v>4422</v>
      </c>
      <c r="AP274" t="s">
        <v>4464</v>
      </c>
      <c r="AQ274" t="s">
        <v>4423</v>
      </c>
      <c r="AR274">
        <v>88</v>
      </c>
      <c r="AS274" t="s">
        <v>4827</v>
      </c>
      <c r="AT274">
        <v>51</v>
      </c>
      <c r="AU274">
        <v>45</v>
      </c>
      <c r="AV274">
        <v>744</v>
      </c>
      <c r="AW274">
        <v>451</v>
      </c>
      <c r="AX274" t="s">
        <v>4828</v>
      </c>
    </row>
    <row r="275" spans="1:50" x14ac:dyDescent="0.25">
      <c r="A275">
        <v>270</v>
      </c>
      <c r="B275" t="s">
        <v>3157</v>
      </c>
      <c r="C275" t="s">
        <v>1902</v>
      </c>
      <c r="D275">
        <v>29</v>
      </c>
      <c r="E275" t="s">
        <v>1719</v>
      </c>
      <c r="F275">
        <v>80</v>
      </c>
      <c r="G275">
        <v>8</v>
      </c>
      <c r="H275">
        <v>20</v>
      </c>
      <c r="I275">
        <v>28</v>
      </c>
      <c r="J275">
        <v>22</v>
      </c>
      <c r="K275">
        <v>3</v>
      </c>
      <c r="L275">
        <v>6</v>
      </c>
      <c r="M275">
        <v>2</v>
      </c>
      <c r="N275">
        <v>0</v>
      </c>
      <c r="O275">
        <v>1</v>
      </c>
      <c r="P275">
        <v>0</v>
      </c>
      <c r="Q275">
        <v>15</v>
      </c>
      <c r="R275">
        <v>5</v>
      </c>
      <c r="S275">
        <v>0</v>
      </c>
      <c r="T275">
        <v>3</v>
      </c>
      <c r="U275">
        <v>1</v>
      </c>
      <c r="V275">
        <v>21</v>
      </c>
      <c r="W275">
        <v>7</v>
      </c>
      <c r="X275">
        <v>0</v>
      </c>
      <c r="Y275">
        <v>4</v>
      </c>
      <c r="Z275">
        <v>1</v>
      </c>
      <c r="AA275" t="s">
        <v>4206</v>
      </c>
      <c r="AB275" s="24">
        <v>0.92152777777777783</v>
      </c>
      <c r="AC275" s="24">
        <v>0.7729166666666667</v>
      </c>
      <c r="AD275" s="24">
        <v>7.2916666666666671E-2</v>
      </c>
      <c r="AE275" s="24">
        <v>7.5694444444444439E-2</v>
      </c>
      <c r="AF275" t="s">
        <v>4829</v>
      </c>
      <c r="AG275" t="s">
        <v>3976</v>
      </c>
      <c r="AH275" t="s">
        <v>4830</v>
      </c>
      <c r="AI275" t="s">
        <v>4831</v>
      </c>
      <c r="AJ275" t="s">
        <v>4227</v>
      </c>
      <c r="AK275" t="s">
        <v>3540</v>
      </c>
      <c r="AL275" t="s">
        <v>2887</v>
      </c>
      <c r="AM275" t="s">
        <v>4832</v>
      </c>
      <c r="AN275" t="s">
        <v>4833</v>
      </c>
      <c r="AO275" t="s">
        <v>4525</v>
      </c>
      <c r="AP275" t="s">
        <v>3036</v>
      </c>
      <c r="AQ275" t="s">
        <v>4289</v>
      </c>
      <c r="AR275">
        <v>172</v>
      </c>
      <c r="AS275" t="s">
        <v>4834</v>
      </c>
      <c r="AT275">
        <v>171</v>
      </c>
      <c r="AU275">
        <v>145</v>
      </c>
      <c r="AV275">
        <v>0</v>
      </c>
      <c r="AW275">
        <v>0</v>
      </c>
      <c r="AX275" t="s">
        <v>2579</v>
      </c>
    </row>
    <row r="276" spans="1:50" x14ac:dyDescent="0.25">
      <c r="A276">
        <v>271</v>
      </c>
      <c r="B276" t="s">
        <v>3156</v>
      </c>
      <c r="C276" t="s">
        <v>684</v>
      </c>
      <c r="D276">
        <v>29</v>
      </c>
      <c r="E276" t="s">
        <v>1719</v>
      </c>
      <c r="F276">
        <v>75</v>
      </c>
      <c r="G276">
        <v>6</v>
      </c>
      <c r="H276">
        <v>22</v>
      </c>
      <c r="I276">
        <v>28</v>
      </c>
      <c r="J276">
        <v>35</v>
      </c>
      <c r="K276">
        <v>4</v>
      </c>
      <c r="L276">
        <v>5</v>
      </c>
      <c r="M276">
        <v>1</v>
      </c>
      <c r="N276">
        <v>0</v>
      </c>
      <c r="O276">
        <v>2</v>
      </c>
      <c r="P276">
        <v>1</v>
      </c>
      <c r="Q276">
        <v>15</v>
      </c>
      <c r="R276">
        <v>6</v>
      </c>
      <c r="S276">
        <v>1</v>
      </c>
      <c r="T276">
        <v>6</v>
      </c>
      <c r="U276">
        <v>0</v>
      </c>
      <c r="V276">
        <v>20</v>
      </c>
      <c r="W276">
        <v>7</v>
      </c>
      <c r="X276">
        <v>1</v>
      </c>
      <c r="Y276">
        <v>8</v>
      </c>
      <c r="Z276">
        <v>1</v>
      </c>
      <c r="AA276" t="s">
        <v>4206</v>
      </c>
      <c r="AB276" s="24">
        <v>0.8847222222222223</v>
      </c>
      <c r="AC276" s="24">
        <v>0.7104166666666667</v>
      </c>
      <c r="AD276" s="24">
        <v>7.9861111111111105E-2</v>
      </c>
      <c r="AE276" s="24">
        <v>8.5416666666666655E-2</v>
      </c>
      <c r="AF276" t="s">
        <v>3583</v>
      </c>
      <c r="AG276" t="s">
        <v>2846</v>
      </c>
      <c r="AH276" t="s">
        <v>2723</v>
      </c>
      <c r="AI276" t="s">
        <v>4434</v>
      </c>
      <c r="AJ276" t="s">
        <v>4835</v>
      </c>
      <c r="AK276" t="s">
        <v>3499</v>
      </c>
      <c r="AL276" t="s">
        <v>4836</v>
      </c>
      <c r="AM276" t="s">
        <v>4837</v>
      </c>
      <c r="AN276" t="s">
        <v>4838</v>
      </c>
      <c r="AO276" t="s">
        <v>4839</v>
      </c>
      <c r="AP276" t="s">
        <v>3127</v>
      </c>
      <c r="AQ276" t="s">
        <v>3407</v>
      </c>
      <c r="AR276">
        <v>144</v>
      </c>
      <c r="AS276" t="s">
        <v>4840</v>
      </c>
      <c r="AT276">
        <v>18</v>
      </c>
      <c r="AU276">
        <v>146</v>
      </c>
      <c r="AV276">
        <v>0</v>
      </c>
      <c r="AW276">
        <v>0</v>
      </c>
      <c r="AX276" t="s">
        <v>2579</v>
      </c>
    </row>
    <row r="277" spans="1:50" x14ac:dyDescent="0.25">
      <c r="A277">
        <v>272</v>
      </c>
      <c r="B277" t="s">
        <v>3157</v>
      </c>
      <c r="C277" t="s">
        <v>1895</v>
      </c>
      <c r="D277">
        <v>20</v>
      </c>
      <c r="E277" t="s">
        <v>2504</v>
      </c>
      <c r="F277">
        <v>61</v>
      </c>
      <c r="G277">
        <v>6</v>
      </c>
      <c r="H277">
        <v>22</v>
      </c>
      <c r="I277">
        <v>28</v>
      </c>
      <c r="J277">
        <v>6</v>
      </c>
      <c r="K277">
        <v>10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20</v>
      </c>
      <c r="R277">
        <v>2</v>
      </c>
      <c r="S277">
        <v>0</v>
      </c>
      <c r="T277">
        <v>7</v>
      </c>
      <c r="U277">
        <v>0</v>
      </c>
      <c r="V277">
        <v>26</v>
      </c>
      <c r="W277">
        <v>2</v>
      </c>
      <c r="X277">
        <v>0</v>
      </c>
      <c r="Y277">
        <v>7</v>
      </c>
      <c r="Z277">
        <v>0</v>
      </c>
      <c r="AA277" t="s">
        <v>4091</v>
      </c>
      <c r="AB277" s="24">
        <v>0.55208333333333337</v>
      </c>
      <c r="AC277" s="24">
        <v>0.50763888888888886</v>
      </c>
      <c r="AD277" s="24">
        <v>4.3055555555555562E-2</v>
      </c>
      <c r="AE277" s="24">
        <v>6.9444444444444447E-4</v>
      </c>
      <c r="AF277" t="s">
        <v>4841</v>
      </c>
      <c r="AG277" t="s">
        <v>4842</v>
      </c>
      <c r="AH277" t="s">
        <v>4843</v>
      </c>
      <c r="AI277" t="s">
        <v>4475</v>
      </c>
      <c r="AJ277" t="s">
        <v>4844</v>
      </c>
      <c r="AK277" t="s">
        <v>4845</v>
      </c>
      <c r="AL277" t="s">
        <v>3830</v>
      </c>
      <c r="AM277" t="s">
        <v>3613</v>
      </c>
      <c r="AN277" t="s">
        <v>3613</v>
      </c>
      <c r="AO277" t="s">
        <v>4846</v>
      </c>
      <c r="AP277" t="s">
        <v>4847</v>
      </c>
      <c r="AQ277" t="s">
        <v>4848</v>
      </c>
      <c r="AR277">
        <v>66</v>
      </c>
      <c r="AS277" t="s">
        <v>2633</v>
      </c>
      <c r="AT277">
        <v>20</v>
      </c>
      <c r="AU277">
        <v>27</v>
      </c>
      <c r="AV277">
        <v>84</v>
      </c>
      <c r="AW277">
        <v>188</v>
      </c>
      <c r="AX277" t="s">
        <v>4849</v>
      </c>
    </row>
    <row r="278" spans="1:50" x14ac:dyDescent="0.25">
      <c r="A278">
        <v>273</v>
      </c>
      <c r="B278" t="s">
        <v>3156</v>
      </c>
      <c r="C278" t="s">
        <v>1897</v>
      </c>
      <c r="D278">
        <v>24</v>
      </c>
      <c r="E278" t="s">
        <v>1719</v>
      </c>
      <c r="F278">
        <v>74</v>
      </c>
      <c r="G278">
        <v>4</v>
      </c>
      <c r="H278">
        <v>24</v>
      </c>
      <c r="I278">
        <v>28</v>
      </c>
      <c r="J278">
        <v>44</v>
      </c>
      <c r="K278">
        <v>8</v>
      </c>
      <c r="L278">
        <v>2</v>
      </c>
      <c r="M278">
        <v>2</v>
      </c>
      <c r="N278">
        <v>0</v>
      </c>
      <c r="O278">
        <v>1</v>
      </c>
      <c r="P278">
        <v>0</v>
      </c>
      <c r="Q278">
        <v>14</v>
      </c>
      <c r="R278">
        <v>10</v>
      </c>
      <c r="S278">
        <v>0</v>
      </c>
      <c r="T278">
        <v>4</v>
      </c>
      <c r="U278">
        <v>1</v>
      </c>
      <c r="V278">
        <v>16</v>
      </c>
      <c r="W278">
        <v>12</v>
      </c>
      <c r="X278">
        <v>0</v>
      </c>
      <c r="Y278">
        <v>5</v>
      </c>
      <c r="Z278">
        <v>1</v>
      </c>
      <c r="AA278" t="s">
        <v>2760</v>
      </c>
      <c r="AB278" s="24">
        <v>0.81041666666666667</v>
      </c>
      <c r="AC278" s="24">
        <v>0.70138888888888884</v>
      </c>
      <c r="AD278" s="24">
        <v>6.7361111111111108E-2</v>
      </c>
      <c r="AE278" s="24">
        <v>4.0972222222222222E-2</v>
      </c>
      <c r="AF278" t="s">
        <v>3732</v>
      </c>
      <c r="AG278" t="s">
        <v>4488</v>
      </c>
      <c r="AH278" t="s">
        <v>3344</v>
      </c>
      <c r="AI278" t="s">
        <v>4850</v>
      </c>
      <c r="AJ278" t="s">
        <v>4851</v>
      </c>
      <c r="AK278" t="s">
        <v>4852</v>
      </c>
      <c r="AL278" t="s">
        <v>3046</v>
      </c>
      <c r="AM278" t="s">
        <v>4853</v>
      </c>
      <c r="AN278" t="s">
        <v>4854</v>
      </c>
      <c r="AO278" t="s">
        <v>4855</v>
      </c>
      <c r="AP278" t="s">
        <v>4051</v>
      </c>
      <c r="AQ278" t="s">
        <v>2658</v>
      </c>
      <c r="AR278">
        <v>118</v>
      </c>
      <c r="AS278" t="s">
        <v>4856</v>
      </c>
      <c r="AT278">
        <v>65</v>
      </c>
      <c r="AU278">
        <v>102</v>
      </c>
      <c r="AV278">
        <v>0</v>
      </c>
      <c r="AW278">
        <v>0</v>
      </c>
      <c r="AX278" t="s">
        <v>2579</v>
      </c>
    </row>
    <row r="279" spans="1:50" x14ac:dyDescent="0.25">
      <c r="A279">
        <v>274</v>
      </c>
      <c r="B279" t="s">
        <v>3157</v>
      </c>
      <c r="C279" t="s">
        <v>464</v>
      </c>
      <c r="D279">
        <v>23</v>
      </c>
      <c r="E279" t="s">
        <v>2504</v>
      </c>
      <c r="F279">
        <v>80</v>
      </c>
      <c r="G279">
        <v>16</v>
      </c>
      <c r="H279">
        <v>11</v>
      </c>
      <c r="I279">
        <v>27</v>
      </c>
      <c r="J279">
        <v>26</v>
      </c>
      <c r="K279">
        <v>-13</v>
      </c>
      <c r="L279">
        <v>11</v>
      </c>
      <c r="M279">
        <v>5</v>
      </c>
      <c r="N279">
        <v>0</v>
      </c>
      <c r="O279">
        <v>6</v>
      </c>
      <c r="P279">
        <v>0</v>
      </c>
      <c r="Q279">
        <v>8</v>
      </c>
      <c r="R279">
        <v>3</v>
      </c>
      <c r="S279">
        <v>0</v>
      </c>
      <c r="T279">
        <v>0</v>
      </c>
      <c r="U279">
        <v>0</v>
      </c>
      <c r="V279">
        <v>19</v>
      </c>
      <c r="W279">
        <v>8</v>
      </c>
      <c r="X279">
        <v>0</v>
      </c>
      <c r="Y279">
        <v>6</v>
      </c>
      <c r="Z279">
        <v>0</v>
      </c>
      <c r="AA279" t="s">
        <v>3389</v>
      </c>
      <c r="AB279" s="24">
        <v>0.56736111111111109</v>
      </c>
      <c r="AC279" s="24">
        <v>0.50277777777777777</v>
      </c>
      <c r="AD279" s="24">
        <v>6.3888888888888884E-2</v>
      </c>
      <c r="AE279" s="24">
        <v>0</v>
      </c>
      <c r="AF279" t="s">
        <v>2667</v>
      </c>
      <c r="AG279" t="s">
        <v>3341</v>
      </c>
      <c r="AH279" t="s">
        <v>4857</v>
      </c>
      <c r="AI279" t="s">
        <v>2810</v>
      </c>
      <c r="AJ279" t="s">
        <v>4858</v>
      </c>
      <c r="AK279" t="s">
        <v>4767</v>
      </c>
      <c r="AL279" t="s">
        <v>4859</v>
      </c>
      <c r="AM279" t="s">
        <v>4860</v>
      </c>
      <c r="AN279" t="s">
        <v>4861</v>
      </c>
      <c r="AO279" t="s">
        <v>3981</v>
      </c>
      <c r="AP279" t="s">
        <v>4288</v>
      </c>
      <c r="AQ279" t="s">
        <v>2814</v>
      </c>
      <c r="AR279">
        <v>116</v>
      </c>
      <c r="AS279" t="s">
        <v>3360</v>
      </c>
      <c r="AT279">
        <v>64</v>
      </c>
      <c r="AU279">
        <v>37</v>
      </c>
      <c r="AV279">
        <v>2</v>
      </c>
      <c r="AW279">
        <v>5</v>
      </c>
      <c r="AX279" t="s">
        <v>4015</v>
      </c>
    </row>
    <row r="280" spans="1:50" x14ac:dyDescent="0.25">
      <c r="A280">
        <v>275</v>
      </c>
      <c r="B280" t="s">
        <v>3156</v>
      </c>
      <c r="C280" t="s">
        <v>151</v>
      </c>
      <c r="D280">
        <v>39</v>
      </c>
      <c r="E280" t="s">
        <v>2504</v>
      </c>
      <c r="F280">
        <v>80</v>
      </c>
      <c r="G280">
        <v>14</v>
      </c>
      <c r="H280">
        <v>13</v>
      </c>
      <c r="I280">
        <v>27</v>
      </c>
      <c r="J280">
        <v>70</v>
      </c>
      <c r="K280">
        <v>-30</v>
      </c>
      <c r="L280">
        <v>7</v>
      </c>
      <c r="M280">
        <v>7</v>
      </c>
      <c r="N280">
        <v>0</v>
      </c>
      <c r="O280">
        <v>4</v>
      </c>
      <c r="P280">
        <v>1</v>
      </c>
      <c r="Q280">
        <v>9</v>
      </c>
      <c r="R280">
        <v>4</v>
      </c>
      <c r="S280">
        <v>0</v>
      </c>
      <c r="T280">
        <v>1</v>
      </c>
      <c r="U280">
        <v>1</v>
      </c>
      <c r="V280">
        <v>16</v>
      </c>
      <c r="W280">
        <v>11</v>
      </c>
      <c r="X280">
        <v>0</v>
      </c>
      <c r="Y280">
        <v>5</v>
      </c>
      <c r="Z280">
        <v>2</v>
      </c>
      <c r="AA280" t="s">
        <v>2551</v>
      </c>
      <c r="AB280" s="24">
        <v>0.62986111111111109</v>
      </c>
      <c r="AC280" s="24">
        <v>0.53472222222222221</v>
      </c>
      <c r="AD280" s="24">
        <v>9.375E-2</v>
      </c>
      <c r="AE280" s="24">
        <v>6.9444444444444447E-4</v>
      </c>
      <c r="AF280" t="s">
        <v>3353</v>
      </c>
      <c r="AG280" t="s">
        <v>3771</v>
      </c>
      <c r="AH280" t="s">
        <v>4539</v>
      </c>
      <c r="AI280" t="s">
        <v>4862</v>
      </c>
      <c r="AJ280" t="s">
        <v>3510</v>
      </c>
      <c r="AK280" t="s">
        <v>4863</v>
      </c>
      <c r="AL280" t="s">
        <v>4079</v>
      </c>
      <c r="AM280" t="s">
        <v>3861</v>
      </c>
      <c r="AN280" t="s">
        <v>4864</v>
      </c>
      <c r="AO280" t="s">
        <v>3807</v>
      </c>
      <c r="AP280" t="s">
        <v>3094</v>
      </c>
      <c r="AQ280" t="s">
        <v>2814</v>
      </c>
      <c r="AR280">
        <v>153</v>
      </c>
      <c r="AS280" t="s">
        <v>3816</v>
      </c>
      <c r="AT280">
        <v>116</v>
      </c>
      <c r="AU280">
        <v>21</v>
      </c>
      <c r="AV280">
        <v>16</v>
      </c>
      <c r="AW280">
        <v>14</v>
      </c>
      <c r="AX280" t="s">
        <v>3258</v>
      </c>
    </row>
    <row r="281" spans="1:50" x14ac:dyDescent="0.25">
      <c r="A281">
        <v>276</v>
      </c>
      <c r="B281" t="s">
        <v>4973</v>
      </c>
      <c r="C281" t="s">
        <v>1903</v>
      </c>
      <c r="D281">
        <v>27</v>
      </c>
      <c r="E281" t="s">
        <v>2504</v>
      </c>
      <c r="F281">
        <v>60</v>
      </c>
      <c r="G281">
        <v>12</v>
      </c>
      <c r="H281">
        <v>15</v>
      </c>
      <c r="I281">
        <v>27</v>
      </c>
      <c r="J281">
        <v>115</v>
      </c>
      <c r="K281">
        <v>1</v>
      </c>
      <c r="L281">
        <v>12</v>
      </c>
      <c r="M281">
        <v>0</v>
      </c>
      <c r="N281">
        <v>0</v>
      </c>
      <c r="O281">
        <v>3</v>
      </c>
      <c r="P281">
        <v>0</v>
      </c>
      <c r="Q281">
        <v>12</v>
      </c>
      <c r="R281">
        <v>3</v>
      </c>
      <c r="S281">
        <v>0</v>
      </c>
      <c r="T281">
        <v>2</v>
      </c>
      <c r="U281">
        <v>0</v>
      </c>
      <c r="V281">
        <v>24</v>
      </c>
      <c r="W281">
        <v>3</v>
      </c>
      <c r="X281">
        <v>0</v>
      </c>
      <c r="Y281">
        <v>5</v>
      </c>
      <c r="Z281">
        <v>0</v>
      </c>
      <c r="AA281" t="s">
        <v>3973</v>
      </c>
      <c r="AB281" s="24">
        <v>0.64652777777777781</v>
      </c>
      <c r="AC281" s="24">
        <v>0.51527777777777783</v>
      </c>
      <c r="AD281" s="24">
        <v>4.7916666666666663E-2</v>
      </c>
      <c r="AE281" s="24">
        <v>8.1944444444444445E-2</v>
      </c>
      <c r="AF281" t="s">
        <v>3145</v>
      </c>
      <c r="AG281" t="s">
        <v>3701</v>
      </c>
      <c r="AH281" t="s">
        <v>4865</v>
      </c>
      <c r="AI281" t="s">
        <v>4866</v>
      </c>
      <c r="AJ281" t="s">
        <v>4866</v>
      </c>
      <c r="AK281" t="s">
        <v>4867</v>
      </c>
      <c r="AL281" t="s">
        <v>3830</v>
      </c>
      <c r="AM281" t="s">
        <v>4868</v>
      </c>
      <c r="AN281" t="s">
        <v>4868</v>
      </c>
      <c r="AO281" t="s">
        <v>3981</v>
      </c>
      <c r="AP281" t="s">
        <v>3036</v>
      </c>
      <c r="AQ281" t="s">
        <v>3781</v>
      </c>
      <c r="AR281">
        <v>82</v>
      </c>
      <c r="AS281" t="s">
        <v>2954</v>
      </c>
      <c r="AT281">
        <v>69</v>
      </c>
      <c r="AU281">
        <v>45</v>
      </c>
      <c r="AV281">
        <v>7</v>
      </c>
      <c r="AW281">
        <v>9</v>
      </c>
      <c r="AX281" t="s">
        <v>4869</v>
      </c>
    </row>
    <row r="282" spans="1:50" x14ac:dyDescent="0.25">
      <c r="A282">
        <v>277</v>
      </c>
      <c r="B282" t="s">
        <v>3156</v>
      </c>
      <c r="C282" t="s">
        <v>1904</v>
      </c>
      <c r="D282">
        <v>22</v>
      </c>
      <c r="E282" t="s">
        <v>1719</v>
      </c>
      <c r="F282">
        <v>76</v>
      </c>
      <c r="G282">
        <v>6</v>
      </c>
      <c r="H282">
        <v>21</v>
      </c>
      <c r="I282">
        <v>27</v>
      </c>
      <c r="J282">
        <v>21</v>
      </c>
      <c r="K282">
        <v>-20</v>
      </c>
      <c r="L282">
        <v>5</v>
      </c>
      <c r="M282">
        <v>1</v>
      </c>
      <c r="N282">
        <v>0</v>
      </c>
      <c r="O282">
        <v>1</v>
      </c>
      <c r="P282">
        <v>1</v>
      </c>
      <c r="Q282">
        <v>17</v>
      </c>
      <c r="R282">
        <v>4</v>
      </c>
      <c r="S282">
        <v>0</v>
      </c>
      <c r="T282">
        <v>2</v>
      </c>
      <c r="U282">
        <v>1</v>
      </c>
      <c r="V282">
        <v>22</v>
      </c>
      <c r="W282">
        <v>5</v>
      </c>
      <c r="X282">
        <v>0</v>
      </c>
      <c r="Y282">
        <v>3</v>
      </c>
      <c r="Z282">
        <v>2</v>
      </c>
      <c r="AA282" t="s">
        <v>4870</v>
      </c>
      <c r="AB282" s="24">
        <v>0.92291666666666661</v>
      </c>
      <c r="AC282" s="24">
        <v>0.77847222222222223</v>
      </c>
      <c r="AD282" s="24">
        <v>4.027777777777778E-2</v>
      </c>
      <c r="AE282" s="24">
        <v>9.7916666666666666E-2</v>
      </c>
      <c r="AF282" t="s">
        <v>4062</v>
      </c>
      <c r="AG282" t="s">
        <v>4740</v>
      </c>
      <c r="AH282" t="s">
        <v>4871</v>
      </c>
      <c r="AI282" t="s">
        <v>3651</v>
      </c>
      <c r="AJ282" t="s">
        <v>3606</v>
      </c>
      <c r="AK282" t="s">
        <v>4872</v>
      </c>
      <c r="AL282" t="s">
        <v>4329</v>
      </c>
      <c r="AM282" t="s">
        <v>4873</v>
      </c>
      <c r="AN282" t="s">
        <v>4472</v>
      </c>
      <c r="AO282" t="s">
        <v>4874</v>
      </c>
      <c r="AP282" t="s">
        <v>4086</v>
      </c>
      <c r="AQ282" t="s">
        <v>3579</v>
      </c>
      <c r="AR282">
        <v>171</v>
      </c>
      <c r="AS282" t="s">
        <v>4310</v>
      </c>
      <c r="AT282">
        <v>46</v>
      </c>
      <c r="AU282">
        <v>120</v>
      </c>
      <c r="AV282">
        <v>0</v>
      </c>
      <c r="AW282">
        <v>0</v>
      </c>
      <c r="AX282" t="s">
        <v>2579</v>
      </c>
    </row>
    <row r="283" spans="1:50" x14ac:dyDescent="0.25">
      <c r="A283">
        <v>278</v>
      </c>
      <c r="B283" t="s">
        <v>3156</v>
      </c>
      <c r="C283" t="s">
        <v>681</v>
      </c>
      <c r="D283">
        <v>40</v>
      </c>
      <c r="E283" t="s">
        <v>2504</v>
      </c>
      <c r="F283">
        <v>74</v>
      </c>
      <c r="G283">
        <v>6</v>
      </c>
      <c r="H283">
        <v>21</v>
      </c>
      <c r="I283">
        <v>27</v>
      </c>
      <c r="J283">
        <v>48</v>
      </c>
      <c r="K283">
        <v>-3</v>
      </c>
      <c r="L283">
        <v>3</v>
      </c>
      <c r="M283">
        <v>3</v>
      </c>
      <c r="N283">
        <v>0</v>
      </c>
      <c r="O283">
        <v>0</v>
      </c>
      <c r="P283">
        <v>0</v>
      </c>
      <c r="Q283">
        <v>19</v>
      </c>
      <c r="R283">
        <v>2</v>
      </c>
      <c r="S283">
        <v>0</v>
      </c>
      <c r="T283">
        <v>1</v>
      </c>
      <c r="U283">
        <v>0</v>
      </c>
      <c r="V283">
        <v>22</v>
      </c>
      <c r="W283">
        <v>5</v>
      </c>
      <c r="X283">
        <v>0</v>
      </c>
      <c r="Y283">
        <v>1</v>
      </c>
      <c r="Z283">
        <v>0</v>
      </c>
      <c r="AA283" t="s">
        <v>4870</v>
      </c>
      <c r="AB283" s="24">
        <v>0.62638888888888888</v>
      </c>
      <c r="AC283" s="24">
        <v>0.56111111111111112</v>
      </c>
      <c r="AD283" s="24">
        <v>6.5277777777777782E-2</v>
      </c>
      <c r="AE283" s="24">
        <v>0</v>
      </c>
      <c r="AF283" t="s">
        <v>4243</v>
      </c>
      <c r="AG283" t="s">
        <v>2894</v>
      </c>
      <c r="AH283" t="s">
        <v>3196</v>
      </c>
      <c r="AI283" t="s">
        <v>4688</v>
      </c>
      <c r="AJ283" t="s">
        <v>3111</v>
      </c>
      <c r="AK283" t="s">
        <v>3265</v>
      </c>
      <c r="AL283" t="s">
        <v>4875</v>
      </c>
      <c r="AM283" t="s">
        <v>4489</v>
      </c>
      <c r="AN283" t="s">
        <v>4876</v>
      </c>
      <c r="AO283" t="s">
        <v>4877</v>
      </c>
      <c r="AP283" t="s">
        <v>4352</v>
      </c>
      <c r="AQ283" t="s">
        <v>4878</v>
      </c>
      <c r="AR283">
        <v>144</v>
      </c>
      <c r="AS283" t="s">
        <v>4840</v>
      </c>
      <c r="AT283">
        <v>101</v>
      </c>
      <c r="AU283">
        <v>22</v>
      </c>
      <c r="AV283">
        <v>94</v>
      </c>
      <c r="AW283">
        <v>105</v>
      </c>
      <c r="AX283" t="s">
        <v>4879</v>
      </c>
    </row>
    <row r="284" spans="1:50" x14ac:dyDescent="0.25">
      <c r="A284">
        <v>279</v>
      </c>
      <c r="B284" t="s">
        <v>3167</v>
      </c>
      <c r="C284" t="s">
        <v>697</v>
      </c>
      <c r="D284">
        <v>39</v>
      </c>
      <c r="E284" t="s">
        <v>1719</v>
      </c>
      <c r="F284">
        <v>68</v>
      </c>
      <c r="G284">
        <v>6</v>
      </c>
      <c r="H284">
        <v>21</v>
      </c>
      <c r="I284">
        <v>27</v>
      </c>
      <c r="J284">
        <v>28</v>
      </c>
      <c r="K284">
        <v>-12</v>
      </c>
      <c r="L284">
        <v>5</v>
      </c>
      <c r="M284">
        <v>1</v>
      </c>
      <c r="N284">
        <v>0</v>
      </c>
      <c r="O284">
        <v>2</v>
      </c>
      <c r="P284">
        <v>0</v>
      </c>
      <c r="Q284">
        <v>9</v>
      </c>
      <c r="R284">
        <v>12</v>
      </c>
      <c r="S284">
        <v>0</v>
      </c>
      <c r="T284">
        <v>3</v>
      </c>
      <c r="U284">
        <v>0</v>
      </c>
      <c r="V284">
        <v>14</v>
      </c>
      <c r="W284">
        <v>13</v>
      </c>
      <c r="X284">
        <v>0</v>
      </c>
      <c r="Y284">
        <v>5</v>
      </c>
      <c r="Z284">
        <v>0</v>
      </c>
      <c r="AA284" t="s">
        <v>4880</v>
      </c>
      <c r="AB284" s="24">
        <v>0.78055555555555556</v>
      </c>
      <c r="AC284" s="24">
        <v>0.66111111111111109</v>
      </c>
      <c r="AD284" s="24">
        <v>9.5138888888888884E-2</v>
      </c>
      <c r="AE284" s="24">
        <v>2.2916666666666669E-2</v>
      </c>
      <c r="AF284" t="s">
        <v>4441</v>
      </c>
      <c r="AG284" t="s">
        <v>4076</v>
      </c>
      <c r="AH284" t="s">
        <v>4237</v>
      </c>
      <c r="AI284" t="s">
        <v>3316</v>
      </c>
      <c r="AJ284" t="s">
        <v>3013</v>
      </c>
      <c r="AK284" t="s">
        <v>3390</v>
      </c>
      <c r="AL284" t="s">
        <v>2914</v>
      </c>
      <c r="AM284" t="s">
        <v>4881</v>
      </c>
      <c r="AN284" t="s">
        <v>4882</v>
      </c>
      <c r="AO284" t="s">
        <v>4883</v>
      </c>
      <c r="AP284" t="s">
        <v>3926</v>
      </c>
      <c r="AQ284" t="s">
        <v>4373</v>
      </c>
      <c r="AR284">
        <v>114</v>
      </c>
      <c r="AS284" t="s">
        <v>4884</v>
      </c>
      <c r="AT284">
        <v>38</v>
      </c>
      <c r="AU284">
        <v>92</v>
      </c>
      <c r="AV284">
        <v>0</v>
      </c>
      <c r="AW284">
        <v>0</v>
      </c>
      <c r="AX284" t="s">
        <v>2579</v>
      </c>
    </row>
    <row r="285" spans="1:50" x14ac:dyDescent="0.25">
      <c r="A285">
        <v>280</v>
      </c>
      <c r="B285" t="s">
        <v>3162</v>
      </c>
      <c r="C285" t="s">
        <v>1905</v>
      </c>
      <c r="D285">
        <v>25</v>
      </c>
      <c r="E285" t="s">
        <v>2504</v>
      </c>
      <c r="F285">
        <v>72</v>
      </c>
      <c r="G285">
        <v>15</v>
      </c>
      <c r="H285">
        <v>11</v>
      </c>
      <c r="I285">
        <v>26</v>
      </c>
      <c r="J285">
        <v>28</v>
      </c>
      <c r="K285">
        <v>5</v>
      </c>
      <c r="L285">
        <v>14</v>
      </c>
      <c r="M285">
        <v>1</v>
      </c>
      <c r="N285">
        <v>0</v>
      </c>
      <c r="O285">
        <v>4</v>
      </c>
      <c r="P285">
        <v>0</v>
      </c>
      <c r="Q285">
        <v>11</v>
      </c>
      <c r="R285">
        <v>0</v>
      </c>
      <c r="S285">
        <v>0</v>
      </c>
      <c r="T285">
        <v>3</v>
      </c>
      <c r="U285">
        <v>1</v>
      </c>
      <c r="V285">
        <v>25</v>
      </c>
      <c r="W285">
        <v>1</v>
      </c>
      <c r="X285">
        <v>0</v>
      </c>
      <c r="Y285">
        <v>7</v>
      </c>
      <c r="Z285">
        <v>1</v>
      </c>
      <c r="AA285" t="s">
        <v>4485</v>
      </c>
      <c r="AB285" s="24">
        <v>0.57500000000000007</v>
      </c>
      <c r="AC285" s="24">
        <v>0.52222222222222225</v>
      </c>
      <c r="AD285" s="24">
        <v>8.3333333333333332E-3</v>
      </c>
      <c r="AE285" s="24">
        <v>4.4444444444444446E-2</v>
      </c>
      <c r="AF285" t="s">
        <v>3902</v>
      </c>
      <c r="AG285" t="s">
        <v>4093</v>
      </c>
      <c r="AH285" t="s">
        <v>4885</v>
      </c>
      <c r="AI285" t="s">
        <v>3429</v>
      </c>
      <c r="AJ285" t="s">
        <v>4107</v>
      </c>
      <c r="AK285" t="s">
        <v>3728</v>
      </c>
      <c r="AL285" t="s">
        <v>4886</v>
      </c>
      <c r="AM285" t="s">
        <v>3830</v>
      </c>
      <c r="AN285" t="s">
        <v>4886</v>
      </c>
      <c r="AO285" t="s">
        <v>4595</v>
      </c>
      <c r="AP285" t="s">
        <v>3989</v>
      </c>
      <c r="AQ285" t="s">
        <v>4847</v>
      </c>
      <c r="AR285">
        <v>134</v>
      </c>
      <c r="AS285" t="s">
        <v>3071</v>
      </c>
      <c r="AT285">
        <v>39</v>
      </c>
      <c r="AU285">
        <v>38</v>
      </c>
      <c r="AV285">
        <v>404</v>
      </c>
      <c r="AW285">
        <v>346</v>
      </c>
      <c r="AX285" t="s">
        <v>4887</v>
      </c>
    </row>
    <row r="286" spans="1:50" x14ac:dyDescent="0.25">
      <c r="A286">
        <v>281</v>
      </c>
      <c r="B286" t="s">
        <v>3156</v>
      </c>
      <c r="C286" t="s">
        <v>140</v>
      </c>
      <c r="D286">
        <v>20</v>
      </c>
      <c r="E286" t="s">
        <v>2504</v>
      </c>
      <c r="F286">
        <v>81</v>
      </c>
      <c r="G286">
        <v>13</v>
      </c>
      <c r="H286">
        <v>13</v>
      </c>
      <c r="I286">
        <v>26</v>
      </c>
      <c r="J286">
        <v>75</v>
      </c>
      <c r="K286">
        <v>-16</v>
      </c>
      <c r="L286">
        <v>9</v>
      </c>
      <c r="M286">
        <v>4</v>
      </c>
      <c r="N286">
        <v>0</v>
      </c>
      <c r="O286">
        <v>0</v>
      </c>
      <c r="P286">
        <v>0</v>
      </c>
      <c r="Q286">
        <v>12</v>
      </c>
      <c r="R286">
        <v>0</v>
      </c>
      <c r="S286">
        <v>1</v>
      </c>
      <c r="T286">
        <v>2</v>
      </c>
      <c r="U286">
        <v>0</v>
      </c>
      <c r="V286">
        <v>21</v>
      </c>
      <c r="W286">
        <v>4</v>
      </c>
      <c r="X286">
        <v>1</v>
      </c>
      <c r="Y286">
        <v>2</v>
      </c>
      <c r="Z286">
        <v>0</v>
      </c>
      <c r="AA286" t="s">
        <v>4888</v>
      </c>
      <c r="AB286" s="24">
        <v>0.62430555555555556</v>
      </c>
      <c r="AC286" s="24">
        <v>0.52569444444444446</v>
      </c>
      <c r="AD286" s="24">
        <v>5.1388888888888894E-2</v>
      </c>
      <c r="AE286" s="24">
        <v>4.5833333333333337E-2</v>
      </c>
      <c r="AF286" t="s">
        <v>4889</v>
      </c>
      <c r="AG286" t="s">
        <v>4889</v>
      </c>
      <c r="AH286" t="s">
        <v>2906</v>
      </c>
      <c r="AI286" t="s">
        <v>3733</v>
      </c>
      <c r="AJ286" t="s">
        <v>4835</v>
      </c>
      <c r="AK286" t="s">
        <v>4890</v>
      </c>
      <c r="AL286" t="s">
        <v>4891</v>
      </c>
      <c r="AM286" t="s">
        <v>3830</v>
      </c>
      <c r="AN286" t="s">
        <v>4891</v>
      </c>
      <c r="AO286" t="s">
        <v>3725</v>
      </c>
      <c r="AP286" t="s">
        <v>3725</v>
      </c>
      <c r="AQ286" t="s">
        <v>2803</v>
      </c>
      <c r="AR286">
        <v>122</v>
      </c>
      <c r="AS286" t="s">
        <v>3000</v>
      </c>
      <c r="AT286">
        <v>127</v>
      </c>
      <c r="AU286">
        <v>46</v>
      </c>
      <c r="AV286">
        <v>374</v>
      </c>
      <c r="AW286">
        <v>436</v>
      </c>
      <c r="AX286" t="s">
        <v>4892</v>
      </c>
    </row>
    <row r="287" spans="1:50" x14ac:dyDescent="0.25">
      <c r="A287">
        <v>282</v>
      </c>
      <c r="B287" t="s">
        <v>3163</v>
      </c>
      <c r="C287" t="s">
        <v>4893</v>
      </c>
      <c r="D287">
        <v>27</v>
      </c>
      <c r="E287" t="s">
        <v>2504</v>
      </c>
      <c r="F287">
        <v>81</v>
      </c>
      <c r="G287">
        <v>10</v>
      </c>
      <c r="H287">
        <v>16</v>
      </c>
      <c r="I287">
        <v>26</v>
      </c>
      <c r="J287">
        <v>10</v>
      </c>
      <c r="K287">
        <v>0</v>
      </c>
      <c r="L287">
        <v>9</v>
      </c>
      <c r="M287">
        <v>0</v>
      </c>
      <c r="N287">
        <v>1</v>
      </c>
      <c r="O287">
        <v>2</v>
      </c>
      <c r="P287">
        <v>0</v>
      </c>
      <c r="Q287">
        <v>15</v>
      </c>
      <c r="R287">
        <v>1</v>
      </c>
      <c r="S287">
        <v>0</v>
      </c>
      <c r="T287">
        <v>0</v>
      </c>
      <c r="U287">
        <v>0</v>
      </c>
      <c r="V287">
        <v>24</v>
      </c>
      <c r="W287">
        <v>1</v>
      </c>
      <c r="X287">
        <v>1</v>
      </c>
      <c r="Y287">
        <v>2</v>
      </c>
      <c r="Z287">
        <v>0</v>
      </c>
      <c r="AA287" t="s">
        <v>4485</v>
      </c>
      <c r="AB287" s="24">
        <v>0.59722222222222221</v>
      </c>
      <c r="AC287" s="24">
        <v>0.49513888888888885</v>
      </c>
      <c r="AD287" s="24">
        <v>6.3194444444444442E-2</v>
      </c>
      <c r="AE287" s="24">
        <v>3.4027777777777775E-2</v>
      </c>
      <c r="AF287" t="s">
        <v>4894</v>
      </c>
      <c r="AG287" t="s">
        <v>3581</v>
      </c>
      <c r="AH287" t="s">
        <v>2710</v>
      </c>
      <c r="AI287" t="s">
        <v>3820</v>
      </c>
      <c r="AJ287" t="s">
        <v>3214</v>
      </c>
      <c r="AK287" t="s">
        <v>4895</v>
      </c>
      <c r="AL287" t="s">
        <v>3830</v>
      </c>
      <c r="AM287" t="s">
        <v>4896</v>
      </c>
      <c r="AN287" t="s">
        <v>4896</v>
      </c>
      <c r="AO287" t="s">
        <v>4897</v>
      </c>
      <c r="AP287" t="s">
        <v>4284</v>
      </c>
      <c r="AQ287" t="s">
        <v>2803</v>
      </c>
      <c r="AR287">
        <v>122</v>
      </c>
      <c r="AS287" t="s">
        <v>4898</v>
      </c>
      <c r="AT287">
        <v>71</v>
      </c>
      <c r="AU287">
        <v>35</v>
      </c>
      <c r="AV287">
        <v>5</v>
      </c>
      <c r="AW287">
        <v>13</v>
      </c>
      <c r="AX287" t="s">
        <v>3107</v>
      </c>
    </row>
    <row r="288" spans="1:50" x14ac:dyDescent="0.25">
      <c r="A288">
        <v>283</v>
      </c>
      <c r="B288" t="s">
        <v>3156</v>
      </c>
      <c r="C288" t="s">
        <v>31</v>
      </c>
      <c r="D288">
        <v>23</v>
      </c>
      <c r="E288" t="s">
        <v>2504</v>
      </c>
      <c r="F288">
        <v>31</v>
      </c>
      <c r="G288">
        <v>10</v>
      </c>
      <c r="H288">
        <v>16</v>
      </c>
      <c r="I288">
        <v>26</v>
      </c>
      <c r="J288">
        <v>13</v>
      </c>
      <c r="K288">
        <v>-2</v>
      </c>
      <c r="L288">
        <v>7</v>
      </c>
      <c r="M288">
        <v>3</v>
      </c>
      <c r="N288">
        <v>0</v>
      </c>
      <c r="O288">
        <v>2</v>
      </c>
      <c r="P288">
        <v>1</v>
      </c>
      <c r="Q288">
        <v>12</v>
      </c>
      <c r="R288">
        <v>4</v>
      </c>
      <c r="S288">
        <v>0</v>
      </c>
      <c r="T288">
        <v>3</v>
      </c>
      <c r="U288">
        <v>0</v>
      </c>
      <c r="V288">
        <v>19</v>
      </c>
      <c r="W288">
        <v>7</v>
      </c>
      <c r="X288">
        <v>0</v>
      </c>
      <c r="Y288">
        <v>5</v>
      </c>
      <c r="Z288">
        <v>1</v>
      </c>
      <c r="AA288" t="s">
        <v>3525</v>
      </c>
      <c r="AB288" s="24">
        <v>0.74652777777777779</v>
      </c>
      <c r="AC288" s="24">
        <v>0.63680555555555551</v>
      </c>
      <c r="AD288" s="24">
        <v>0.10555555555555556</v>
      </c>
      <c r="AE288" s="24">
        <v>3.472222222222222E-3</v>
      </c>
      <c r="AF288" t="s">
        <v>4899</v>
      </c>
      <c r="AG288" t="s">
        <v>3686</v>
      </c>
      <c r="AH288" t="s">
        <v>4900</v>
      </c>
      <c r="AI288" t="s">
        <v>4399</v>
      </c>
      <c r="AJ288" t="s">
        <v>2957</v>
      </c>
      <c r="AK288" t="s">
        <v>4060</v>
      </c>
      <c r="AL288" t="s">
        <v>4901</v>
      </c>
      <c r="AM288" t="s">
        <v>4902</v>
      </c>
      <c r="AN288" t="s">
        <v>4903</v>
      </c>
      <c r="AO288" t="s">
        <v>4243</v>
      </c>
      <c r="AP288" t="s">
        <v>4894</v>
      </c>
      <c r="AQ288" t="s">
        <v>4490</v>
      </c>
      <c r="AR288">
        <v>86</v>
      </c>
      <c r="AS288" t="s">
        <v>2548</v>
      </c>
      <c r="AT288">
        <v>18</v>
      </c>
      <c r="AU288">
        <v>7</v>
      </c>
      <c r="AV288">
        <v>4</v>
      </c>
      <c r="AW288">
        <v>5</v>
      </c>
      <c r="AX288" t="s">
        <v>3433</v>
      </c>
    </row>
    <row r="289" spans="1:50" x14ac:dyDescent="0.25">
      <c r="A289">
        <v>284</v>
      </c>
      <c r="B289" t="s">
        <v>3156</v>
      </c>
      <c r="C289" t="s">
        <v>1909</v>
      </c>
      <c r="D289">
        <v>24</v>
      </c>
      <c r="E289" t="s">
        <v>2504</v>
      </c>
      <c r="F289">
        <v>78</v>
      </c>
      <c r="G289">
        <v>8</v>
      </c>
      <c r="H289">
        <v>18</v>
      </c>
      <c r="I289">
        <v>26</v>
      </c>
      <c r="J289">
        <v>32</v>
      </c>
      <c r="K289">
        <v>0</v>
      </c>
      <c r="L289">
        <v>8</v>
      </c>
      <c r="M289">
        <v>0</v>
      </c>
      <c r="N289">
        <v>0</v>
      </c>
      <c r="O289">
        <v>1</v>
      </c>
      <c r="P289">
        <v>0</v>
      </c>
      <c r="Q289">
        <v>18</v>
      </c>
      <c r="R289">
        <v>0</v>
      </c>
      <c r="S289">
        <v>0</v>
      </c>
      <c r="T289">
        <v>3</v>
      </c>
      <c r="U289">
        <v>0</v>
      </c>
      <c r="V289">
        <v>26</v>
      </c>
      <c r="W289">
        <v>0</v>
      </c>
      <c r="X289">
        <v>0</v>
      </c>
      <c r="Y289">
        <v>4</v>
      </c>
      <c r="Z289">
        <v>0</v>
      </c>
      <c r="AA289" t="s">
        <v>4202</v>
      </c>
      <c r="AB289" s="24">
        <v>0.45555555555555555</v>
      </c>
      <c r="AC289" s="24">
        <v>0.43888888888888888</v>
      </c>
      <c r="AD289" s="24">
        <v>1.4583333333333332E-2</v>
      </c>
      <c r="AE289" s="24">
        <v>1.3888888888888889E-3</v>
      </c>
      <c r="AF289" t="s">
        <v>4904</v>
      </c>
      <c r="AG289" t="s">
        <v>3942</v>
      </c>
      <c r="AH289" t="s">
        <v>4905</v>
      </c>
      <c r="AI289" t="s">
        <v>4111</v>
      </c>
      <c r="AJ289" t="s">
        <v>3051</v>
      </c>
      <c r="AK289" t="s">
        <v>3792</v>
      </c>
      <c r="AL289" t="s">
        <v>3830</v>
      </c>
      <c r="AM289" t="s">
        <v>3830</v>
      </c>
      <c r="AN289" t="s">
        <v>3830</v>
      </c>
      <c r="AO289" t="s">
        <v>4672</v>
      </c>
      <c r="AP289" t="s">
        <v>3335</v>
      </c>
      <c r="AQ289" t="s">
        <v>3408</v>
      </c>
      <c r="AR289">
        <v>127</v>
      </c>
      <c r="AS289" t="s">
        <v>4303</v>
      </c>
      <c r="AT289">
        <v>167</v>
      </c>
      <c r="AU289">
        <v>31</v>
      </c>
      <c r="AV289">
        <v>3</v>
      </c>
      <c r="AW289">
        <v>0</v>
      </c>
      <c r="AX289" t="s">
        <v>3783</v>
      </c>
    </row>
    <row r="290" spans="1:50" x14ac:dyDescent="0.25">
      <c r="A290">
        <v>285</v>
      </c>
      <c r="B290" t="s">
        <v>3157</v>
      </c>
      <c r="C290" t="s">
        <v>1906</v>
      </c>
      <c r="D290">
        <v>27</v>
      </c>
      <c r="E290" t="s">
        <v>1719</v>
      </c>
      <c r="F290">
        <v>81</v>
      </c>
      <c r="G290">
        <v>5</v>
      </c>
      <c r="H290">
        <v>21</v>
      </c>
      <c r="I290">
        <v>26</v>
      </c>
      <c r="J290">
        <v>72</v>
      </c>
      <c r="K290">
        <v>26</v>
      </c>
      <c r="L290">
        <v>5</v>
      </c>
      <c r="M290">
        <v>0</v>
      </c>
      <c r="N290">
        <v>0</v>
      </c>
      <c r="O290">
        <v>1</v>
      </c>
      <c r="P290">
        <v>0</v>
      </c>
      <c r="Q290">
        <v>20</v>
      </c>
      <c r="R290">
        <v>1</v>
      </c>
      <c r="S290">
        <v>0</v>
      </c>
      <c r="T290">
        <v>4</v>
      </c>
      <c r="U290">
        <v>0</v>
      </c>
      <c r="V290">
        <v>25</v>
      </c>
      <c r="W290">
        <v>1</v>
      </c>
      <c r="X290">
        <v>0</v>
      </c>
      <c r="Y290">
        <v>5</v>
      </c>
      <c r="Z290">
        <v>0</v>
      </c>
      <c r="AA290" t="s">
        <v>4485</v>
      </c>
      <c r="AB290" s="24">
        <v>0.8256944444444444</v>
      </c>
      <c r="AC290" s="24">
        <v>0.72013888888888899</v>
      </c>
      <c r="AD290" s="24">
        <v>3.472222222222222E-3</v>
      </c>
      <c r="AE290" s="24">
        <v>0.10069444444444443</v>
      </c>
      <c r="AF290" t="s">
        <v>3996</v>
      </c>
      <c r="AG290" t="s">
        <v>3496</v>
      </c>
      <c r="AH290" t="s">
        <v>3685</v>
      </c>
      <c r="AI290" t="s">
        <v>4062</v>
      </c>
      <c r="AJ290" t="s">
        <v>4383</v>
      </c>
      <c r="AK290" t="s">
        <v>3922</v>
      </c>
      <c r="AL290" t="s">
        <v>3830</v>
      </c>
      <c r="AM290" t="s">
        <v>4906</v>
      </c>
      <c r="AN290" t="s">
        <v>4906</v>
      </c>
      <c r="AO290" t="s">
        <v>4907</v>
      </c>
      <c r="AP290" t="s">
        <v>4071</v>
      </c>
      <c r="AQ290" t="s">
        <v>2803</v>
      </c>
      <c r="AR290">
        <v>89</v>
      </c>
      <c r="AS290" t="s">
        <v>4908</v>
      </c>
      <c r="AT290">
        <v>164</v>
      </c>
      <c r="AU290">
        <v>194</v>
      </c>
      <c r="AV290">
        <v>0</v>
      </c>
      <c r="AW290">
        <v>0</v>
      </c>
      <c r="AX290" t="s">
        <v>2579</v>
      </c>
    </row>
    <row r="291" spans="1:50" x14ac:dyDescent="0.25">
      <c r="A291">
        <v>286</v>
      </c>
      <c r="B291" t="s">
        <v>3157</v>
      </c>
      <c r="C291" t="s">
        <v>1908</v>
      </c>
      <c r="D291">
        <v>35</v>
      </c>
      <c r="E291" t="s">
        <v>1719</v>
      </c>
      <c r="F291">
        <v>81</v>
      </c>
      <c r="G291">
        <v>4</v>
      </c>
      <c r="H291">
        <v>22</v>
      </c>
      <c r="I291">
        <v>26</v>
      </c>
      <c r="J291">
        <v>20</v>
      </c>
      <c r="K291">
        <v>10</v>
      </c>
      <c r="L291">
        <v>4</v>
      </c>
      <c r="M291">
        <v>0</v>
      </c>
      <c r="N291">
        <v>0</v>
      </c>
      <c r="O291">
        <v>1</v>
      </c>
      <c r="P291">
        <v>0</v>
      </c>
      <c r="Q291">
        <v>22</v>
      </c>
      <c r="R291">
        <v>0</v>
      </c>
      <c r="S291">
        <v>0</v>
      </c>
      <c r="T291">
        <v>2</v>
      </c>
      <c r="U291">
        <v>0</v>
      </c>
      <c r="V291">
        <v>26</v>
      </c>
      <c r="W291">
        <v>0</v>
      </c>
      <c r="X291">
        <v>0</v>
      </c>
      <c r="Y291">
        <v>3</v>
      </c>
      <c r="Z291">
        <v>0</v>
      </c>
      <c r="AA291" t="s">
        <v>4202</v>
      </c>
      <c r="AB291" s="24">
        <v>0.79999999999999993</v>
      </c>
      <c r="AC291" s="24">
        <v>0.7104166666666667</v>
      </c>
      <c r="AD291" s="24">
        <v>6.9444444444444441E-3</v>
      </c>
      <c r="AE291" s="24">
        <v>7.6388888888888895E-2</v>
      </c>
      <c r="AF291" t="s">
        <v>3662</v>
      </c>
      <c r="AG291" t="s">
        <v>3540</v>
      </c>
      <c r="AH291" t="s">
        <v>4909</v>
      </c>
      <c r="AI291" t="s">
        <v>4910</v>
      </c>
      <c r="AJ291" t="s">
        <v>4633</v>
      </c>
      <c r="AK291" t="s">
        <v>2867</v>
      </c>
      <c r="AL291" t="s">
        <v>3830</v>
      </c>
      <c r="AM291" t="s">
        <v>3830</v>
      </c>
      <c r="AN291" t="s">
        <v>3830</v>
      </c>
      <c r="AO291" t="s">
        <v>4484</v>
      </c>
      <c r="AP291" t="s">
        <v>2998</v>
      </c>
      <c r="AQ291" t="s">
        <v>2803</v>
      </c>
      <c r="AR291">
        <v>57</v>
      </c>
      <c r="AS291" t="s">
        <v>3190</v>
      </c>
      <c r="AT291">
        <v>41</v>
      </c>
      <c r="AU291">
        <v>124</v>
      </c>
      <c r="AV291">
        <v>0</v>
      </c>
      <c r="AW291">
        <v>0</v>
      </c>
      <c r="AX291" t="s">
        <v>2579</v>
      </c>
    </row>
    <row r="292" spans="1:50" x14ac:dyDescent="0.25">
      <c r="A292">
        <v>287</v>
      </c>
      <c r="B292" t="s">
        <v>3156</v>
      </c>
      <c r="C292" t="s">
        <v>4911</v>
      </c>
      <c r="D292">
        <v>24</v>
      </c>
      <c r="E292" t="s">
        <v>2504</v>
      </c>
      <c r="F292">
        <v>76</v>
      </c>
      <c r="G292">
        <v>15</v>
      </c>
      <c r="H292">
        <v>10</v>
      </c>
      <c r="I292">
        <v>25</v>
      </c>
      <c r="J292">
        <v>50</v>
      </c>
      <c r="K292">
        <v>-1</v>
      </c>
      <c r="L292">
        <v>13</v>
      </c>
      <c r="M292">
        <v>2</v>
      </c>
      <c r="N292">
        <v>0</v>
      </c>
      <c r="O292">
        <v>1</v>
      </c>
      <c r="P292">
        <v>0</v>
      </c>
      <c r="Q292">
        <v>8</v>
      </c>
      <c r="R292">
        <v>2</v>
      </c>
      <c r="S292">
        <v>0</v>
      </c>
      <c r="T292">
        <v>3</v>
      </c>
      <c r="U292">
        <v>0</v>
      </c>
      <c r="V292">
        <v>21</v>
      </c>
      <c r="W292">
        <v>4</v>
      </c>
      <c r="X292">
        <v>0</v>
      </c>
      <c r="Y292">
        <v>4</v>
      </c>
      <c r="Z292">
        <v>0</v>
      </c>
      <c r="AA292" t="s">
        <v>4912</v>
      </c>
      <c r="AB292" s="24">
        <v>0.48125000000000001</v>
      </c>
      <c r="AC292" s="24">
        <v>0.4604166666666667</v>
      </c>
      <c r="AD292" s="24">
        <v>1.8749999999999999E-2</v>
      </c>
      <c r="AE292" s="24">
        <v>1.3888888888888889E-3</v>
      </c>
      <c r="AF292" t="s">
        <v>2969</v>
      </c>
      <c r="AG292" t="s">
        <v>2810</v>
      </c>
      <c r="AH292" t="s">
        <v>2883</v>
      </c>
      <c r="AI292" t="s">
        <v>4212</v>
      </c>
      <c r="AJ292" t="s">
        <v>4913</v>
      </c>
      <c r="AK292" t="s">
        <v>4914</v>
      </c>
      <c r="AL292" t="s">
        <v>4915</v>
      </c>
      <c r="AM292" t="s">
        <v>4915</v>
      </c>
      <c r="AN292" t="s">
        <v>4916</v>
      </c>
      <c r="AO292" t="s">
        <v>4917</v>
      </c>
      <c r="AP292" t="s">
        <v>4368</v>
      </c>
      <c r="AQ292" t="s">
        <v>2939</v>
      </c>
      <c r="AR292">
        <v>106</v>
      </c>
      <c r="AS292" t="s">
        <v>2564</v>
      </c>
      <c r="AT292">
        <v>149</v>
      </c>
      <c r="AU292">
        <v>26</v>
      </c>
      <c r="AV292">
        <v>3</v>
      </c>
      <c r="AW292">
        <v>4</v>
      </c>
      <c r="AX292" t="s">
        <v>4918</v>
      </c>
    </row>
    <row r="293" spans="1:50" x14ac:dyDescent="0.25">
      <c r="A293">
        <v>288</v>
      </c>
      <c r="B293" t="s">
        <v>3157</v>
      </c>
      <c r="C293" t="s">
        <v>1923</v>
      </c>
      <c r="D293">
        <v>32</v>
      </c>
      <c r="E293" t="s">
        <v>2504</v>
      </c>
      <c r="F293">
        <v>75</v>
      </c>
      <c r="G293">
        <v>13</v>
      </c>
      <c r="H293">
        <v>12</v>
      </c>
      <c r="I293">
        <v>25</v>
      </c>
      <c r="J293">
        <v>66</v>
      </c>
      <c r="K293">
        <v>3</v>
      </c>
      <c r="L293">
        <v>10</v>
      </c>
      <c r="M293">
        <v>3</v>
      </c>
      <c r="N293">
        <v>0</v>
      </c>
      <c r="O293">
        <v>2</v>
      </c>
      <c r="P293">
        <v>0</v>
      </c>
      <c r="Q293">
        <v>9</v>
      </c>
      <c r="R293">
        <v>3</v>
      </c>
      <c r="S293">
        <v>0</v>
      </c>
      <c r="T293">
        <v>1</v>
      </c>
      <c r="U293">
        <v>0</v>
      </c>
      <c r="V293">
        <v>19</v>
      </c>
      <c r="W293">
        <v>6</v>
      </c>
      <c r="X293">
        <v>0</v>
      </c>
      <c r="Y293">
        <v>3</v>
      </c>
      <c r="Z293">
        <v>0</v>
      </c>
      <c r="AA293" t="s">
        <v>4919</v>
      </c>
      <c r="AB293" s="24">
        <v>0.54236111111111118</v>
      </c>
      <c r="AC293" s="24">
        <v>0.45347222222222222</v>
      </c>
      <c r="AD293" s="24">
        <v>4.7916666666666663E-2</v>
      </c>
      <c r="AE293" s="24">
        <v>4.5138888888888888E-2</v>
      </c>
      <c r="AF293" t="s">
        <v>3612</v>
      </c>
      <c r="AG293" t="s">
        <v>4669</v>
      </c>
      <c r="AH293" t="s">
        <v>4775</v>
      </c>
      <c r="AI293" t="s">
        <v>3717</v>
      </c>
      <c r="AJ293" t="s">
        <v>4300</v>
      </c>
      <c r="AK293" t="s">
        <v>4694</v>
      </c>
      <c r="AL293" t="s">
        <v>3136</v>
      </c>
      <c r="AM293" t="s">
        <v>3136</v>
      </c>
      <c r="AN293" t="s">
        <v>4920</v>
      </c>
      <c r="AO293" t="s">
        <v>4264</v>
      </c>
      <c r="AP293" t="s">
        <v>3725</v>
      </c>
      <c r="AQ293" t="s">
        <v>3408</v>
      </c>
      <c r="AR293">
        <v>131</v>
      </c>
      <c r="AS293" t="s">
        <v>3039</v>
      </c>
      <c r="AT293">
        <v>115</v>
      </c>
      <c r="AU293">
        <v>41</v>
      </c>
      <c r="AV293">
        <v>303</v>
      </c>
      <c r="AW293">
        <v>278</v>
      </c>
      <c r="AX293" t="s">
        <v>4921</v>
      </c>
    </row>
    <row r="294" spans="1:50" x14ac:dyDescent="0.25">
      <c r="A294">
        <v>289</v>
      </c>
      <c r="B294" t="s">
        <v>3156</v>
      </c>
      <c r="C294" t="s">
        <v>1922</v>
      </c>
      <c r="D294">
        <v>31</v>
      </c>
      <c r="E294" t="s">
        <v>2504</v>
      </c>
      <c r="F294">
        <v>74</v>
      </c>
      <c r="G294">
        <v>13</v>
      </c>
      <c r="H294">
        <v>12</v>
      </c>
      <c r="I294">
        <v>25</v>
      </c>
      <c r="J294">
        <v>31</v>
      </c>
      <c r="K294">
        <v>-11</v>
      </c>
      <c r="L294">
        <v>7</v>
      </c>
      <c r="M294">
        <v>5</v>
      </c>
      <c r="N294">
        <v>1</v>
      </c>
      <c r="O294">
        <v>2</v>
      </c>
      <c r="P294">
        <v>0</v>
      </c>
      <c r="Q294">
        <v>5</v>
      </c>
      <c r="R294">
        <v>6</v>
      </c>
      <c r="S294">
        <v>1</v>
      </c>
      <c r="T294">
        <v>2</v>
      </c>
      <c r="U294">
        <v>0</v>
      </c>
      <c r="V294">
        <v>12</v>
      </c>
      <c r="W294">
        <v>11</v>
      </c>
      <c r="X294">
        <v>2</v>
      </c>
      <c r="Y294">
        <v>4</v>
      </c>
      <c r="Z294">
        <v>0</v>
      </c>
      <c r="AA294" t="s">
        <v>4922</v>
      </c>
      <c r="AB294" s="24">
        <v>0.67569444444444438</v>
      </c>
      <c r="AC294" s="24">
        <v>0.51111111111111118</v>
      </c>
      <c r="AD294" s="24">
        <v>9.9999999999999992E-2</v>
      </c>
      <c r="AE294" s="24">
        <v>6.3888888888888884E-2</v>
      </c>
      <c r="AF294" t="s">
        <v>3585</v>
      </c>
      <c r="AG294" t="s">
        <v>2531</v>
      </c>
      <c r="AH294" t="s">
        <v>4923</v>
      </c>
      <c r="AI294" t="s">
        <v>3324</v>
      </c>
      <c r="AJ294" t="s">
        <v>4419</v>
      </c>
      <c r="AK294" t="s">
        <v>2901</v>
      </c>
      <c r="AL294" t="s">
        <v>3075</v>
      </c>
      <c r="AM294" t="s">
        <v>4924</v>
      </c>
      <c r="AN294" t="s">
        <v>2897</v>
      </c>
      <c r="AO294" t="s">
        <v>3516</v>
      </c>
      <c r="AP294" t="s">
        <v>4925</v>
      </c>
      <c r="AQ294" t="s">
        <v>2814</v>
      </c>
      <c r="AR294">
        <v>86</v>
      </c>
      <c r="AS294" t="s">
        <v>3409</v>
      </c>
      <c r="AT294">
        <v>171</v>
      </c>
      <c r="AU294">
        <v>39</v>
      </c>
      <c r="AV294">
        <v>20</v>
      </c>
      <c r="AW294">
        <v>44</v>
      </c>
      <c r="AX294" t="s">
        <v>4926</v>
      </c>
    </row>
    <row r="295" spans="1:50" x14ac:dyDescent="0.25">
      <c r="A295">
        <v>290</v>
      </c>
      <c r="B295" t="s">
        <v>3157</v>
      </c>
      <c r="C295" t="s">
        <v>73</v>
      </c>
      <c r="D295">
        <v>29</v>
      </c>
      <c r="E295" t="s">
        <v>2504</v>
      </c>
      <c r="F295">
        <v>62</v>
      </c>
      <c r="G295">
        <v>13</v>
      </c>
      <c r="H295">
        <v>12</v>
      </c>
      <c r="I295">
        <v>25</v>
      </c>
      <c r="J295">
        <v>24</v>
      </c>
      <c r="K295">
        <v>-3</v>
      </c>
      <c r="L295">
        <v>11</v>
      </c>
      <c r="M295">
        <v>2</v>
      </c>
      <c r="N295">
        <v>0</v>
      </c>
      <c r="O295">
        <v>0</v>
      </c>
      <c r="P295">
        <v>0</v>
      </c>
      <c r="Q295">
        <v>9</v>
      </c>
      <c r="R295">
        <v>3</v>
      </c>
      <c r="S295">
        <v>0</v>
      </c>
      <c r="T295">
        <v>2</v>
      </c>
      <c r="U295">
        <v>0</v>
      </c>
      <c r="V295">
        <v>20</v>
      </c>
      <c r="W295">
        <v>5</v>
      </c>
      <c r="X295">
        <v>0</v>
      </c>
      <c r="Y295">
        <v>2</v>
      </c>
      <c r="Z295">
        <v>0</v>
      </c>
      <c r="AA295" t="s">
        <v>2605</v>
      </c>
      <c r="AB295" s="24">
        <v>0.64722222222222225</v>
      </c>
      <c r="AC295" s="24">
        <v>0.54652777777777783</v>
      </c>
      <c r="AD295" s="24">
        <v>9.9999999999999992E-2</v>
      </c>
      <c r="AE295" s="24">
        <v>6.9444444444444447E-4</v>
      </c>
      <c r="AF295" t="s">
        <v>3371</v>
      </c>
      <c r="AG295" t="s">
        <v>3354</v>
      </c>
      <c r="AH295" t="s">
        <v>4927</v>
      </c>
      <c r="AI295" t="s">
        <v>3029</v>
      </c>
      <c r="AJ295" t="s">
        <v>4093</v>
      </c>
      <c r="AK295" t="s">
        <v>2933</v>
      </c>
      <c r="AL295" t="s">
        <v>2873</v>
      </c>
      <c r="AM295" t="s">
        <v>3907</v>
      </c>
      <c r="AN295" t="s">
        <v>3755</v>
      </c>
      <c r="AO295" t="s">
        <v>3347</v>
      </c>
      <c r="AP295" t="s">
        <v>4456</v>
      </c>
      <c r="AQ295" t="s">
        <v>4928</v>
      </c>
      <c r="AR295">
        <v>111</v>
      </c>
      <c r="AS295" t="s">
        <v>4559</v>
      </c>
      <c r="AT295">
        <v>109</v>
      </c>
      <c r="AU295">
        <v>36</v>
      </c>
      <c r="AV295">
        <v>6</v>
      </c>
      <c r="AW295">
        <v>3</v>
      </c>
      <c r="AX295" t="s">
        <v>2759</v>
      </c>
    </row>
    <row r="296" spans="1:50" x14ac:dyDescent="0.25">
      <c r="A296">
        <v>291</v>
      </c>
      <c r="B296" t="s">
        <v>3163</v>
      </c>
      <c r="C296" t="s">
        <v>1915</v>
      </c>
      <c r="D296">
        <v>27</v>
      </c>
      <c r="E296" t="s">
        <v>2504</v>
      </c>
      <c r="F296">
        <v>81</v>
      </c>
      <c r="G296">
        <v>12</v>
      </c>
      <c r="H296">
        <v>13</v>
      </c>
      <c r="I296">
        <v>25</v>
      </c>
      <c r="J296">
        <v>36</v>
      </c>
      <c r="K296">
        <v>15</v>
      </c>
      <c r="L296">
        <v>11</v>
      </c>
      <c r="M296">
        <v>0</v>
      </c>
      <c r="N296">
        <v>1</v>
      </c>
      <c r="O296">
        <v>2</v>
      </c>
      <c r="P296">
        <v>0</v>
      </c>
      <c r="Q296">
        <v>12</v>
      </c>
      <c r="R296">
        <v>1</v>
      </c>
      <c r="S296">
        <v>0</v>
      </c>
      <c r="T296">
        <v>1</v>
      </c>
      <c r="U296">
        <v>0</v>
      </c>
      <c r="V296">
        <v>23</v>
      </c>
      <c r="W296">
        <v>1</v>
      </c>
      <c r="X296">
        <v>1</v>
      </c>
      <c r="Y296">
        <v>3</v>
      </c>
      <c r="Z296">
        <v>0</v>
      </c>
      <c r="AA296" t="s">
        <v>4929</v>
      </c>
      <c r="AB296" s="24">
        <v>0.57847222222222217</v>
      </c>
      <c r="AC296" s="24">
        <v>0.48055555555555557</v>
      </c>
      <c r="AD296" s="24">
        <v>6.9444444444444441E-3</v>
      </c>
      <c r="AE296" s="24">
        <v>8.9583333333333334E-2</v>
      </c>
      <c r="AF296" t="s">
        <v>4930</v>
      </c>
      <c r="AG296" t="s">
        <v>3577</v>
      </c>
      <c r="AH296" t="s">
        <v>4931</v>
      </c>
      <c r="AI296" t="s">
        <v>3800</v>
      </c>
      <c r="AJ296" t="s">
        <v>4852</v>
      </c>
      <c r="AK296" t="s">
        <v>2933</v>
      </c>
      <c r="AL296" t="s">
        <v>3830</v>
      </c>
      <c r="AM296" t="s">
        <v>4932</v>
      </c>
      <c r="AN296" t="s">
        <v>4932</v>
      </c>
      <c r="AO296" t="s">
        <v>4272</v>
      </c>
      <c r="AP296" t="s">
        <v>3725</v>
      </c>
      <c r="AQ296" t="s">
        <v>3926</v>
      </c>
      <c r="AR296">
        <v>115</v>
      </c>
      <c r="AS296" t="s">
        <v>4191</v>
      </c>
      <c r="AT296">
        <v>71</v>
      </c>
      <c r="AU296">
        <v>30</v>
      </c>
      <c r="AV296">
        <v>415</v>
      </c>
      <c r="AW296">
        <v>467</v>
      </c>
      <c r="AX296" t="s">
        <v>4933</v>
      </c>
    </row>
    <row r="297" spans="1:50" x14ac:dyDescent="0.25">
      <c r="A297">
        <v>292</v>
      </c>
      <c r="B297" t="s">
        <v>3156</v>
      </c>
      <c r="C297" t="s">
        <v>1914</v>
      </c>
      <c r="D297">
        <v>31</v>
      </c>
      <c r="E297" t="s">
        <v>2504</v>
      </c>
      <c r="F297">
        <v>72</v>
      </c>
      <c r="G297">
        <v>12</v>
      </c>
      <c r="H297">
        <v>13</v>
      </c>
      <c r="I297">
        <v>25</v>
      </c>
      <c r="J297">
        <v>49</v>
      </c>
      <c r="K297">
        <v>15</v>
      </c>
      <c r="L297">
        <v>10</v>
      </c>
      <c r="M297">
        <v>0</v>
      </c>
      <c r="N297">
        <v>2</v>
      </c>
      <c r="O297">
        <v>3</v>
      </c>
      <c r="P297">
        <v>0</v>
      </c>
      <c r="Q297">
        <v>13</v>
      </c>
      <c r="R297">
        <v>0</v>
      </c>
      <c r="S297">
        <v>0</v>
      </c>
      <c r="T297">
        <v>1</v>
      </c>
      <c r="U297">
        <v>0</v>
      </c>
      <c r="V297">
        <v>23</v>
      </c>
      <c r="W297">
        <v>0</v>
      </c>
      <c r="X297">
        <v>2</v>
      </c>
      <c r="Y297">
        <v>4</v>
      </c>
      <c r="Z297">
        <v>0</v>
      </c>
      <c r="AA297" t="s">
        <v>4202</v>
      </c>
      <c r="AB297" s="24">
        <v>0.53749999999999998</v>
      </c>
      <c r="AC297" s="24">
        <v>0.43055555555555558</v>
      </c>
      <c r="AD297" s="24">
        <v>1.3888888888888889E-3</v>
      </c>
      <c r="AE297" s="24">
        <v>0.10486111111111111</v>
      </c>
      <c r="AF297" t="s">
        <v>3253</v>
      </c>
      <c r="AG297" t="s">
        <v>4490</v>
      </c>
      <c r="AH297" t="s">
        <v>3740</v>
      </c>
      <c r="AI297" t="s">
        <v>3153</v>
      </c>
      <c r="AJ297" t="s">
        <v>3978</v>
      </c>
      <c r="AK297" t="s">
        <v>4934</v>
      </c>
      <c r="AL297" t="s">
        <v>3830</v>
      </c>
      <c r="AM297" t="s">
        <v>3830</v>
      </c>
      <c r="AN297" t="s">
        <v>3830</v>
      </c>
      <c r="AO297" t="s">
        <v>3732</v>
      </c>
      <c r="AP297" t="s">
        <v>4688</v>
      </c>
      <c r="AQ297" t="s">
        <v>4935</v>
      </c>
      <c r="AR297">
        <v>82</v>
      </c>
      <c r="AS297" t="s">
        <v>2954</v>
      </c>
      <c r="AT297">
        <v>25</v>
      </c>
      <c r="AU297">
        <v>34</v>
      </c>
      <c r="AV297">
        <v>9</v>
      </c>
      <c r="AW297">
        <v>12</v>
      </c>
      <c r="AX297" t="s">
        <v>4918</v>
      </c>
    </row>
    <row r="298" spans="1:50" x14ac:dyDescent="0.25">
      <c r="A298">
        <v>293</v>
      </c>
      <c r="B298" t="s">
        <v>3156</v>
      </c>
      <c r="C298" t="s">
        <v>1911</v>
      </c>
      <c r="D298">
        <v>36</v>
      </c>
      <c r="E298" t="s">
        <v>2504</v>
      </c>
      <c r="F298">
        <v>82</v>
      </c>
      <c r="G298">
        <v>11</v>
      </c>
      <c r="H298">
        <v>14</v>
      </c>
      <c r="I298">
        <v>25</v>
      </c>
      <c r="J298">
        <v>44</v>
      </c>
      <c r="K298">
        <v>2</v>
      </c>
      <c r="L298">
        <v>8</v>
      </c>
      <c r="M298">
        <v>0</v>
      </c>
      <c r="N298">
        <v>3</v>
      </c>
      <c r="O298">
        <v>1</v>
      </c>
      <c r="P298">
        <v>0</v>
      </c>
      <c r="Q298">
        <v>13</v>
      </c>
      <c r="R298">
        <v>0</v>
      </c>
      <c r="S298">
        <v>1</v>
      </c>
      <c r="T298">
        <v>4</v>
      </c>
      <c r="U298">
        <v>0</v>
      </c>
      <c r="V298">
        <v>21</v>
      </c>
      <c r="W298">
        <v>0</v>
      </c>
      <c r="X298">
        <v>4</v>
      </c>
      <c r="Y298">
        <v>5</v>
      </c>
      <c r="Z298">
        <v>0</v>
      </c>
      <c r="AA298" t="s">
        <v>4202</v>
      </c>
      <c r="AB298" s="24">
        <v>0.53888888888888886</v>
      </c>
      <c r="AC298" s="24">
        <v>0.45069444444444445</v>
      </c>
      <c r="AD298" s="24">
        <v>9.0277777777777787E-3</v>
      </c>
      <c r="AE298" s="24">
        <v>8.1250000000000003E-2</v>
      </c>
      <c r="AF298" t="s">
        <v>2845</v>
      </c>
      <c r="AG298" t="s">
        <v>4936</v>
      </c>
      <c r="AH298" t="s">
        <v>2966</v>
      </c>
      <c r="AI298" t="s">
        <v>3376</v>
      </c>
      <c r="AJ298" t="s">
        <v>2716</v>
      </c>
      <c r="AK298" t="s">
        <v>3435</v>
      </c>
      <c r="AL298" t="s">
        <v>3830</v>
      </c>
      <c r="AM298" t="s">
        <v>3830</v>
      </c>
      <c r="AN298" t="s">
        <v>3830</v>
      </c>
      <c r="AO298" t="s">
        <v>4247</v>
      </c>
      <c r="AP298" t="s">
        <v>3049</v>
      </c>
      <c r="AQ298" t="s">
        <v>2926</v>
      </c>
      <c r="AR298">
        <v>96</v>
      </c>
      <c r="AS298" t="s">
        <v>3482</v>
      </c>
      <c r="AT298">
        <v>63</v>
      </c>
      <c r="AU298">
        <v>42</v>
      </c>
      <c r="AV298">
        <v>357</v>
      </c>
      <c r="AW298">
        <v>297</v>
      </c>
      <c r="AX298" t="s">
        <v>4937</v>
      </c>
    </row>
    <row r="299" spans="1:50" x14ac:dyDescent="0.25">
      <c r="A299">
        <v>294</v>
      </c>
      <c r="B299" t="s">
        <v>3156</v>
      </c>
      <c r="C299" t="s">
        <v>1920</v>
      </c>
      <c r="D299">
        <v>24</v>
      </c>
      <c r="E299" t="s">
        <v>2504</v>
      </c>
      <c r="F299">
        <v>77</v>
      </c>
      <c r="G299">
        <v>11</v>
      </c>
      <c r="H299">
        <v>14</v>
      </c>
      <c r="I299">
        <v>25</v>
      </c>
      <c r="J299">
        <v>40</v>
      </c>
      <c r="K299">
        <v>-8</v>
      </c>
      <c r="L299">
        <v>9</v>
      </c>
      <c r="M299">
        <v>1</v>
      </c>
      <c r="N299">
        <v>1</v>
      </c>
      <c r="O299">
        <v>2</v>
      </c>
      <c r="P299">
        <v>0</v>
      </c>
      <c r="Q299">
        <v>11</v>
      </c>
      <c r="R299">
        <v>1</v>
      </c>
      <c r="S299">
        <v>2</v>
      </c>
      <c r="T299">
        <v>0</v>
      </c>
      <c r="U299">
        <v>0</v>
      </c>
      <c r="V299">
        <v>20</v>
      </c>
      <c r="W299">
        <v>2</v>
      </c>
      <c r="X299">
        <v>3</v>
      </c>
      <c r="Y299">
        <v>2</v>
      </c>
      <c r="Z299">
        <v>0</v>
      </c>
      <c r="AA299" t="s">
        <v>3595</v>
      </c>
      <c r="AB299" s="24">
        <v>0.65277777777777779</v>
      </c>
      <c r="AC299" s="24">
        <v>0.54375000000000007</v>
      </c>
      <c r="AD299" s="24">
        <v>1.5972222222222224E-2</v>
      </c>
      <c r="AE299" s="24">
        <v>9.3055555555555558E-2</v>
      </c>
      <c r="AF299" t="s">
        <v>4518</v>
      </c>
      <c r="AG299" t="s">
        <v>3295</v>
      </c>
      <c r="AH299" t="s">
        <v>2881</v>
      </c>
      <c r="AI299" t="s">
        <v>3189</v>
      </c>
      <c r="AJ299" t="s">
        <v>3687</v>
      </c>
      <c r="AK299" t="s">
        <v>4938</v>
      </c>
      <c r="AL299" t="s">
        <v>2693</v>
      </c>
      <c r="AM299" t="s">
        <v>2693</v>
      </c>
      <c r="AN299" t="s">
        <v>4939</v>
      </c>
      <c r="AO299" t="s">
        <v>4940</v>
      </c>
      <c r="AP299" t="s">
        <v>4790</v>
      </c>
      <c r="AQ299" t="s">
        <v>3419</v>
      </c>
      <c r="AR299">
        <v>109</v>
      </c>
      <c r="AS299" t="s">
        <v>3694</v>
      </c>
      <c r="AT299">
        <v>50</v>
      </c>
      <c r="AU299">
        <v>68</v>
      </c>
      <c r="AV299">
        <v>461</v>
      </c>
      <c r="AW299">
        <v>577</v>
      </c>
      <c r="AX299" t="s">
        <v>4941</v>
      </c>
    </row>
    <row r="300" spans="1:50" x14ac:dyDescent="0.25">
      <c r="A300">
        <v>295</v>
      </c>
      <c r="B300" t="s">
        <v>3156</v>
      </c>
      <c r="C300" t="s">
        <v>1918</v>
      </c>
      <c r="D300">
        <v>25</v>
      </c>
      <c r="E300" t="s">
        <v>2504</v>
      </c>
      <c r="F300">
        <v>59</v>
      </c>
      <c r="G300">
        <v>8</v>
      </c>
      <c r="H300">
        <v>17</v>
      </c>
      <c r="I300">
        <v>25</v>
      </c>
      <c r="J300">
        <v>30</v>
      </c>
      <c r="K300">
        <v>9</v>
      </c>
      <c r="L300">
        <v>8</v>
      </c>
      <c r="M300">
        <v>0</v>
      </c>
      <c r="N300">
        <v>0</v>
      </c>
      <c r="O300">
        <v>1</v>
      </c>
      <c r="P300">
        <v>0</v>
      </c>
      <c r="Q300">
        <v>16</v>
      </c>
      <c r="R300">
        <v>1</v>
      </c>
      <c r="S300">
        <v>0</v>
      </c>
      <c r="T300">
        <v>4</v>
      </c>
      <c r="U300">
        <v>0</v>
      </c>
      <c r="V300">
        <v>24</v>
      </c>
      <c r="W300">
        <v>1</v>
      </c>
      <c r="X300">
        <v>0</v>
      </c>
      <c r="Y300">
        <v>5</v>
      </c>
      <c r="Z300">
        <v>0</v>
      </c>
      <c r="AA300" t="s">
        <v>4929</v>
      </c>
      <c r="AB300" s="24">
        <v>0.57847222222222217</v>
      </c>
      <c r="AC300" s="24">
        <v>0.4826388888888889</v>
      </c>
      <c r="AD300" s="24">
        <v>5.5555555555555558E-3</v>
      </c>
      <c r="AE300" s="24">
        <v>8.9583333333333334E-2</v>
      </c>
      <c r="AF300" t="s">
        <v>4165</v>
      </c>
      <c r="AG300" t="s">
        <v>2853</v>
      </c>
      <c r="AH300" t="s">
        <v>4942</v>
      </c>
      <c r="AI300" t="s">
        <v>4943</v>
      </c>
      <c r="AJ300" t="s">
        <v>3497</v>
      </c>
      <c r="AK300" t="s">
        <v>4944</v>
      </c>
      <c r="AL300" t="s">
        <v>3830</v>
      </c>
      <c r="AM300" t="s">
        <v>4945</v>
      </c>
      <c r="AN300" t="s">
        <v>4945</v>
      </c>
      <c r="AO300" t="s">
        <v>3904</v>
      </c>
      <c r="AP300" t="s">
        <v>3479</v>
      </c>
      <c r="AQ300" t="s">
        <v>4946</v>
      </c>
      <c r="AR300">
        <v>82</v>
      </c>
      <c r="AS300" t="s">
        <v>3964</v>
      </c>
      <c r="AT300">
        <v>144</v>
      </c>
      <c r="AU300">
        <v>58</v>
      </c>
      <c r="AV300">
        <v>420</v>
      </c>
      <c r="AW300">
        <v>426</v>
      </c>
      <c r="AX300" t="s">
        <v>4947</v>
      </c>
    </row>
    <row r="301" spans="1:50" x14ac:dyDescent="0.25">
      <c r="A301">
        <v>296</v>
      </c>
      <c r="B301" t="s">
        <v>3158</v>
      </c>
      <c r="C301" t="s">
        <v>1921</v>
      </c>
      <c r="D301">
        <v>23</v>
      </c>
      <c r="E301" t="s">
        <v>2504</v>
      </c>
      <c r="F301">
        <v>81</v>
      </c>
      <c r="G301">
        <v>6</v>
      </c>
      <c r="H301">
        <v>19</v>
      </c>
      <c r="I301">
        <v>25</v>
      </c>
      <c r="J301">
        <v>10</v>
      </c>
      <c r="K301">
        <v>10</v>
      </c>
      <c r="L301">
        <v>5</v>
      </c>
      <c r="M301">
        <v>1</v>
      </c>
      <c r="N301">
        <v>0</v>
      </c>
      <c r="O301">
        <v>3</v>
      </c>
      <c r="P301">
        <v>0</v>
      </c>
      <c r="Q301">
        <v>17</v>
      </c>
      <c r="R301">
        <v>0</v>
      </c>
      <c r="S301">
        <v>2</v>
      </c>
      <c r="T301">
        <v>2</v>
      </c>
      <c r="U301">
        <v>0</v>
      </c>
      <c r="V301">
        <v>22</v>
      </c>
      <c r="W301">
        <v>1</v>
      </c>
      <c r="X301">
        <v>2</v>
      </c>
      <c r="Y301">
        <v>5</v>
      </c>
      <c r="Z301">
        <v>0</v>
      </c>
      <c r="AA301" t="s">
        <v>4929</v>
      </c>
      <c r="AB301" s="24">
        <v>0.55694444444444446</v>
      </c>
      <c r="AC301" s="24">
        <v>0.48055555555555557</v>
      </c>
      <c r="AD301" s="24">
        <v>8.3333333333333332E-3</v>
      </c>
      <c r="AE301" s="24">
        <v>6.7361111111111108E-2</v>
      </c>
      <c r="AF301" t="s">
        <v>4281</v>
      </c>
      <c r="AG301" t="s">
        <v>4530</v>
      </c>
      <c r="AH301" t="s">
        <v>4948</v>
      </c>
      <c r="AI301" t="s">
        <v>2803</v>
      </c>
      <c r="AJ301" t="s">
        <v>3372</v>
      </c>
      <c r="AK301" t="s">
        <v>4949</v>
      </c>
      <c r="AL301" t="s">
        <v>4950</v>
      </c>
      <c r="AM301" t="s">
        <v>3830</v>
      </c>
      <c r="AN301" t="s">
        <v>4950</v>
      </c>
      <c r="AO301" t="s">
        <v>4951</v>
      </c>
      <c r="AP301" t="s">
        <v>4434</v>
      </c>
      <c r="AQ301" t="s">
        <v>3926</v>
      </c>
      <c r="AR301">
        <v>96</v>
      </c>
      <c r="AS301" t="s">
        <v>4303</v>
      </c>
      <c r="AT301">
        <v>35</v>
      </c>
      <c r="AU301">
        <v>24</v>
      </c>
      <c r="AV301">
        <v>435</v>
      </c>
      <c r="AW301">
        <v>525</v>
      </c>
      <c r="AX301" t="s">
        <v>4952</v>
      </c>
    </row>
    <row r="302" spans="1:50" x14ac:dyDescent="0.25">
      <c r="A302">
        <v>297</v>
      </c>
      <c r="B302" t="s">
        <v>3156</v>
      </c>
      <c r="C302" t="s">
        <v>1919</v>
      </c>
      <c r="D302">
        <v>25</v>
      </c>
      <c r="E302" t="s">
        <v>1719</v>
      </c>
      <c r="F302">
        <v>82</v>
      </c>
      <c r="G302">
        <v>5</v>
      </c>
      <c r="H302">
        <v>20</v>
      </c>
      <c r="I302">
        <v>25</v>
      </c>
      <c r="J302">
        <v>36</v>
      </c>
      <c r="K302">
        <v>15</v>
      </c>
      <c r="L302">
        <v>4</v>
      </c>
      <c r="M302">
        <v>1</v>
      </c>
      <c r="N302">
        <v>0</v>
      </c>
      <c r="O302">
        <v>1</v>
      </c>
      <c r="P302">
        <v>0</v>
      </c>
      <c r="Q302">
        <v>19</v>
      </c>
      <c r="R302">
        <v>1</v>
      </c>
      <c r="S302">
        <v>0</v>
      </c>
      <c r="T302">
        <v>3</v>
      </c>
      <c r="U302">
        <v>2</v>
      </c>
      <c r="V302">
        <v>23</v>
      </c>
      <c r="W302">
        <v>2</v>
      </c>
      <c r="X302">
        <v>0</v>
      </c>
      <c r="Y302">
        <v>4</v>
      </c>
      <c r="Z302">
        <v>2</v>
      </c>
      <c r="AA302" t="s">
        <v>3595</v>
      </c>
      <c r="AB302" s="24">
        <v>0.82500000000000007</v>
      </c>
      <c r="AC302" s="24">
        <v>0.72013888888888899</v>
      </c>
      <c r="AD302" s="24">
        <v>2.5694444444444447E-2</v>
      </c>
      <c r="AE302" s="24">
        <v>7.9166666666666663E-2</v>
      </c>
      <c r="AF302" t="s">
        <v>4096</v>
      </c>
      <c r="AG302" t="s">
        <v>4229</v>
      </c>
      <c r="AH302" t="s">
        <v>2552</v>
      </c>
      <c r="AI302" t="s">
        <v>4953</v>
      </c>
      <c r="AJ302" t="s">
        <v>4954</v>
      </c>
      <c r="AK302" t="s">
        <v>4955</v>
      </c>
      <c r="AL302" t="s">
        <v>4956</v>
      </c>
      <c r="AM302" t="s">
        <v>4956</v>
      </c>
      <c r="AN302" t="s">
        <v>4957</v>
      </c>
      <c r="AO302" t="s">
        <v>4200</v>
      </c>
      <c r="AP302" t="s">
        <v>3012</v>
      </c>
      <c r="AQ302" t="s">
        <v>2926</v>
      </c>
      <c r="AR302">
        <v>116</v>
      </c>
      <c r="AS302" t="s">
        <v>4958</v>
      </c>
      <c r="AT302">
        <v>139</v>
      </c>
      <c r="AU302">
        <v>190</v>
      </c>
      <c r="AV302">
        <v>0</v>
      </c>
      <c r="AW302">
        <v>0</v>
      </c>
      <c r="AX302" t="s">
        <v>2579</v>
      </c>
    </row>
    <row r="303" spans="1:50" x14ac:dyDescent="0.25">
      <c r="A303">
        <v>298</v>
      </c>
      <c r="B303" t="s">
        <v>3156</v>
      </c>
      <c r="C303" t="s">
        <v>145</v>
      </c>
      <c r="D303">
        <v>36</v>
      </c>
      <c r="E303" t="s">
        <v>2504</v>
      </c>
      <c r="F303">
        <v>46</v>
      </c>
      <c r="G303">
        <v>4</v>
      </c>
      <c r="H303">
        <v>21</v>
      </c>
      <c r="I303">
        <v>25</v>
      </c>
      <c r="J303">
        <v>14</v>
      </c>
      <c r="K303">
        <v>-5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16</v>
      </c>
      <c r="R303">
        <v>5</v>
      </c>
      <c r="S303">
        <v>0</v>
      </c>
      <c r="T303">
        <v>5</v>
      </c>
      <c r="U303">
        <v>0</v>
      </c>
      <c r="V303">
        <v>18</v>
      </c>
      <c r="W303">
        <v>7</v>
      </c>
      <c r="X303">
        <v>0</v>
      </c>
      <c r="Y303">
        <v>5</v>
      </c>
      <c r="Z303">
        <v>0</v>
      </c>
      <c r="AA303" t="s">
        <v>3719</v>
      </c>
      <c r="AB303" s="24">
        <v>0.66527777777777775</v>
      </c>
      <c r="AC303" s="24">
        <v>0.55694444444444446</v>
      </c>
      <c r="AD303" s="24">
        <v>0.10694444444444444</v>
      </c>
      <c r="AE303" s="24">
        <v>6.9444444444444447E-4</v>
      </c>
      <c r="AF303" t="s">
        <v>4959</v>
      </c>
      <c r="AG303" t="s">
        <v>4960</v>
      </c>
      <c r="AH303" t="s">
        <v>4657</v>
      </c>
      <c r="AI303" t="s">
        <v>3513</v>
      </c>
      <c r="AJ303" t="s">
        <v>3757</v>
      </c>
      <c r="AK303" t="s">
        <v>3509</v>
      </c>
      <c r="AL303" t="s">
        <v>4961</v>
      </c>
      <c r="AM303" t="s">
        <v>4962</v>
      </c>
      <c r="AN303" t="s">
        <v>4963</v>
      </c>
      <c r="AO303" t="s">
        <v>4964</v>
      </c>
      <c r="AP303" t="s">
        <v>3588</v>
      </c>
      <c r="AQ303" t="s">
        <v>4965</v>
      </c>
      <c r="AR303">
        <v>38</v>
      </c>
      <c r="AS303" t="s">
        <v>2793</v>
      </c>
      <c r="AT303">
        <v>33</v>
      </c>
      <c r="AU303">
        <v>6</v>
      </c>
      <c r="AV303">
        <v>183</v>
      </c>
      <c r="AW303">
        <v>261</v>
      </c>
      <c r="AX303" t="s">
        <v>4966</v>
      </c>
    </row>
    <row r="304" spans="1:50" x14ac:dyDescent="0.25">
      <c r="A304">
        <v>299</v>
      </c>
      <c r="B304" t="s">
        <v>3158</v>
      </c>
      <c r="C304" t="s">
        <v>1917</v>
      </c>
      <c r="D304">
        <v>23</v>
      </c>
      <c r="E304" t="s">
        <v>1719</v>
      </c>
      <c r="F304">
        <v>68</v>
      </c>
      <c r="G304">
        <v>3</v>
      </c>
      <c r="H304">
        <v>22</v>
      </c>
      <c r="I304">
        <v>25</v>
      </c>
      <c r="J304">
        <v>20</v>
      </c>
      <c r="K304">
        <v>6</v>
      </c>
      <c r="L304">
        <v>1</v>
      </c>
      <c r="M304">
        <v>2</v>
      </c>
      <c r="N304">
        <v>0</v>
      </c>
      <c r="O304">
        <v>2</v>
      </c>
      <c r="P304">
        <v>0</v>
      </c>
      <c r="Q304">
        <v>17</v>
      </c>
      <c r="R304">
        <v>5</v>
      </c>
      <c r="S304">
        <v>0</v>
      </c>
      <c r="T304">
        <v>2</v>
      </c>
      <c r="U304">
        <v>0</v>
      </c>
      <c r="V304">
        <v>18</v>
      </c>
      <c r="W304">
        <v>7</v>
      </c>
      <c r="X304">
        <v>0</v>
      </c>
      <c r="Y304">
        <v>4</v>
      </c>
      <c r="Z304">
        <v>0</v>
      </c>
      <c r="AA304" t="s">
        <v>3719</v>
      </c>
      <c r="AB304" s="24">
        <v>0.81458333333333333</v>
      </c>
      <c r="AC304" s="24">
        <v>0.67361111111111116</v>
      </c>
      <c r="AD304" s="24">
        <v>6.3888888888888884E-2</v>
      </c>
      <c r="AE304" s="24">
        <v>7.6388888888888895E-2</v>
      </c>
      <c r="AF304" t="s">
        <v>4818</v>
      </c>
      <c r="AG304" t="s">
        <v>4967</v>
      </c>
      <c r="AH304" t="s">
        <v>4018</v>
      </c>
      <c r="AI304" t="s">
        <v>4968</v>
      </c>
      <c r="AJ304" t="s">
        <v>2632</v>
      </c>
      <c r="AK304" t="s">
        <v>4969</v>
      </c>
      <c r="AL304" t="s">
        <v>4970</v>
      </c>
      <c r="AM304" t="s">
        <v>4120</v>
      </c>
      <c r="AN304" t="s">
        <v>4271</v>
      </c>
      <c r="AO304" t="s">
        <v>4322</v>
      </c>
      <c r="AP304" t="s">
        <v>4051</v>
      </c>
      <c r="AQ304" t="s">
        <v>4369</v>
      </c>
      <c r="AR304">
        <v>85</v>
      </c>
      <c r="AS304" t="s">
        <v>4310</v>
      </c>
      <c r="AT304">
        <v>20</v>
      </c>
      <c r="AU304">
        <v>89</v>
      </c>
      <c r="AV304">
        <v>0</v>
      </c>
      <c r="AW304">
        <v>0</v>
      </c>
      <c r="AX304" t="s">
        <v>2579</v>
      </c>
    </row>
    <row r="305" spans="1:50" x14ac:dyDescent="0.25">
      <c r="A305">
        <v>300</v>
      </c>
      <c r="B305" t="s">
        <v>3156</v>
      </c>
      <c r="C305" t="s">
        <v>1924</v>
      </c>
      <c r="D305">
        <v>23</v>
      </c>
      <c r="E305" t="s">
        <v>2504</v>
      </c>
      <c r="F305">
        <v>78</v>
      </c>
      <c r="G305">
        <v>16</v>
      </c>
      <c r="H305">
        <v>8</v>
      </c>
      <c r="I305">
        <v>24</v>
      </c>
      <c r="J305">
        <v>38</v>
      </c>
      <c r="K305">
        <v>11</v>
      </c>
      <c r="L305">
        <v>15</v>
      </c>
      <c r="M305">
        <v>1</v>
      </c>
      <c r="N305">
        <v>0</v>
      </c>
      <c r="O305">
        <v>2</v>
      </c>
      <c r="P305">
        <v>0</v>
      </c>
      <c r="Q305">
        <v>7</v>
      </c>
      <c r="R305">
        <v>1</v>
      </c>
      <c r="S305">
        <v>0</v>
      </c>
      <c r="T305">
        <v>0</v>
      </c>
      <c r="U305">
        <v>0</v>
      </c>
      <c r="V305">
        <v>22</v>
      </c>
      <c r="W305">
        <v>2</v>
      </c>
      <c r="X305">
        <v>0</v>
      </c>
      <c r="Y305">
        <v>2</v>
      </c>
      <c r="Z305">
        <v>0</v>
      </c>
      <c r="AA305" t="s">
        <v>4279</v>
      </c>
      <c r="AB305" s="24">
        <v>0.53680555555555554</v>
      </c>
      <c r="AC305" s="24">
        <v>0.47083333333333338</v>
      </c>
      <c r="AD305" s="24">
        <v>6.5277777777777782E-2</v>
      </c>
      <c r="AE305" s="24">
        <v>0</v>
      </c>
      <c r="AF305" t="s">
        <v>4250</v>
      </c>
      <c r="AG305" t="s">
        <v>4971</v>
      </c>
      <c r="AH305" t="s">
        <v>3646</v>
      </c>
      <c r="AI305" t="s">
        <v>4458</v>
      </c>
      <c r="AJ305" t="s">
        <v>2643</v>
      </c>
      <c r="AK305" t="s">
        <v>4972</v>
      </c>
      <c r="AL305" t="s">
        <v>2589</v>
      </c>
      <c r="AM305" t="s">
        <v>2589</v>
      </c>
      <c r="AN305" t="s">
        <v>3471</v>
      </c>
      <c r="AO305" t="s">
        <v>4501</v>
      </c>
      <c r="AP305" t="s">
        <v>4672</v>
      </c>
      <c r="AQ305" t="s">
        <v>4418</v>
      </c>
      <c r="AR305">
        <v>167</v>
      </c>
      <c r="AS305" t="s">
        <v>2730</v>
      </c>
      <c r="AT305">
        <v>153</v>
      </c>
      <c r="AU305">
        <v>23</v>
      </c>
      <c r="AV305">
        <v>1</v>
      </c>
      <c r="AW305">
        <v>1</v>
      </c>
      <c r="AX305" t="s">
        <v>2647</v>
      </c>
    </row>
    <row r="307" spans="1:50" x14ac:dyDescent="0.25">
      <c r="A307" t="s">
        <v>2458</v>
      </c>
      <c r="C307" t="s">
        <v>2459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opLeftCell="A25" zoomScaleNormal="100" workbookViewId="0">
      <selection activeCell="K41" sqref="K41"/>
    </sheetView>
  </sheetViews>
  <sheetFormatPr baseColWidth="10" defaultColWidth="11.42578125" defaultRowHeight="15" x14ac:dyDescent="0.25"/>
  <sheetData>
    <row r="1" spans="1:16" x14ac:dyDescent="0.25">
      <c r="A1" t="s">
        <v>462</v>
      </c>
    </row>
    <row r="2" spans="1:16" x14ac:dyDescent="0.25">
      <c r="A2" t="s">
        <v>463</v>
      </c>
    </row>
    <row r="3" spans="1:16" x14ac:dyDescent="0.25">
      <c r="A3" t="s">
        <v>464</v>
      </c>
      <c r="C3" t="s">
        <v>450</v>
      </c>
      <c r="D3">
        <f>VLOOKUP(Manquants!C3,Tableau1[[Nom]:[HM]],4,0)</f>
        <v>0</v>
      </c>
      <c r="I3" t="s">
        <v>154</v>
      </c>
      <c r="J3" t="s">
        <v>1687</v>
      </c>
      <c r="K3" t="s">
        <v>1686</v>
      </c>
      <c r="L3" t="s">
        <v>157</v>
      </c>
      <c r="M3" t="s">
        <v>1688</v>
      </c>
    </row>
    <row r="4" spans="1:16" x14ac:dyDescent="0.25">
      <c r="C4" t="s">
        <v>1346</v>
      </c>
      <c r="D4">
        <f>VLOOKUP(Manquants!C4,Tableau1[[Nom]:[HM]],4,0)</f>
        <v>0</v>
      </c>
      <c r="F4" t="s">
        <v>1346</v>
      </c>
      <c r="G4" t="e">
        <v>#N/A</v>
      </c>
      <c r="I4" t="s">
        <v>231</v>
      </c>
      <c r="J4" t="s">
        <v>1348</v>
      </c>
      <c r="K4">
        <v>52</v>
      </c>
      <c r="L4">
        <v>50</v>
      </c>
      <c r="M4">
        <v>46</v>
      </c>
      <c r="O4">
        <v>52</v>
      </c>
      <c r="P4">
        <v>50</v>
      </c>
    </row>
    <row r="5" spans="1:16" x14ac:dyDescent="0.25">
      <c r="C5" t="s">
        <v>446</v>
      </c>
      <c r="D5" t="e">
        <f>VLOOKUP(Manquants!C5,Tableau1[[Nom]:[HM]],4,0)</f>
        <v>#N/A</v>
      </c>
      <c r="F5" t="s">
        <v>1683</v>
      </c>
      <c r="G5" t="e">
        <v>#N/A</v>
      </c>
      <c r="I5" t="s">
        <v>166</v>
      </c>
      <c r="J5" t="s">
        <v>1248</v>
      </c>
      <c r="K5">
        <v>44</v>
      </c>
      <c r="M5">
        <v>45</v>
      </c>
      <c r="O5">
        <v>44</v>
      </c>
    </row>
    <row r="6" spans="1:16" x14ac:dyDescent="0.25">
      <c r="C6" t="s">
        <v>380</v>
      </c>
      <c r="D6" t="e">
        <f>VLOOKUP(Manquants!C6,Tableau1[[Nom]:[HM]],4,0)</f>
        <v>#N/A</v>
      </c>
      <c r="F6" t="s">
        <v>1371</v>
      </c>
      <c r="G6" t="e">
        <v>#N/A</v>
      </c>
      <c r="I6" t="s">
        <v>1370</v>
      </c>
      <c r="J6" t="s">
        <v>1371</v>
      </c>
      <c r="K6">
        <v>49</v>
      </c>
      <c r="L6">
        <v>43</v>
      </c>
      <c r="M6">
        <v>40</v>
      </c>
      <c r="O6">
        <v>49</v>
      </c>
      <c r="P6">
        <v>43</v>
      </c>
    </row>
    <row r="7" spans="1:16" x14ac:dyDescent="0.25">
      <c r="C7" t="s">
        <v>1683</v>
      </c>
      <c r="D7" t="e">
        <f>VLOOKUP(Manquants!C7,Tableau1[[Nom]:[HM]],4,0)</f>
        <v>#N/A</v>
      </c>
      <c r="F7" t="s">
        <v>1262</v>
      </c>
      <c r="G7" t="e">
        <v>#N/A</v>
      </c>
      <c r="I7" t="s">
        <v>1450</v>
      </c>
      <c r="J7" t="s">
        <v>1451</v>
      </c>
      <c r="K7">
        <v>36</v>
      </c>
      <c r="L7">
        <v>51</v>
      </c>
      <c r="M7">
        <v>43</v>
      </c>
      <c r="O7">
        <v>36</v>
      </c>
      <c r="P7">
        <v>51</v>
      </c>
    </row>
    <row r="8" spans="1:16" x14ac:dyDescent="0.25">
      <c r="C8" t="s">
        <v>1371</v>
      </c>
      <c r="D8">
        <f>VLOOKUP(Manquants!C8,Tableau1[[Nom]:[HM]],4,0)</f>
        <v>0</v>
      </c>
      <c r="F8" t="s">
        <v>1240</v>
      </c>
      <c r="I8" t="s">
        <v>1350</v>
      </c>
      <c r="J8" t="s">
        <v>1351</v>
      </c>
      <c r="K8">
        <v>42</v>
      </c>
      <c r="L8">
        <v>42</v>
      </c>
      <c r="M8">
        <v>43</v>
      </c>
      <c r="O8">
        <v>42</v>
      </c>
      <c r="P8">
        <v>42</v>
      </c>
    </row>
    <row r="9" spans="1:16" x14ac:dyDescent="0.25">
      <c r="C9" t="s">
        <v>393</v>
      </c>
      <c r="D9">
        <f>VLOOKUP(Manquants!C9,Tableau1[[Nom]:[HM]],4,0)</f>
        <v>0</v>
      </c>
      <c r="F9" t="s">
        <v>1367</v>
      </c>
      <c r="G9" t="e">
        <v>#N/A</v>
      </c>
      <c r="I9" t="s">
        <v>1368</v>
      </c>
      <c r="J9" t="s">
        <v>1369</v>
      </c>
      <c r="K9">
        <v>42</v>
      </c>
      <c r="M9">
        <v>43</v>
      </c>
      <c r="O9">
        <v>42</v>
      </c>
    </row>
    <row r="10" spans="1:16" x14ac:dyDescent="0.25">
      <c r="C10" t="s">
        <v>429</v>
      </c>
      <c r="D10">
        <f>VLOOKUP(Manquants!C10,Tableau1[[Nom]:[HM]],4,0)</f>
        <v>0</v>
      </c>
      <c r="F10" t="s">
        <v>1523</v>
      </c>
      <c r="I10" t="s">
        <v>166</v>
      </c>
      <c r="J10" t="s">
        <v>1258</v>
      </c>
      <c r="K10">
        <v>37</v>
      </c>
      <c r="L10">
        <v>42</v>
      </c>
      <c r="M10">
        <v>44</v>
      </c>
      <c r="O10">
        <v>37</v>
      </c>
      <c r="P10">
        <v>42</v>
      </c>
    </row>
    <row r="11" spans="1:16" x14ac:dyDescent="0.25">
      <c r="C11" t="s">
        <v>1262</v>
      </c>
      <c r="D11" t="e">
        <f>VLOOKUP(Manquants!C11,Tableau1[[Nom]:[HM]],4,0)</f>
        <v>#N/A</v>
      </c>
      <c r="F11" t="s">
        <v>1514</v>
      </c>
      <c r="I11" t="s">
        <v>333</v>
      </c>
      <c r="J11" t="s">
        <v>1431</v>
      </c>
      <c r="K11">
        <v>41</v>
      </c>
      <c r="L11">
        <v>45</v>
      </c>
      <c r="M11">
        <v>42</v>
      </c>
      <c r="O11">
        <v>41</v>
      </c>
      <c r="P11">
        <v>45</v>
      </c>
    </row>
    <row r="12" spans="1:16" x14ac:dyDescent="0.25">
      <c r="C12" t="s">
        <v>414</v>
      </c>
      <c r="D12">
        <f>VLOOKUP(Manquants!C12,Tableau1[[Nom]:[HM]],4,0)</f>
        <v>0</v>
      </c>
      <c r="F12" t="s">
        <v>1433</v>
      </c>
      <c r="I12" t="s">
        <v>1533</v>
      </c>
      <c r="J12" t="s">
        <v>1534</v>
      </c>
      <c r="K12">
        <v>47</v>
      </c>
      <c r="L12">
        <v>44</v>
      </c>
      <c r="M12">
        <v>45</v>
      </c>
      <c r="O12">
        <v>47</v>
      </c>
      <c r="P12">
        <v>44</v>
      </c>
    </row>
    <row r="13" spans="1:16" x14ac:dyDescent="0.25">
      <c r="C13" t="s">
        <v>1240</v>
      </c>
      <c r="D13">
        <f>VLOOKUP(Manquants!C13,Tableau1[[Nom]:[HM]],4,0)</f>
        <v>0</v>
      </c>
      <c r="F13" t="s">
        <v>1431</v>
      </c>
      <c r="I13" t="s">
        <v>1345</v>
      </c>
      <c r="J13" t="s">
        <v>1346</v>
      </c>
      <c r="K13">
        <v>42</v>
      </c>
      <c r="L13">
        <v>43</v>
      </c>
      <c r="M13">
        <v>40</v>
      </c>
      <c r="O13">
        <v>42</v>
      </c>
      <c r="P13">
        <v>43</v>
      </c>
    </row>
    <row r="14" spans="1:16" x14ac:dyDescent="0.25">
      <c r="C14" t="s">
        <v>377</v>
      </c>
      <c r="D14">
        <f>VLOOKUP(Manquants!C14,Tableau1[[Nom]:[HM]],4,0)</f>
        <v>0</v>
      </c>
      <c r="F14" t="s">
        <v>1369</v>
      </c>
      <c r="I14" t="s">
        <v>233</v>
      </c>
      <c r="J14" t="s">
        <v>1433</v>
      </c>
      <c r="K14">
        <v>43</v>
      </c>
      <c r="L14">
        <v>40</v>
      </c>
      <c r="M14">
        <v>42</v>
      </c>
      <c r="O14">
        <v>43</v>
      </c>
      <c r="P14">
        <v>40</v>
      </c>
    </row>
    <row r="15" spans="1:16" x14ac:dyDescent="0.25">
      <c r="C15" t="s">
        <v>1367</v>
      </c>
      <c r="D15" t="e">
        <f>VLOOKUP(Manquants!C15,Tableau1[[Nom]:[HM]],4,0)</f>
        <v>#N/A</v>
      </c>
      <c r="F15" t="s">
        <v>1229</v>
      </c>
      <c r="G15" t="e">
        <v>#N/A</v>
      </c>
      <c r="I15" t="s">
        <v>431</v>
      </c>
      <c r="J15" t="s">
        <v>1550</v>
      </c>
      <c r="K15">
        <v>42</v>
      </c>
      <c r="L15">
        <v>41</v>
      </c>
      <c r="M15">
        <v>45</v>
      </c>
      <c r="O15">
        <v>42</v>
      </c>
      <c r="P15">
        <v>41</v>
      </c>
    </row>
    <row r="16" spans="1:16" x14ac:dyDescent="0.25">
      <c r="C16" t="s">
        <v>1523</v>
      </c>
      <c r="D16" t="e">
        <f>VLOOKUP(Manquants!C16,Tableau1[[Nom]:[HM]],4,0)</f>
        <v>#N/A</v>
      </c>
      <c r="F16" t="s">
        <v>1451</v>
      </c>
      <c r="G16" t="e">
        <v>#N/A</v>
      </c>
      <c r="I16" t="s">
        <v>1261</v>
      </c>
      <c r="J16" t="s">
        <v>1262</v>
      </c>
      <c r="K16">
        <v>40</v>
      </c>
      <c r="L16">
        <v>36</v>
      </c>
      <c r="M16">
        <v>41</v>
      </c>
      <c r="O16">
        <v>40</v>
      </c>
      <c r="P16">
        <v>36</v>
      </c>
    </row>
    <row r="17" spans="3:16" x14ac:dyDescent="0.25">
      <c r="C17" t="s">
        <v>1514</v>
      </c>
      <c r="D17">
        <f>VLOOKUP(Manquants!C17,Tableau1[[Nom]:[HM]],4,0)</f>
        <v>0</v>
      </c>
      <c r="F17" t="s">
        <v>1351</v>
      </c>
      <c r="G17" t="e">
        <v>#N/A</v>
      </c>
      <c r="I17" t="s">
        <v>1385</v>
      </c>
      <c r="J17" t="s">
        <v>1386</v>
      </c>
      <c r="K17">
        <v>44</v>
      </c>
      <c r="L17">
        <v>31</v>
      </c>
      <c r="M17">
        <v>47</v>
      </c>
      <c r="O17">
        <v>44</v>
      </c>
      <c r="P17">
        <v>31</v>
      </c>
    </row>
    <row r="18" spans="3:16" x14ac:dyDescent="0.25">
      <c r="C18" t="s">
        <v>435</v>
      </c>
      <c r="D18">
        <f>VLOOKUP(Manquants!C18,Tableau1[[Nom]:[HM]],4,0)</f>
        <v>0</v>
      </c>
      <c r="F18" t="s">
        <v>1258</v>
      </c>
      <c r="I18" t="s">
        <v>1407</v>
      </c>
      <c r="J18" t="s">
        <v>1523</v>
      </c>
      <c r="K18">
        <v>42</v>
      </c>
      <c r="L18">
        <v>39</v>
      </c>
      <c r="M18">
        <v>42</v>
      </c>
      <c r="O18">
        <v>42</v>
      </c>
      <c r="P18">
        <v>39</v>
      </c>
    </row>
    <row r="19" spans="3:16" x14ac:dyDescent="0.25">
      <c r="C19" t="s">
        <v>1433</v>
      </c>
      <c r="D19">
        <f>VLOOKUP(Manquants!C19,Tableau1[[Nom]:[HM]],4,0)</f>
        <v>0</v>
      </c>
      <c r="F19" t="s">
        <v>1684</v>
      </c>
      <c r="G19" t="e">
        <v>#N/A</v>
      </c>
      <c r="I19" t="s">
        <v>1239</v>
      </c>
      <c r="J19" t="s">
        <v>1240</v>
      </c>
      <c r="L19">
        <v>55</v>
      </c>
      <c r="M19">
        <v>41</v>
      </c>
      <c r="P19">
        <v>55</v>
      </c>
    </row>
    <row r="20" spans="3:16" x14ac:dyDescent="0.25">
      <c r="C20" t="s">
        <v>437</v>
      </c>
      <c r="D20" t="e">
        <f>VLOOKUP(Manquants!C20,Tableau1[[Nom]:[HM]],4,0)</f>
        <v>#N/A</v>
      </c>
      <c r="F20" t="s">
        <v>1547</v>
      </c>
      <c r="I20" t="s">
        <v>1236</v>
      </c>
      <c r="J20" t="s">
        <v>1237</v>
      </c>
      <c r="M20">
        <v>47</v>
      </c>
    </row>
    <row r="21" spans="3:16" x14ac:dyDescent="0.25">
      <c r="C21" t="s">
        <v>1431</v>
      </c>
      <c r="D21" t="e">
        <f>VLOOKUP(Manquants!C21,Tableau1[[Nom]:[HM]],4,0)</f>
        <v>#N/A</v>
      </c>
      <c r="F21" t="s">
        <v>1550</v>
      </c>
      <c r="G21" t="e">
        <v>#N/A</v>
      </c>
      <c r="I21" t="s">
        <v>1452</v>
      </c>
      <c r="J21" t="s">
        <v>1453</v>
      </c>
      <c r="K21">
        <v>43</v>
      </c>
      <c r="L21">
        <v>45</v>
      </c>
      <c r="M21">
        <v>45</v>
      </c>
      <c r="O21">
        <v>43</v>
      </c>
      <c r="P21">
        <v>45</v>
      </c>
    </row>
    <row r="22" spans="3:16" x14ac:dyDescent="0.25">
      <c r="C22" t="s">
        <v>452</v>
      </c>
      <c r="D22" t="e">
        <f>VLOOKUP(Manquants!C22,Tableau1[[Nom]:[HM]],4,0)</f>
        <v>#N/A</v>
      </c>
      <c r="F22" t="s">
        <v>1534</v>
      </c>
      <c r="I22" t="s">
        <v>1233</v>
      </c>
      <c r="J22" t="s">
        <v>1234</v>
      </c>
      <c r="K22">
        <v>45</v>
      </c>
      <c r="L22">
        <v>42</v>
      </c>
      <c r="M22">
        <v>46</v>
      </c>
      <c r="O22">
        <v>45</v>
      </c>
      <c r="P22">
        <v>42</v>
      </c>
    </row>
    <row r="23" spans="3:16" x14ac:dyDescent="0.25">
      <c r="C23" t="s">
        <v>391</v>
      </c>
      <c r="D23" t="e">
        <f>VLOOKUP(Manquants!C23,Tableau1[[Nom]:[HM]],4,0)</f>
        <v>#N/A</v>
      </c>
      <c r="F23" t="s">
        <v>1453</v>
      </c>
      <c r="I23" t="s">
        <v>1685</v>
      </c>
      <c r="J23" t="s">
        <v>1683</v>
      </c>
      <c r="K23">
        <v>41</v>
      </c>
      <c r="L23">
        <v>43</v>
      </c>
      <c r="M23">
        <v>40</v>
      </c>
      <c r="O23">
        <v>41</v>
      </c>
      <c r="P23">
        <v>43</v>
      </c>
    </row>
    <row r="24" spans="3:16" x14ac:dyDescent="0.25">
      <c r="C24" t="s">
        <v>1369</v>
      </c>
      <c r="D24" t="e">
        <f>VLOOKUP(Manquants!C24,Tableau1[[Nom]:[HM]],4,0)</f>
        <v>#N/A</v>
      </c>
      <c r="F24" t="s">
        <v>1248</v>
      </c>
      <c r="G24" t="e">
        <v>#N/A</v>
      </c>
      <c r="I24" t="s">
        <v>1563</v>
      </c>
      <c r="J24" t="s">
        <v>1564</v>
      </c>
      <c r="K24">
        <v>42</v>
      </c>
      <c r="L24">
        <v>48</v>
      </c>
      <c r="M24">
        <v>46</v>
      </c>
      <c r="O24">
        <v>42</v>
      </c>
      <c r="P24">
        <v>48</v>
      </c>
    </row>
    <row r="25" spans="3:16" x14ac:dyDescent="0.25">
      <c r="C25" t="s">
        <v>430</v>
      </c>
      <c r="D25">
        <f>VLOOKUP(Manquants!C25,Tableau1[[Nom]:[HM]],4,0)</f>
        <v>0</v>
      </c>
      <c r="F25" t="s">
        <v>1564</v>
      </c>
      <c r="I25" t="s">
        <v>222</v>
      </c>
      <c r="J25" t="s">
        <v>1514</v>
      </c>
      <c r="K25">
        <v>42</v>
      </c>
      <c r="L25">
        <v>39</v>
      </c>
      <c r="M25">
        <v>42</v>
      </c>
      <c r="O25">
        <v>42</v>
      </c>
      <c r="P25">
        <v>39</v>
      </c>
    </row>
    <row r="26" spans="3:16" x14ac:dyDescent="0.25">
      <c r="C26" t="s">
        <v>1229</v>
      </c>
      <c r="D26">
        <f>VLOOKUP(Manquants!C26,Tableau1[[Nom]:[HM]],4,0)</f>
        <v>0</v>
      </c>
      <c r="F26" t="s">
        <v>1234</v>
      </c>
      <c r="G26" t="e">
        <v>#N/A</v>
      </c>
      <c r="I26" t="s">
        <v>442</v>
      </c>
      <c r="J26" t="s">
        <v>1684</v>
      </c>
      <c r="K26">
        <v>42</v>
      </c>
      <c r="L26">
        <v>51</v>
      </c>
      <c r="M26">
        <v>44</v>
      </c>
      <c r="O26">
        <v>42</v>
      </c>
      <c r="P26">
        <v>51</v>
      </c>
    </row>
    <row r="27" spans="3:16" x14ac:dyDescent="0.25">
      <c r="C27" t="s">
        <v>1451</v>
      </c>
      <c r="D27" t="e">
        <f>VLOOKUP(Manquants!C27,Tableau1[[Nom]:[HM]],4,0)</f>
        <v>#N/A</v>
      </c>
      <c r="F27" t="s">
        <v>1348</v>
      </c>
      <c r="G27" t="e">
        <v>#N/A</v>
      </c>
      <c r="I27" t="s">
        <v>349</v>
      </c>
      <c r="J27" t="s">
        <v>1367</v>
      </c>
      <c r="K27">
        <v>36</v>
      </c>
      <c r="L27">
        <v>36</v>
      </c>
      <c r="M27">
        <v>41</v>
      </c>
      <c r="O27">
        <v>36</v>
      </c>
      <c r="P27">
        <v>36</v>
      </c>
    </row>
    <row r="28" spans="3:16" x14ac:dyDescent="0.25">
      <c r="C28" t="s">
        <v>1351</v>
      </c>
      <c r="D28" t="e">
        <f>VLOOKUP(Manquants!C28,Tableau1[[Nom]:[HM]],4,0)</f>
        <v>#N/A</v>
      </c>
      <c r="F28" t="s">
        <v>1386</v>
      </c>
      <c r="G28" t="e">
        <v>#N/A</v>
      </c>
      <c r="I28" t="s">
        <v>1228</v>
      </c>
      <c r="J28" t="s">
        <v>1229</v>
      </c>
      <c r="L28">
        <v>35</v>
      </c>
      <c r="M28">
        <v>43</v>
      </c>
      <c r="P28">
        <v>35</v>
      </c>
    </row>
    <row r="29" spans="3:16" x14ac:dyDescent="0.25">
      <c r="C29" t="s">
        <v>425</v>
      </c>
      <c r="D29">
        <f>VLOOKUP(Manquants!C29,Tableau1[[Nom]:[HM]],4,0)</f>
        <v>0</v>
      </c>
      <c r="F29" t="s">
        <v>1237</v>
      </c>
      <c r="I29" t="s">
        <v>402</v>
      </c>
      <c r="J29" t="s">
        <v>1547</v>
      </c>
      <c r="K29">
        <v>49</v>
      </c>
      <c r="M29">
        <v>45</v>
      </c>
      <c r="O29">
        <v>49</v>
      </c>
    </row>
    <row r="30" spans="3:16" x14ac:dyDescent="0.25">
      <c r="C30" t="s">
        <v>412</v>
      </c>
      <c r="D30">
        <f>VLOOKUP(Manquants!C30,Tableau1[[Nom]:[HM]],4,0)</f>
        <v>0</v>
      </c>
    </row>
    <row r="31" spans="3:16" x14ac:dyDescent="0.25">
      <c r="C31" t="s">
        <v>448</v>
      </c>
      <c r="D31">
        <f>VLOOKUP(Manquants!C31,Tableau1[[Nom]:[HM]],4,0)</f>
        <v>0</v>
      </c>
      <c r="I31" t="s">
        <v>1246</v>
      </c>
      <c r="J31" t="s">
        <v>1594</v>
      </c>
    </row>
    <row r="32" spans="3:16" x14ac:dyDescent="0.25">
      <c r="C32" t="s">
        <v>1258</v>
      </c>
      <c r="D32" t="e">
        <f>VLOOKUP(Manquants!C32,Tableau1[[Nom]:[HM]],4,0)</f>
        <v>#N/A</v>
      </c>
      <c r="G32" t="e">
        <v>#N/A</v>
      </c>
      <c r="I32" t="s">
        <v>231</v>
      </c>
      <c r="J32" t="s">
        <v>1353</v>
      </c>
    </row>
    <row r="33" spans="3:10" x14ac:dyDescent="0.25">
      <c r="C33" t="s">
        <v>456</v>
      </c>
      <c r="D33">
        <f>VLOOKUP(Manquants!C33,Tableau1[[Nom]:[HM]],4,0)</f>
        <v>0</v>
      </c>
      <c r="I33" t="s">
        <v>1689</v>
      </c>
      <c r="J33" t="s">
        <v>1551</v>
      </c>
    </row>
    <row r="34" spans="3:10" x14ac:dyDescent="0.25">
      <c r="C34" t="s">
        <v>1684</v>
      </c>
      <c r="D34" t="e">
        <f>VLOOKUP(Manquants!C34,Tableau1[[Nom]:[HM]],4,0)</f>
        <v>#N/A</v>
      </c>
      <c r="G34" t="e">
        <v>#N/A</v>
      </c>
      <c r="I34" t="s">
        <v>1690</v>
      </c>
      <c r="J34" t="s">
        <v>1286</v>
      </c>
    </row>
    <row r="35" spans="3:10" x14ac:dyDescent="0.25">
      <c r="C35" t="s">
        <v>410</v>
      </c>
      <c r="D35">
        <f>VLOOKUP(Manquants!C35,Tableau1[[Nom]:[HM]],4,0)</f>
        <v>0</v>
      </c>
    </row>
    <row r="36" spans="3:10" x14ac:dyDescent="0.25">
      <c r="C36" t="s">
        <v>1547</v>
      </c>
      <c r="D36">
        <f>VLOOKUP(Manquants!C36,Tableau1[[Nom]:[HM]],4,0)</f>
        <v>0</v>
      </c>
      <c r="G36" t="e">
        <v>#N/A</v>
      </c>
    </row>
    <row r="37" spans="3:10" x14ac:dyDescent="0.25">
      <c r="C37" t="s">
        <v>1550</v>
      </c>
      <c r="D37" t="e">
        <f>VLOOKUP(Manquants!C37,Tableau1[[Nom]:[HM]],4,0)</f>
        <v>#N/A</v>
      </c>
      <c r="G37" t="e">
        <v>#N/A</v>
      </c>
    </row>
    <row r="38" spans="3:10" x14ac:dyDescent="0.25">
      <c r="C38" t="s">
        <v>1534</v>
      </c>
      <c r="D38">
        <f>VLOOKUP(Manquants!C38,Tableau1[[Nom]:[HM]],4,0)</f>
        <v>0</v>
      </c>
      <c r="E38">
        <v>19</v>
      </c>
      <c r="G38" t="e">
        <v>#N/A</v>
      </c>
    </row>
    <row r="39" spans="3:10" x14ac:dyDescent="0.25">
      <c r="C39" t="s">
        <v>427</v>
      </c>
      <c r="D39">
        <f>VLOOKUP(Manquants!C39,Tableau1[[Nom]:[HM]],4,0)</f>
        <v>0</v>
      </c>
    </row>
    <row r="40" spans="3:10" x14ac:dyDescent="0.25">
      <c r="C40" t="s">
        <v>375</v>
      </c>
      <c r="D40">
        <f>VLOOKUP(Manquants!C40,Tableau1[[Nom]:[HM]],4,0)</f>
        <v>0</v>
      </c>
    </row>
    <row r="41" spans="3:10" x14ac:dyDescent="0.25">
      <c r="C41" t="s">
        <v>444</v>
      </c>
      <c r="D41">
        <f>VLOOKUP(Manquants!C41,Tableau1[[Nom]:[HM]],4,0)</f>
        <v>0</v>
      </c>
    </row>
    <row r="42" spans="3:10" x14ac:dyDescent="0.25">
      <c r="C42" t="s">
        <v>336</v>
      </c>
      <c r="D42">
        <f>VLOOKUP(Manquants!C42,Tableau1[[Nom]:[HM]],4,0)</f>
        <v>0</v>
      </c>
    </row>
    <row r="43" spans="3:10" x14ac:dyDescent="0.25">
      <c r="C43" t="s">
        <v>368</v>
      </c>
      <c r="D43">
        <f>VLOOKUP(Manquants!C43,Tableau1[[Nom]:[HM]],4,0)</f>
        <v>0</v>
      </c>
    </row>
    <row r="44" spans="3:10" x14ac:dyDescent="0.25">
      <c r="C44" t="s">
        <v>1453</v>
      </c>
      <c r="D44" t="e">
        <f>VLOOKUP(Manquants!C44,Tableau1[[Nom]:[HM]],4,0)</f>
        <v>#N/A</v>
      </c>
      <c r="G44" t="e">
        <v>#N/A</v>
      </c>
    </row>
    <row r="45" spans="3:10" x14ac:dyDescent="0.25">
      <c r="C45" t="s">
        <v>1248</v>
      </c>
      <c r="D45">
        <f>VLOOKUP(Manquants!C45,Tableau1[[Nom]:[HM]],4,0)</f>
        <v>0</v>
      </c>
      <c r="G45" t="e">
        <v>#N/A</v>
      </c>
    </row>
    <row r="46" spans="3:10" x14ac:dyDescent="0.25">
      <c r="C46" t="s">
        <v>420</v>
      </c>
      <c r="D46">
        <f>VLOOKUP(Manquants!C46,Tableau1[[Nom]:[HM]],4,0)</f>
        <v>0</v>
      </c>
    </row>
    <row r="47" spans="3:10" x14ac:dyDescent="0.25">
      <c r="C47" t="s">
        <v>389</v>
      </c>
      <c r="D47">
        <f>VLOOKUP(Manquants!C47,Tableau1[[Nom]:[HM]],4,0)</f>
        <v>0</v>
      </c>
    </row>
    <row r="48" spans="3:10" x14ac:dyDescent="0.25">
      <c r="C48" t="s">
        <v>1564</v>
      </c>
      <c r="D48" t="e">
        <f>VLOOKUP(Manquants!C48,Tableau1[[Nom]:[HM]],4,0)</f>
        <v>#N/A</v>
      </c>
      <c r="G48" t="e">
        <v>#N/A</v>
      </c>
    </row>
    <row r="49" spans="2:7" x14ac:dyDescent="0.25">
      <c r="C49" t="s">
        <v>388</v>
      </c>
      <c r="D49">
        <f>VLOOKUP(Manquants!C49,Tableau1[[Nom]:[HM]],4,0)</f>
        <v>0</v>
      </c>
    </row>
    <row r="50" spans="2:7" x14ac:dyDescent="0.25">
      <c r="C50" t="s">
        <v>1234</v>
      </c>
      <c r="D50">
        <f>VLOOKUP(Manquants!C50,Tableau1[[Nom]:[HM]],4,0)</f>
        <v>0</v>
      </c>
      <c r="G50" t="e">
        <v>#N/A</v>
      </c>
    </row>
    <row r="51" spans="2:7" x14ac:dyDescent="0.25">
      <c r="C51" t="s">
        <v>387</v>
      </c>
      <c r="D51">
        <f>VLOOKUP(Manquants!C51,Tableau1[[Nom]:[HM]],4,0)</f>
        <v>0</v>
      </c>
    </row>
    <row r="52" spans="2:7" x14ac:dyDescent="0.25">
      <c r="B52" t="s">
        <v>188</v>
      </c>
      <c r="C52" t="s">
        <v>395</v>
      </c>
      <c r="D52" t="e">
        <f>VLOOKUP(Manquants!C52,Tableau1[[Nom]:[HM]],4,0)</f>
        <v>#N/A</v>
      </c>
    </row>
    <row r="53" spans="2:7" x14ac:dyDescent="0.25">
      <c r="C53" t="s">
        <v>421</v>
      </c>
      <c r="D53">
        <f>VLOOKUP(Manquants!C53,Tableau1[[Nom]:[HM]],4,0)</f>
        <v>0</v>
      </c>
    </row>
    <row r="54" spans="2:7" x14ac:dyDescent="0.25">
      <c r="C54" t="s">
        <v>439</v>
      </c>
      <c r="D54">
        <f>VLOOKUP(Manquants!C54,Tableau1[[Nom]:[HM]],4,0)</f>
        <v>0</v>
      </c>
    </row>
    <row r="55" spans="2:7" x14ac:dyDescent="0.25">
      <c r="C55" t="s">
        <v>1348</v>
      </c>
      <c r="D55">
        <f>VLOOKUP(Manquants!C55,Tableau1[[Nom]:[HM]],4,0)</f>
        <v>0</v>
      </c>
      <c r="G55" t="e">
        <v>#N/A</v>
      </c>
    </row>
    <row r="56" spans="2:7" x14ac:dyDescent="0.25">
      <c r="C56" t="s">
        <v>418</v>
      </c>
      <c r="D56">
        <f>VLOOKUP(Manquants!C56,Tableau1[[Nom]:[HM]],4,0)</f>
        <v>0</v>
      </c>
    </row>
    <row r="57" spans="2:7" x14ac:dyDescent="0.25">
      <c r="C57" t="s">
        <v>454</v>
      </c>
      <c r="D57">
        <f>VLOOKUP(Manquants!C57,Tableau1[[Nom]:[HM]],4,0)</f>
        <v>0</v>
      </c>
    </row>
    <row r="58" spans="2:7" x14ac:dyDescent="0.25">
      <c r="C58" t="s">
        <v>1386</v>
      </c>
      <c r="D58" t="e">
        <f>VLOOKUP(Manquants!C58,Tableau1[[Nom]:[HM]],4,0)</f>
        <v>#N/A</v>
      </c>
      <c r="G58" t="e">
        <v>#N/A</v>
      </c>
    </row>
    <row r="59" spans="2:7" x14ac:dyDescent="0.25">
      <c r="C59" t="s">
        <v>1237</v>
      </c>
      <c r="D59">
        <f>VLOOKUP(Manquants!C59,Tableau1[[Nom]:[HM]],4,0)</f>
        <v>0</v>
      </c>
      <c r="E59">
        <v>26</v>
      </c>
      <c r="G59" t="e">
        <v>#N/A</v>
      </c>
    </row>
    <row r="60" spans="2:7" x14ac:dyDescent="0.25">
      <c r="C60" t="s">
        <v>385</v>
      </c>
      <c r="D60">
        <f>VLOOKUP(Manquants!C60,Tableau1[[Nom]:[HM]],4,0)</f>
        <v>0</v>
      </c>
    </row>
    <row r="61" spans="2:7" x14ac:dyDescent="0.25">
      <c r="C61" t="s">
        <v>417</v>
      </c>
      <c r="D61">
        <f>VLOOKUP(Manquants!C61,Tableau1[[Nom]:[HM]],4,0)</f>
        <v>0</v>
      </c>
    </row>
    <row r="62" spans="2:7" x14ac:dyDescent="0.25">
      <c r="C62" t="s">
        <v>408</v>
      </c>
      <c r="D62">
        <f>VLOOKUP(Manquants!C62,Tableau1[[Nom]:[HM]],4,0)</f>
        <v>0</v>
      </c>
    </row>
    <row r="63" spans="2:7" x14ac:dyDescent="0.25">
      <c r="C63" t="s">
        <v>188</v>
      </c>
      <c r="D63">
        <f>VLOOKUP(Manquants!C63,Tableau1[[Nom]:[HM]],4,0)</f>
        <v>0</v>
      </c>
    </row>
    <row r="64" spans="2:7" x14ac:dyDescent="0.25">
      <c r="C64" t="s">
        <v>1594</v>
      </c>
      <c r="D64" t="e">
        <f>VLOOKUP(Manquants!C64,Tableau1[[Nom]:[HM]],4,0)</f>
        <v>#N/A</v>
      </c>
      <c r="F64" t="s">
        <v>1594</v>
      </c>
      <c r="G64" t="e">
        <v>#N/A</v>
      </c>
    </row>
    <row r="65" spans="3:7" x14ac:dyDescent="0.25">
      <c r="C65" t="s">
        <v>334</v>
      </c>
      <c r="D65" t="e">
        <f>VLOOKUP(Manquants!C65,Tableau1[[Nom]:[HM]],4,0)</f>
        <v>#N/A</v>
      </c>
    </row>
    <row r="66" spans="3:7" x14ac:dyDescent="0.25">
      <c r="C66" t="s">
        <v>406</v>
      </c>
      <c r="D66">
        <f>VLOOKUP(Manquants!C66,Tableau1[[Nom]:[HM]],4,0)</f>
        <v>0</v>
      </c>
    </row>
    <row r="67" spans="3:7" x14ac:dyDescent="0.25">
      <c r="C67" t="s">
        <v>434</v>
      </c>
      <c r="D67">
        <f>VLOOKUP(Manquants!C67,Tableau1[[Nom]:[HM]],4,0)</f>
        <v>0</v>
      </c>
    </row>
    <row r="68" spans="3:7" x14ac:dyDescent="0.25">
      <c r="C68" t="s">
        <v>1286</v>
      </c>
      <c r="D68">
        <f>VLOOKUP(Manquants!C68,Tableau1[[Nom]:[HM]],4,0)</f>
        <v>0</v>
      </c>
      <c r="F68" t="s">
        <v>1286</v>
      </c>
      <c r="G68" t="e">
        <v>#N/A</v>
      </c>
    </row>
    <row r="69" spans="3:7" x14ac:dyDescent="0.25">
      <c r="C69" t="s">
        <v>405</v>
      </c>
      <c r="D69">
        <f>VLOOKUP(Manquants!C69,Tableau1[[Nom]:[HM]],4,0)</f>
        <v>0</v>
      </c>
    </row>
    <row r="70" spans="3:7" x14ac:dyDescent="0.25">
      <c r="C70" t="s">
        <v>315</v>
      </c>
      <c r="D70">
        <f>VLOOKUP(Manquants!C70,Tableau1[[Nom]:[HM]],4,0)</f>
        <v>0</v>
      </c>
    </row>
    <row r="71" spans="3:7" x14ac:dyDescent="0.25">
      <c r="C71" t="s">
        <v>269</v>
      </c>
      <c r="D71">
        <f>VLOOKUP(Manquants!C71,Tableau1[[Nom]:[HM]],4,0)</f>
        <v>0</v>
      </c>
    </row>
    <row r="72" spans="3:7" x14ac:dyDescent="0.25">
      <c r="C72" t="s">
        <v>416</v>
      </c>
      <c r="D72">
        <f>VLOOKUP(Manquants!C72,Tableau1[[Nom]:[HM]],4,0)</f>
        <v>0</v>
      </c>
    </row>
    <row r="73" spans="3:7" x14ac:dyDescent="0.25">
      <c r="C73" t="s">
        <v>1353</v>
      </c>
      <c r="D73">
        <f>VLOOKUP(Manquants!C73,Tableau1[[Nom]:[HM]],4,0)</f>
        <v>0</v>
      </c>
      <c r="F73" t="s">
        <v>1353</v>
      </c>
      <c r="G73" t="e">
        <v>#N/A</v>
      </c>
    </row>
    <row r="74" spans="3:7" x14ac:dyDescent="0.25">
      <c r="C74" t="s">
        <v>1551</v>
      </c>
      <c r="D74" t="e">
        <f>VLOOKUP(Manquants!C74,Tableau1[[Nom]:[HM]],4,0)</f>
        <v>#N/A</v>
      </c>
      <c r="F74" t="s">
        <v>1551</v>
      </c>
      <c r="G74" t="e">
        <v>#N/A</v>
      </c>
    </row>
    <row r="75" spans="3:7" x14ac:dyDescent="0.25">
      <c r="C75" t="s">
        <v>403</v>
      </c>
      <c r="D75">
        <f>VLOOKUP(Manquants!C75,Tableau1[[Nom]:[HM]],4,0)</f>
        <v>0</v>
      </c>
    </row>
    <row r="76" spans="3:7" x14ac:dyDescent="0.25">
      <c r="D76" t="e">
        <f>VLOOKUP(Manquants!C76,Tableau1[[Nom]:[HM]],4,0)</f>
        <v>#N/A</v>
      </c>
    </row>
    <row r="77" spans="3:7" x14ac:dyDescent="0.25">
      <c r="D77" t="e">
        <f>VLOOKUP(Manquants!C77,Tableau1[[Nom]:[HM]],4,0)</f>
        <v>#N/A</v>
      </c>
    </row>
    <row r="78" spans="3:7" x14ac:dyDescent="0.25">
      <c r="D78" t="e">
        <f>VLOOKUP(Manquants!C78,Tableau1[[Nom]:[HM]],4,0)</f>
        <v>#N/A</v>
      </c>
    </row>
    <row r="79" spans="3:7" x14ac:dyDescent="0.25">
      <c r="D79" t="e">
        <f>VLOOKUP(Manquants!C79,Tableau1[[Nom]:[HM]],4,0)</f>
        <v>#N/A</v>
      </c>
    </row>
    <row r="80" spans="3:7" x14ac:dyDescent="0.25">
      <c r="D80" t="e">
        <f>VLOOKUP(Manquants!C80,Tableau1[[Nom]:[HM]],4,0)</f>
        <v>#N/A</v>
      </c>
    </row>
    <row r="81" spans="4:4" x14ac:dyDescent="0.25">
      <c r="D81" t="e">
        <f>VLOOKUP(Manquants!C81,Tableau1[[Nom]:[HM]],4,0)</f>
        <v>#N/A</v>
      </c>
    </row>
    <row r="82" spans="4:4" x14ac:dyDescent="0.25">
      <c r="D82" t="e">
        <f>VLOOKUP(Manquants!C82,Tableau1[[Nom]:[HM]],4,0)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06"/>
  <sheetViews>
    <sheetView topLeftCell="I1" workbookViewId="0">
      <selection activeCell="Q3" sqref="Q3"/>
    </sheetView>
  </sheetViews>
  <sheetFormatPr baseColWidth="10" defaultColWidth="11.42578125" defaultRowHeight="15" x14ac:dyDescent="0.25"/>
  <cols>
    <col min="8" max="8" width="23.28515625" bestFit="1" customWidth="1"/>
    <col min="13" max="13" width="16.85546875" customWidth="1"/>
  </cols>
  <sheetData>
    <row r="2" spans="1:23" x14ac:dyDescent="0.25">
      <c r="A2" s="5">
        <v>1</v>
      </c>
      <c r="B2" s="6" t="s">
        <v>465</v>
      </c>
      <c r="C2" s="5">
        <v>41</v>
      </c>
      <c r="D2" s="5">
        <v>52</v>
      </c>
      <c r="E2">
        <f>C2+D2</f>
        <v>93</v>
      </c>
      <c r="H2" t="s">
        <v>0</v>
      </c>
      <c r="I2">
        <v>93</v>
      </c>
      <c r="K2" s="4" t="s">
        <v>164</v>
      </c>
      <c r="L2" s="4" t="s">
        <v>165</v>
      </c>
      <c r="M2" t="str">
        <f>K2&amp;" "&amp;L2</f>
        <v>Sidney Crosby</v>
      </c>
      <c r="N2">
        <f>VLOOKUP(M2,$H$2:$I$201,2,0)</f>
        <v>93</v>
      </c>
      <c r="P2" t="s">
        <v>1345</v>
      </c>
      <c r="Q2" t="s">
        <v>1346</v>
      </c>
      <c r="W2">
        <v>44</v>
      </c>
    </row>
    <row r="3" spans="1:23" x14ac:dyDescent="0.25">
      <c r="A3" s="7">
        <v>2</v>
      </c>
      <c r="B3" t="s">
        <v>466</v>
      </c>
      <c r="C3" s="7">
        <v>43</v>
      </c>
      <c r="D3" s="7">
        <v>48</v>
      </c>
      <c r="E3">
        <f t="shared" ref="E3:E66" si="0">C3+D3</f>
        <v>91</v>
      </c>
      <c r="H3" t="s">
        <v>2</v>
      </c>
      <c r="I3">
        <v>91</v>
      </c>
      <c r="K3" s="3" t="s">
        <v>162</v>
      </c>
      <c r="L3" s="3" t="s">
        <v>163</v>
      </c>
      <c r="M3" t="str">
        <f t="shared" ref="M3:M66" si="1">K3&amp;" "&amp;L3</f>
        <v>Patrick Kane</v>
      </c>
      <c r="N3">
        <f t="shared" ref="N3:N66" si="2">VLOOKUP(M3,$H$2:$I$201,2,0)</f>
        <v>91</v>
      </c>
      <c r="P3" t="s">
        <v>1685</v>
      </c>
      <c r="Q3" t="s">
        <v>1683</v>
      </c>
    </row>
    <row r="4" spans="1:23" x14ac:dyDescent="0.25">
      <c r="A4" s="5">
        <v>3</v>
      </c>
      <c r="B4" s="6" t="s">
        <v>467</v>
      </c>
      <c r="C4" s="5">
        <v>35</v>
      </c>
      <c r="D4" s="5">
        <v>58</v>
      </c>
      <c r="E4">
        <f t="shared" si="0"/>
        <v>93</v>
      </c>
      <c r="H4" t="s">
        <v>3</v>
      </c>
      <c r="I4">
        <v>93</v>
      </c>
      <c r="K4" s="4" t="s">
        <v>160</v>
      </c>
      <c r="L4" s="4" t="s">
        <v>161</v>
      </c>
      <c r="M4" t="str">
        <f t="shared" si="1"/>
        <v>Connor McDavid</v>
      </c>
      <c r="N4">
        <f t="shared" si="2"/>
        <v>84</v>
      </c>
      <c r="P4" t="s">
        <v>1370</v>
      </c>
      <c r="Q4" t="s">
        <v>1371</v>
      </c>
    </row>
    <row r="5" spans="1:23" x14ac:dyDescent="0.25">
      <c r="A5" s="7">
        <v>4</v>
      </c>
      <c r="B5" t="s">
        <v>468</v>
      </c>
      <c r="C5" s="7">
        <v>38</v>
      </c>
      <c r="D5" s="7">
        <v>38</v>
      </c>
      <c r="E5">
        <f t="shared" si="0"/>
        <v>76</v>
      </c>
      <c r="H5" t="s">
        <v>5</v>
      </c>
      <c r="I5">
        <v>76</v>
      </c>
      <c r="K5" s="3" t="s">
        <v>158</v>
      </c>
      <c r="L5" s="3" t="s">
        <v>159</v>
      </c>
      <c r="M5" t="str">
        <f t="shared" si="1"/>
        <v>Jamie Benn</v>
      </c>
      <c r="N5">
        <f t="shared" si="2"/>
        <v>93</v>
      </c>
      <c r="P5" t="s">
        <v>1261</v>
      </c>
      <c r="Q5" t="s">
        <v>1262</v>
      </c>
      <c r="W5">
        <v>40</v>
      </c>
    </row>
    <row r="6" spans="1:23" x14ac:dyDescent="0.25">
      <c r="A6" s="5">
        <v>5</v>
      </c>
      <c r="B6" t="s">
        <v>469</v>
      </c>
      <c r="C6" s="5">
        <v>19</v>
      </c>
      <c r="D6" s="5">
        <v>63</v>
      </c>
      <c r="E6">
        <f t="shared" si="0"/>
        <v>82</v>
      </c>
      <c r="H6" t="s">
        <v>8</v>
      </c>
      <c r="I6">
        <v>82</v>
      </c>
      <c r="K6" s="4" t="s">
        <v>166</v>
      </c>
      <c r="L6" s="4" t="s">
        <v>167</v>
      </c>
      <c r="M6" t="str">
        <f t="shared" si="1"/>
        <v>Tyler Seguin</v>
      </c>
      <c r="N6">
        <f t="shared" si="2"/>
        <v>77</v>
      </c>
      <c r="P6" t="s">
        <v>1239</v>
      </c>
      <c r="Q6" t="s">
        <v>1240</v>
      </c>
      <c r="W6">
        <v>47</v>
      </c>
    </row>
    <row r="7" spans="1:23" x14ac:dyDescent="0.25">
      <c r="A7" s="7">
        <v>6</v>
      </c>
      <c r="B7" t="s">
        <v>470</v>
      </c>
      <c r="C7" s="7">
        <v>42</v>
      </c>
      <c r="D7" s="7">
        <v>39</v>
      </c>
      <c r="E7">
        <f t="shared" si="0"/>
        <v>81</v>
      </c>
      <c r="H7" t="s">
        <v>9</v>
      </c>
      <c r="I7">
        <v>81</v>
      </c>
      <c r="K7" s="3" t="s">
        <v>170</v>
      </c>
      <c r="L7" s="3" t="s">
        <v>171</v>
      </c>
      <c r="M7" t="str">
        <f t="shared" si="1"/>
        <v>John Tavares</v>
      </c>
      <c r="N7">
        <f t="shared" si="2"/>
        <v>78</v>
      </c>
      <c r="P7" t="s">
        <v>349</v>
      </c>
      <c r="Q7" t="s">
        <v>1367</v>
      </c>
    </row>
    <row r="8" spans="1:23" x14ac:dyDescent="0.25">
      <c r="A8" s="5">
        <v>7</v>
      </c>
      <c r="B8" t="s">
        <v>471</v>
      </c>
      <c r="C8" s="5">
        <v>51</v>
      </c>
      <c r="D8" s="5">
        <v>22</v>
      </c>
      <c r="E8">
        <f t="shared" si="0"/>
        <v>73</v>
      </c>
      <c r="H8" t="s">
        <v>665</v>
      </c>
      <c r="I8">
        <v>73</v>
      </c>
      <c r="K8" s="4" t="s">
        <v>172</v>
      </c>
      <c r="L8" s="4" t="s">
        <v>173</v>
      </c>
      <c r="M8" t="str">
        <f t="shared" si="1"/>
        <v>Johnny Gaudreau</v>
      </c>
      <c r="N8">
        <f t="shared" si="2"/>
        <v>84</v>
      </c>
      <c r="P8" t="s">
        <v>1407</v>
      </c>
      <c r="Q8" t="s">
        <v>1523</v>
      </c>
      <c r="W8">
        <v>39</v>
      </c>
    </row>
    <row r="9" spans="1:23" x14ac:dyDescent="0.25">
      <c r="A9" s="7">
        <v>8</v>
      </c>
      <c r="B9" t="s">
        <v>472</v>
      </c>
      <c r="C9" s="7">
        <v>30</v>
      </c>
      <c r="D9" s="7">
        <v>54</v>
      </c>
      <c r="E9">
        <f t="shared" si="0"/>
        <v>84</v>
      </c>
      <c r="H9" t="s">
        <v>1</v>
      </c>
      <c r="I9">
        <v>84</v>
      </c>
      <c r="K9" s="3" t="s">
        <v>176</v>
      </c>
      <c r="L9" s="3" t="s">
        <v>177</v>
      </c>
      <c r="M9" t="str">
        <f t="shared" si="1"/>
        <v>Erik Karlsson</v>
      </c>
      <c r="N9">
        <f t="shared" si="2"/>
        <v>82</v>
      </c>
      <c r="P9" t="s">
        <v>222</v>
      </c>
      <c r="Q9" t="s">
        <v>1514</v>
      </c>
      <c r="W9">
        <v>37</v>
      </c>
    </row>
    <row r="10" spans="1:23" x14ac:dyDescent="0.25">
      <c r="A10" s="5">
        <v>9</v>
      </c>
      <c r="B10" t="s">
        <v>473</v>
      </c>
      <c r="C10" s="5">
        <v>28</v>
      </c>
      <c r="D10" s="5">
        <v>43</v>
      </c>
      <c r="E10">
        <f t="shared" si="0"/>
        <v>71</v>
      </c>
      <c r="H10" t="s">
        <v>34</v>
      </c>
      <c r="I10">
        <v>71</v>
      </c>
      <c r="K10" s="4" t="s">
        <v>178</v>
      </c>
      <c r="L10" s="4" t="s">
        <v>179</v>
      </c>
      <c r="M10" t="str">
        <f t="shared" si="1"/>
        <v>Vladimir Tarasenko</v>
      </c>
      <c r="N10">
        <f t="shared" si="2"/>
        <v>81</v>
      </c>
      <c r="P10" t="s">
        <v>233</v>
      </c>
      <c r="Q10" t="s">
        <v>1433</v>
      </c>
      <c r="W10">
        <v>39</v>
      </c>
    </row>
    <row r="11" spans="1:23" x14ac:dyDescent="0.25">
      <c r="A11" s="7">
        <v>10</v>
      </c>
      <c r="B11" t="s">
        <v>474</v>
      </c>
      <c r="C11" s="7">
        <v>34</v>
      </c>
      <c r="D11" s="7">
        <v>50</v>
      </c>
      <c r="E11">
        <f t="shared" si="0"/>
        <v>84</v>
      </c>
      <c r="H11" t="s">
        <v>7</v>
      </c>
      <c r="I11">
        <v>84</v>
      </c>
      <c r="K11" s="3" t="s">
        <v>174</v>
      </c>
      <c r="L11" s="3" t="s">
        <v>175</v>
      </c>
      <c r="M11" t="str">
        <f t="shared" si="1"/>
        <v>Alexander Ovechkin</v>
      </c>
      <c r="N11">
        <v>73</v>
      </c>
      <c r="P11" t="s">
        <v>333</v>
      </c>
      <c r="Q11" t="s">
        <v>1431</v>
      </c>
      <c r="W11">
        <v>46</v>
      </c>
    </row>
    <row r="12" spans="1:23" x14ac:dyDescent="0.25">
      <c r="A12" s="5">
        <v>11</v>
      </c>
      <c r="B12" t="s">
        <v>475</v>
      </c>
      <c r="C12" s="5">
        <v>36</v>
      </c>
      <c r="D12" s="5">
        <v>42</v>
      </c>
      <c r="E12">
        <f t="shared" si="0"/>
        <v>78</v>
      </c>
      <c r="H12" t="s">
        <v>6</v>
      </c>
      <c r="I12">
        <v>78</v>
      </c>
      <c r="K12" s="4" t="s">
        <v>168</v>
      </c>
      <c r="L12" s="4" t="s">
        <v>169</v>
      </c>
      <c r="M12" t="str">
        <f t="shared" si="1"/>
        <v>Joe Pavelski</v>
      </c>
      <c r="N12">
        <f t="shared" si="2"/>
        <v>76</v>
      </c>
      <c r="P12" t="s">
        <v>1368</v>
      </c>
      <c r="Q12" t="s">
        <v>1369</v>
      </c>
    </row>
    <row r="13" spans="1:23" x14ac:dyDescent="0.25">
      <c r="A13" s="7">
        <v>12</v>
      </c>
      <c r="B13" t="s">
        <v>476</v>
      </c>
      <c r="C13" s="7">
        <v>32</v>
      </c>
      <c r="D13" s="7">
        <v>50</v>
      </c>
      <c r="E13">
        <f t="shared" si="0"/>
        <v>82</v>
      </c>
      <c r="H13" t="s">
        <v>19</v>
      </c>
      <c r="I13">
        <v>82</v>
      </c>
      <c r="K13" s="3" t="s">
        <v>182</v>
      </c>
      <c r="L13" s="3" t="s">
        <v>183</v>
      </c>
      <c r="M13" t="str">
        <f t="shared" si="1"/>
        <v>Nicklas Backstrom</v>
      </c>
      <c r="N13">
        <f t="shared" si="2"/>
        <v>76</v>
      </c>
      <c r="P13" t="s">
        <v>1228</v>
      </c>
      <c r="Q13" t="s">
        <v>1229</v>
      </c>
    </row>
    <row r="14" spans="1:23" x14ac:dyDescent="0.25">
      <c r="A14" s="5">
        <v>13</v>
      </c>
      <c r="B14" s="6" t="s">
        <v>477</v>
      </c>
      <c r="C14" s="5">
        <v>35</v>
      </c>
      <c r="D14" s="5">
        <v>42</v>
      </c>
      <c r="E14">
        <f t="shared" si="0"/>
        <v>77</v>
      </c>
      <c r="H14" t="s">
        <v>4</v>
      </c>
      <c r="I14">
        <v>77</v>
      </c>
      <c r="K14" s="4" t="s">
        <v>184</v>
      </c>
      <c r="L14" s="4" t="s">
        <v>185</v>
      </c>
      <c r="M14" t="str">
        <f t="shared" si="1"/>
        <v>Claude Giroux</v>
      </c>
      <c r="N14">
        <f t="shared" si="2"/>
        <v>70</v>
      </c>
      <c r="P14" t="s">
        <v>1450</v>
      </c>
      <c r="Q14" t="s">
        <v>1451</v>
      </c>
    </row>
    <row r="15" spans="1:23" x14ac:dyDescent="0.25">
      <c r="A15" s="7">
        <v>14</v>
      </c>
      <c r="B15" s="8" t="s">
        <v>478</v>
      </c>
      <c r="C15" s="7">
        <v>34</v>
      </c>
      <c r="D15" s="7">
        <v>40</v>
      </c>
      <c r="E15">
        <f t="shared" si="0"/>
        <v>74</v>
      </c>
      <c r="H15" t="s">
        <v>24</v>
      </c>
      <c r="I15">
        <v>74</v>
      </c>
      <c r="K15" s="3" t="s">
        <v>202</v>
      </c>
      <c r="L15" s="3" t="s">
        <v>203</v>
      </c>
      <c r="M15" t="str">
        <f t="shared" si="1"/>
        <v>Evgeni Malkin</v>
      </c>
      <c r="N15">
        <f t="shared" si="2"/>
        <v>72</v>
      </c>
      <c r="P15" t="s">
        <v>1350</v>
      </c>
      <c r="Q15" t="s">
        <v>1351</v>
      </c>
      <c r="W15">
        <v>41</v>
      </c>
    </row>
    <row r="16" spans="1:23" x14ac:dyDescent="0.25">
      <c r="A16" s="5">
        <v>15</v>
      </c>
      <c r="B16" t="s">
        <v>479</v>
      </c>
      <c r="C16" s="5">
        <v>19</v>
      </c>
      <c r="D16" s="5">
        <v>57</v>
      </c>
      <c r="E16">
        <f t="shared" si="0"/>
        <v>76</v>
      </c>
      <c r="H16" t="s">
        <v>11</v>
      </c>
      <c r="I16">
        <v>76</v>
      </c>
      <c r="K16" s="4" t="s">
        <v>206</v>
      </c>
      <c r="L16" s="4" t="s">
        <v>207</v>
      </c>
      <c r="M16" t="str">
        <f t="shared" si="1"/>
        <v>Evgeny Kuznetsov</v>
      </c>
      <c r="N16">
        <f t="shared" si="2"/>
        <v>80</v>
      </c>
      <c r="P16" t="s">
        <v>166</v>
      </c>
      <c r="Q16" t="s">
        <v>1258</v>
      </c>
    </row>
    <row r="17" spans="1:23" x14ac:dyDescent="0.25">
      <c r="A17" s="7">
        <v>16</v>
      </c>
      <c r="B17" t="s">
        <v>480</v>
      </c>
      <c r="C17" s="7">
        <v>26</v>
      </c>
      <c r="D17" s="7">
        <v>34</v>
      </c>
      <c r="E17">
        <f t="shared" si="0"/>
        <v>60</v>
      </c>
      <c r="H17" t="s">
        <v>38</v>
      </c>
      <c r="I17">
        <v>60</v>
      </c>
      <c r="K17" s="3" t="s">
        <v>186</v>
      </c>
      <c r="L17" s="3" t="s">
        <v>187</v>
      </c>
      <c r="M17" t="str">
        <f t="shared" si="1"/>
        <v>Steven Stamkos</v>
      </c>
      <c r="N17">
        <f t="shared" si="2"/>
        <v>70</v>
      </c>
      <c r="P17" t="s">
        <v>442</v>
      </c>
      <c r="Q17" t="s">
        <v>1684</v>
      </c>
    </row>
    <row r="18" spans="1:23" x14ac:dyDescent="0.25">
      <c r="A18" s="5">
        <v>17</v>
      </c>
      <c r="B18" t="s">
        <v>481</v>
      </c>
      <c r="C18" s="5">
        <v>27</v>
      </c>
      <c r="D18" s="5">
        <v>45</v>
      </c>
      <c r="E18">
        <f t="shared" si="0"/>
        <v>72</v>
      </c>
      <c r="H18" t="s">
        <v>23</v>
      </c>
      <c r="I18">
        <v>72</v>
      </c>
      <c r="K18" s="4" t="s">
        <v>208</v>
      </c>
      <c r="L18" s="4" t="s">
        <v>209</v>
      </c>
      <c r="M18" t="str">
        <f t="shared" si="1"/>
        <v>Nikita Kucherov</v>
      </c>
      <c r="N18">
        <f t="shared" si="2"/>
        <v>74</v>
      </c>
      <c r="P18" t="s">
        <v>402</v>
      </c>
      <c r="Q18" t="s">
        <v>1547</v>
      </c>
      <c r="W18">
        <v>46</v>
      </c>
    </row>
    <row r="19" spans="1:23" x14ac:dyDescent="0.25">
      <c r="A19" s="7">
        <v>18</v>
      </c>
      <c r="B19" s="8" t="s">
        <v>482</v>
      </c>
      <c r="C19" s="7">
        <v>18</v>
      </c>
      <c r="D19" s="7">
        <v>33</v>
      </c>
      <c r="E19">
        <f t="shared" si="0"/>
        <v>51</v>
      </c>
      <c r="H19" t="s">
        <v>76</v>
      </c>
      <c r="I19">
        <v>51</v>
      </c>
      <c r="K19" s="3" t="s">
        <v>180</v>
      </c>
      <c r="L19" s="3" t="s">
        <v>181</v>
      </c>
      <c r="M19" t="str">
        <f t="shared" si="1"/>
        <v>Anze Kopitar</v>
      </c>
      <c r="N19">
        <f t="shared" si="2"/>
        <v>73</v>
      </c>
      <c r="P19" t="s">
        <v>431</v>
      </c>
      <c r="Q19" t="s">
        <v>1550</v>
      </c>
      <c r="W19">
        <v>35</v>
      </c>
    </row>
    <row r="20" spans="1:23" x14ac:dyDescent="0.25">
      <c r="A20" s="5">
        <v>19</v>
      </c>
      <c r="B20" t="s">
        <v>483</v>
      </c>
      <c r="C20" s="5">
        <v>30</v>
      </c>
      <c r="D20" s="5">
        <v>43</v>
      </c>
      <c r="E20">
        <f t="shared" si="0"/>
        <v>73</v>
      </c>
      <c r="H20" t="s">
        <v>16</v>
      </c>
      <c r="I20">
        <v>73</v>
      </c>
      <c r="K20" s="4" t="s">
        <v>188</v>
      </c>
      <c r="L20" s="4" t="s">
        <v>189</v>
      </c>
      <c r="M20" t="str">
        <f t="shared" si="1"/>
        <v>Ryan Getzlaf</v>
      </c>
      <c r="N20">
        <f t="shared" si="2"/>
        <v>66</v>
      </c>
      <c r="P20" t="s">
        <v>1533</v>
      </c>
      <c r="Q20" t="s">
        <v>1534</v>
      </c>
      <c r="W20">
        <v>44</v>
      </c>
    </row>
    <row r="21" spans="1:23" x14ac:dyDescent="0.25">
      <c r="A21" s="7">
        <v>20</v>
      </c>
      <c r="B21" t="s">
        <v>484</v>
      </c>
      <c r="C21" s="7">
        <v>40</v>
      </c>
      <c r="D21" s="7">
        <v>30</v>
      </c>
      <c r="E21">
        <f t="shared" si="0"/>
        <v>70</v>
      </c>
      <c r="H21" t="s">
        <v>13</v>
      </c>
      <c r="I21">
        <v>70</v>
      </c>
      <c r="K21" s="3" t="s">
        <v>198</v>
      </c>
      <c r="L21" s="3" t="s">
        <v>199</v>
      </c>
      <c r="M21" t="str">
        <f t="shared" si="1"/>
        <v>Artemi Panarin</v>
      </c>
      <c r="N21">
        <f t="shared" si="2"/>
        <v>82</v>
      </c>
      <c r="P21" t="s">
        <v>1452</v>
      </c>
      <c r="Q21" t="s">
        <v>1453</v>
      </c>
    </row>
    <row r="22" spans="1:23" x14ac:dyDescent="0.25">
      <c r="A22" s="5">
        <v>21</v>
      </c>
      <c r="B22" t="s">
        <v>485</v>
      </c>
      <c r="C22" s="5">
        <v>23</v>
      </c>
      <c r="D22" s="5">
        <v>50</v>
      </c>
      <c r="E22">
        <f t="shared" si="0"/>
        <v>73</v>
      </c>
      <c r="H22" t="s">
        <v>10</v>
      </c>
      <c r="I22">
        <v>73</v>
      </c>
      <c r="K22" s="4" t="s">
        <v>168</v>
      </c>
      <c r="L22" s="4" t="s">
        <v>200</v>
      </c>
      <c r="M22" t="str">
        <f t="shared" si="1"/>
        <v>Joe Thornton</v>
      </c>
      <c r="N22">
        <f t="shared" si="2"/>
        <v>76</v>
      </c>
      <c r="P22" t="s">
        <v>166</v>
      </c>
      <c r="Q22" t="s">
        <v>1248</v>
      </c>
    </row>
    <row r="23" spans="1:23" x14ac:dyDescent="0.25">
      <c r="A23" s="7">
        <v>22</v>
      </c>
      <c r="B23" t="s">
        <v>486</v>
      </c>
      <c r="C23" s="7">
        <v>17</v>
      </c>
      <c r="D23" s="7">
        <v>59</v>
      </c>
      <c r="E23">
        <f t="shared" si="0"/>
        <v>76</v>
      </c>
      <c r="H23" t="s">
        <v>21</v>
      </c>
      <c r="I23">
        <v>76</v>
      </c>
      <c r="K23" s="3" t="s">
        <v>192</v>
      </c>
      <c r="L23" s="3" t="s">
        <v>193</v>
      </c>
      <c r="M23" t="str">
        <f t="shared" si="1"/>
        <v>Blake Wheeler</v>
      </c>
      <c r="N23">
        <f t="shared" si="2"/>
        <v>73</v>
      </c>
      <c r="P23" t="s">
        <v>1563</v>
      </c>
      <c r="Q23" t="s">
        <v>1564</v>
      </c>
    </row>
    <row r="24" spans="1:23" x14ac:dyDescent="0.25">
      <c r="A24" s="5">
        <v>23</v>
      </c>
      <c r="B24" t="s">
        <v>487</v>
      </c>
      <c r="C24" s="5">
        <v>25</v>
      </c>
      <c r="D24" s="5">
        <v>55</v>
      </c>
      <c r="E24">
        <f t="shared" si="0"/>
        <v>80</v>
      </c>
      <c r="H24" t="s">
        <v>26</v>
      </c>
      <c r="I24">
        <v>80</v>
      </c>
      <c r="K24" s="4" t="s">
        <v>190</v>
      </c>
      <c r="L24" s="4" t="s">
        <v>191</v>
      </c>
      <c r="M24" t="str">
        <f t="shared" si="1"/>
        <v>Aleksander Barkov</v>
      </c>
      <c r="N24">
        <f t="shared" si="2"/>
        <v>59</v>
      </c>
      <c r="P24" t="s">
        <v>1233</v>
      </c>
      <c r="Q24" t="s">
        <v>1234</v>
      </c>
    </row>
    <row r="25" spans="1:23" x14ac:dyDescent="0.25">
      <c r="A25" s="7">
        <v>24</v>
      </c>
      <c r="B25" t="s">
        <v>488</v>
      </c>
      <c r="C25" s="7">
        <v>33</v>
      </c>
      <c r="D25" s="7">
        <v>30</v>
      </c>
      <c r="E25">
        <f t="shared" si="0"/>
        <v>63</v>
      </c>
      <c r="H25" t="s">
        <v>22</v>
      </c>
      <c r="I25">
        <v>63</v>
      </c>
      <c r="K25" s="3" t="s">
        <v>196</v>
      </c>
      <c r="L25" s="3" t="s">
        <v>197</v>
      </c>
      <c r="M25" t="str">
        <f t="shared" si="1"/>
        <v>Mark Scheifele</v>
      </c>
      <c r="N25">
        <f t="shared" si="2"/>
        <v>61</v>
      </c>
      <c r="P25" t="s">
        <v>231</v>
      </c>
      <c r="Q25" t="s">
        <v>1348</v>
      </c>
      <c r="W25">
        <v>52</v>
      </c>
    </row>
    <row r="26" spans="1:23" x14ac:dyDescent="0.25">
      <c r="A26" s="5">
        <v>25</v>
      </c>
      <c r="B26" t="s">
        <v>489</v>
      </c>
      <c r="C26" s="5">
        <v>28</v>
      </c>
      <c r="D26" s="5">
        <v>38</v>
      </c>
      <c r="E26">
        <f t="shared" si="0"/>
        <v>66</v>
      </c>
      <c r="H26" t="s">
        <v>46</v>
      </c>
      <c r="I26">
        <v>66</v>
      </c>
      <c r="K26" s="4" t="s">
        <v>188</v>
      </c>
      <c r="L26" s="4" t="s">
        <v>201</v>
      </c>
      <c r="M26" t="str">
        <f t="shared" si="1"/>
        <v>Ryan Johansen</v>
      </c>
      <c r="N26">
        <f t="shared" si="2"/>
        <v>54</v>
      </c>
      <c r="P26" t="s">
        <v>1385</v>
      </c>
      <c r="Q26" t="s">
        <v>1386</v>
      </c>
    </row>
    <row r="27" spans="1:23" x14ac:dyDescent="0.25">
      <c r="A27" s="7">
        <v>26</v>
      </c>
      <c r="B27" t="s">
        <v>490</v>
      </c>
      <c r="C27" s="7">
        <v>30</v>
      </c>
      <c r="D27" s="7">
        <v>27</v>
      </c>
      <c r="E27">
        <f t="shared" si="0"/>
        <v>57</v>
      </c>
      <c r="H27" t="s">
        <v>45</v>
      </c>
      <c r="I27">
        <v>57</v>
      </c>
      <c r="K27" s="3" t="s">
        <v>194</v>
      </c>
      <c r="L27" s="3" t="s">
        <v>195</v>
      </c>
      <c r="M27" t="str">
        <f t="shared" si="1"/>
        <v>Filip Forsberg</v>
      </c>
      <c r="N27">
        <f t="shared" si="2"/>
        <v>57</v>
      </c>
      <c r="P27" t="s">
        <v>1236</v>
      </c>
      <c r="Q27" t="s">
        <v>1237</v>
      </c>
    </row>
    <row r="28" spans="1:23" x14ac:dyDescent="0.25">
      <c r="A28" s="5">
        <v>27</v>
      </c>
      <c r="B28" t="s">
        <v>491</v>
      </c>
      <c r="C28" s="5">
        <v>24</v>
      </c>
      <c r="D28" s="5">
        <v>32</v>
      </c>
      <c r="E28">
        <f t="shared" si="0"/>
        <v>56</v>
      </c>
      <c r="H28" t="s">
        <v>666</v>
      </c>
      <c r="I28">
        <v>56</v>
      </c>
      <c r="K28" s="4" t="s">
        <v>210</v>
      </c>
      <c r="L28" s="4" t="s">
        <v>211</v>
      </c>
      <c r="M28" t="str">
        <f t="shared" si="1"/>
        <v>Sean Monahan</v>
      </c>
      <c r="N28">
        <f t="shared" si="2"/>
        <v>68</v>
      </c>
    </row>
    <row r="29" spans="1:23" x14ac:dyDescent="0.25">
      <c r="A29" s="7">
        <v>28</v>
      </c>
      <c r="B29" t="s">
        <v>492</v>
      </c>
      <c r="C29" s="7">
        <v>9</v>
      </c>
      <c r="D29" s="7">
        <v>44</v>
      </c>
      <c r="E29">
        <f t="shared" si="0"/>
        <v>53</v>
      </c>
      <c r="H29" t="s">
        <v>40</v>
      </c>
      <c r="I29">
        <v>53</v>
      </c>
      <c r="K29" s="3" t="s">
        <v>204</v>
      </c>
      <c r="L29" s="3" t="s">
        <v>205</v>
      </c>
      <c r="M29" t="str">
        <f t="shared" si="1"/>
        <v>Corey Perry</v>
      </c>
      <c r="N29">
        <f t="shared" si="2"/>
        <v>63</v>
      </c>
    </row>
    <row r="30" spans="1:23" x14ac:dyDescent="0.25">
      <c r="A30" s="5">
        <v>29</v>
      </c>
      <c r="B30" t="s">
        <v>493</v>
      </c>
      <c r="C30" s="5">
        <v>24</v>
      </c>
      <c r="D30" s="5">
        <v>46</v>
      </c>
      <c r="E30">
        <f t="shared" si="0"/>
        <v>70</v>
      </c>
      <c r="H30" t="s">
        <v>12</v>
      </c>
      <c r="I30">
        <v>70</v>
      </c>
      <c r="K30" s="4" t="s">
        <v>224</v>
      </c>
      <c r="L30" s="4" t="s">
        <v>225</v>
      </c>
      <c r="M30" t="str">
        <f t="shared" si="1"/>
        <v>Taylor Hall</v>
      </c>
      <c r="N30">
        <f t="shared" si="2"/>
        <v>63</v>
      </c>
    </row>
    <row r="31" spans="1:23" x14ac:dyDescent="0.25">
      <c r="A31" s="7">
        <v>30</v>
      </c>
      <c r="B31" t="s">
        <v>494</v>
      </c>
      <c r="C31" s="7">
        <v>34</v>
      </c>
      <c r="D31" s="7">
        <v>30</v>
      </c>
      <c r="E31">
        <f t="shared" si="0"/>
        <v>64</v>
      </c>
      <c r="H31" t="s">
        <v>50</v>
      </c>
      <c r="I31">
        <v>64</v>
      </c>
      <c r="K31" s="3" t="s">
        <v>216</v>
      </c>
      <c r="L31" s="3" t="s">
        <v>217</v>
      </c>
      <c r="M31" t="str">
        <f t="shared" si="1"/>
        <v>Max Pacioretty</v>
      </c>
      <c r="N31">
        <f t="shared" si="2"/>
        <v>61</v>
      </c>
    </row>
    <row r="32" spans="1:23" x14ac:dyDescent="0.25">
      <c r="A32" s="5">
        <v>31</v>
      </c>
      <c r="B32" t="s">
        <v>495</v>
      </c>
      <c r="C32" s="5">
        <v>15</v>
      </c>
      <c r="D32" s="5">
        <v>51</v>
      </c>
      <c r="E32">
        <f t="shared" si="0"/>
        <v>66</v>
      </c>
      <c r="H32" t="s">
        <v>14</v>
      </c>
      <c r="I32">
        <v>66</v>
      </c>
      <c r="K32" s="4" t="s">
        <v>212</v>
      </c>
      <c r="L32" s="4" t="s">
        <v>213</v>
      </c>
      <c r="M32" t="str">
        <f t="shared" si="1"/>
        <v>Jakub Voracek</v>
      </c>
      <c r="N32">
        <f t="shared" si="2"/>
        <v>57</v>
      </c>
    </row>
    <row r="33" spans="1:14" x14ac:dyDescent="0.25">
      <c r="A33" s="7">
        <v>32</v>
      </c>
      <c r="B33" t="s">
        <v>496</v>
      </c>
      <c r="C33" s="7">
        <v>11</v>
      </c>
      <c r="D33" s="7">
        <v>35</v>
      </c>
      <c r="E33">
        <f t="shared" si="0"/>
        <v>46</v>
      </c>
      <c r="H33" t="s">
        <v>103</v>
      </c>
      <c r="I33">
        <v>46</v>
      </c>
      <c r="K33" s="3" t="s">
        <v>218</v>
      </c>
      <c r="L33" s="3" t="s">
        <v>219</v>
      </c>
      <c r="M33" t="str">
        <f t="shared" si="1"/>
        <v>Jonathan Huberdeau</v>
      </c>
      <c r="N33">
        <f t="shared" si="2"/>
        <v>60</v>
      </c>
    </row>
    <row r="34" spans="1:14" x14ac:dyDescent="0.25">
      <c r="A34" s="5">
        <v>33</v>
      </c>
      <c r="B34" t="s">
        <v>497</v>
      </c>
      <c r="C34" s="5">
        <v>14</v>
      </c>
      <c r="D34" s="5">
        <v>39</v>
      </c>
      <c r="E34">
        <f t="shared" si="0"/>
        <v>53</v>
      </c>
      <c r="H34" t="s">
        <v>667</v>
      </c>
      <c r="I34">
        <v>53</v>
      </c>
      <c r="K34" s="4" t="s">
        <v>222</v>
      </c>
      <c r="L34" s="4" t="s">
        <v>223</v>
      </c>
      <c r="M34" t="str">
        <f t="shared" si="1"/>
        <v>Brent Burns</v>
      </c>
      <c r="N34">
        <f t="shared" si="2"/>
        <v>71</v>
      </c>
    </row>
    <row r="35" spans="1:14" x14ac:dyDescent="0.25">
      <c r="A35" s="7">
        <v>34</v>
      </c>
      <c r="B35" t="s">
        <v>498</v>
      </c>
      <c r="C35" s="7">
        <v>14</v>
      </c>
      <c r="D35" s="7">
        <v>49</v>
      </c>
      <c r="E35">
        <f t="shared" si="0"/>
        <v>63</v>
      </c>
      <c r="H35" t="s">
        <v>95</v>
      </c>
      <c r="I35">
        <v>63</v>
      </c>
      <c r="K35" s="3" t="s">
        <v>214</v>
      </c>
      <c r="L35" s="3" t="s">
        <v>215</v>
      </c>
      <c r="M35" t="str">
        <f t="shared" si="1"/>
        <v>Jack Eichel</v>
      </c>
      <c r="N35">
        <f t="shared" si="2"/>
        <v>64</v>
      </c>
    </row>
    <row r="36" spans="1:14" x14ac:dyDescent="0.25">
      <c r="A36" s="5">
        <v>35</v>
      </c>
      <c r="B36" t="s">
        <v>499</v>
      </c>
      <c r="C36" s="5">
        <v>32</v>
      </c>
      <c r="D36" s="5">
        <v>29</v>
      </c>
      <c r="E36">
        <f t="shared" si="0"/>
        <v>61</v>
      </c>
      <c r="H36" t="s">
        <v>29</v>
      </c>
      <c r="I36">
        <v>61</v>
      </c>
      <c r="K36" s="4" t="s">
        <v>228</v>
      </c>
      <c r="L36" s="4" t="s">
        <v>229</v>
      </c>
      <c r="M36" t="str">
        <f t="shared" si="1"/>
        <v>Logan Couture</v>
      </c>
      <c r="N36">
        <f t="shared" si="2"/>
        <v>56</v>
      </c>
    </row>
    <row r="37" spans="1:14" x14ac:dyDescent="0.25">
      <c r="A37" s="7">
        <v>36</v>
      </c>
      <c r="B37" t="s">
        <v>500</v>
      </c>
      <c r="C37" s="7">
        <v>17</v>
      </c>
      <c r="D37" s="7">
        <v>35</v>
      </c>
      <c r="E37">
        <f t="shared" si="0"/>
        <v>52</v>
      </c>
      <c r="H37" t="s">
        <v>82</v>
      </c>
      <c r="I37">
        <v>52</v>
      </c>
      <c r="K37" s="3" t="s">
        <v>231</v>
      </c>
      <c r="L37" s="3" t="s">
        <v>232</v>
      </c>
      <c r="M37" t="str">
        <f t="shared" si="1"/>
        <v>David Krejci</v>
      </c>
      <c r="N37">
        <f t="shared" si="2"/>
        <v>55</v>
      </c>
    </row>
    <row r="38" spans="1:14" x14ac:dyDescent="0.25">
      <c r="A38" s="5">
        <v>37</v>
      </c>
      <c r="B38" t="s">
        <v>501</v>
      </c>
      <c r="C38" s="5">
        <v>25</v>
      </c>
      <c r="D38" s="5">
        <v>41</v>
      </c>
      <c r="E38">
        <f t="shared" si="0"/>
        <v>66</v>
      </c>
      <c r="H38" t="s">
        <v>56</v>
      </c>
      <c r="I38">
        <v>66</v>
      </c>
      <c r="K38" s="4" t="s">
        <v>226</v>
      </c>
      <c r="L38" s="4" t="s">
        <v>227</v>
      </c>
      <c r="M38" t="str">
        <f t="shared" si="1"/>
        <v>Jordan Eberle</v>
      </c>
      <c r="N38">
        <f t="shared" si="2"/>
        <v>56</v>
      </c>
    </row>
    <row r="39" spans="1:14" x14ac:dyDescent="0.25">
      <c r="A39" s="7">
        <v>38</v>
      </c>
      <c r="B39" t="s">
        <v>502</v>
      </c>
      <c r="C39" s="7">
        <v>28</v>
      </c>
      <c r="D39" s="7">
        <v>32</v>
      </c>
      <c r="E39">
        <f t="shared" si="0"/>
        <v>60</v>
      </c>
      <c r="H39" t="s">
        <v>42</v>
      </c>
      <c r="I39">
        <v>60</v>
      </c>
      <c r="K39" s="3" t="s">
        <v>270</v>
      </c>
      <c r="L39" s="3" t="s">
        <v>271</v>
      </c>
      <c r="M39" t="str">
        <f t="shared" si="1"/>
        <v>Kristopher Letang</v>
      </c>
      <c r="N39">
        <v>53</v>
      </c>
    </row>
    <row r="40" spans="1:14" x14ac:dyDescent="0.25">
      <c r="A40" s="5">
        <v>39</v>
      </c>
      <c r="B40" t="s">
        <v>503</v>
      </c>
      <c r="C40" s="5">
        <v>17</v>
      </c>
      <c r="D40" s="5">
        <v>28</v>
      </c>
      <c r="E40">
        <f t="shared" si="0"/>
        <v>45</v>
      </c>
      <c r="H40" t="s">
        <v>90</v>
      </c>
      <c r="I40">
        <v>45</v>
      </c>
      <c r="K40" s="4" t="s">
        <v>248</v>
      </c>
      <c r="L40" s="4" t="s">
        <v>249</v>
      </c>
      <c r="M40" t="str">
        <f t="shared" si="1"/>
        <v>Phil Kessel</v>
      </c>
      <c r="N40">
        <f t="shared" si="2"/>
        <v>66</v>
      </c>
    </row>
    <row r="41" spans="1:14" x14ac:dyDescent="0.25">
      <c r="A41" s="7">
        <v>40</v>
      </c>
      <c r="B41" s="8" t="s">
        <v>504</v>
      </c>
      <c r="C41" s="7">
        <v>29</v>
      </c>
      <c r="D41" s="7">
        <v>23</v>
      </c>
      <c r="E41">
        <f t="shared" si="0"/>
        <v>52</v>
      </c>
      <c r="H41" t="s">
        <v>79</v>
      </c>
      <c r="I41">
        <v>52</v>
      </c>
      <c r="K41" s="3" t="s">
        <v>218</v>
      </c>
      <c r="L41" s="3" t="s">
        <v>242</v>
      </c>
      <c r="M41" t="str">
        <f t="shared" si="1"/>
        <v>Jonathan Toews</v>
      </c>
      <c r="N41">
        <f t="shared" si="2"/>
        <v>60</v>
      </c>
    </row>
    <row r="42" spans="1:14" x14ac:dyDescent="0.25">
      <c r="A42" s="5">
        <v>41</v>
      </c>
      <c r="B42" t="s">
        <v>505</v>
      </c>
      <c r="C42" s="5">
        <v>27</v>
      </c>
      <c r="D42" s="5">
        <v>30</v>
      </c>
      <c r="E42">
        <f t="shared" si="0"/>
        <v>57</v>
      </c>
      <c r="H42" t="s">
        <v>17</v>
      </c>
      <c r="I42">
        <v>57</v>
      </c>
      <c r="K42" s="4" t="s">
        <v>196</v>
      </c>
      <c r="L42" s="4" t="s">
        <v>247</v>
      </c>
      <c r="M42" t="str">
        <f t="shared" si="1"/>
        <v>Mark Stone</v>
      </c>
      <c r="N42">
        <f t="shared" si="2"/>
        <v>62</v>
      </c>
    </row>
    <row r="43" spans="1:14" x14ac:dyDescent="0.25">
      <c r="A43" s="7">
        <v>42</v>
      </c>
      <c r="B43" t="s">
        <v>506</v>
      </c>
      <c r="C43" s="7">
        <v>12</v>
      </c>
      <c r="D43" s="7">
        <v>42</v>
      </c>
      <c r="E43">
        <f t="shared" si="0"/>
        <v>54</v>
      </c>
      <c r="H43" t="s">
        <v>69</v>
      </c>
      <c r="I43">
        <v>54</v>
      </c>
      <c r="K43" s="3" t="s">
        <v>188</v>
      </c>
      <c r="L43" s="3" t="s">
        <v>241</v>
      </c>
      <c r="M43" t="str">
        <f t="shared" si="1"/>
        <v>Ryan O'Reilly</v>
      </c>
      <c r="N43">
        <f t="shared" si="2"/>
        <v>59</v>
      </c>
    </row>
    <row r="44" spans="1:14" x14ac:dyDescent="0.25">
      <c r="A44" s="5">
        <v>43</v>
      </c>
      <c r="B44" t="s">
        <v>507</v>
      </c>
      <c r="C44" s="5">
        <v>26</v>
      </c>
      <c r="D44" s="5">
        <v>25</v>
      </c>
      <c r="E44">
        <f t="shared" si="0"/>
        <v>51</v>
      </c>
      <c r="H44" t="s">
        <v>60</v>
      </c>
      <c r="I44">
        <v>51</v>
      </c>
      <c r="K44" s="4" t="s">
        <v>245</v>
      </c>
      <c r="L44" s="4" t="s">
        <v>246</v>
      </c>
      <c r="M44" t="str">
        <f t="shared" si="1"/>
        <v>Matt Duchene</v>
      </c>
      <c r="N44">
        <f t="shared" si="2"/>
        <v>58</v>
      </c>
    </row>
    <row r="45" spans="1:14" x14ac:dyDescent="0.25">
      <c r="A45" s="7">
        <v>44</v>
      </c>
      <c r="B45" t="s">
        <v>508</v>
      </c>
      <c r="C45" s="7">
        <v>17</v>
      </c>
      <c r="D45" s="7">
        <v>40</v>
      </c>
      <c r="E45">
        <f t="shared" si="0"/>
        <v>57</v>
      </c>
      <c r="H45" t="s">
        <v>28</v>
      </c>
      <c r="I45">
        <v>57</v>
      </c>
      <c r="K45" s="3" t="s">
        <v>237</v>
      </c>
      <c r="L45" s="3" t="s">
        <v>238</v>
      </c>
      <c r="M45" t="str">
        <f t="shared" si="1"/>
        <v>Patrice Bergeron</v>
      </c>
      <c r="N45">
        <f t="shared" si="2"/>
        <v>60</v>
      </c>
    </row>
    <row r="46" spans="1:14" x14ac:dyDescent="0.25">
      <c r="A46" s="5">
        <v>45</v>
      </c>
      <c r="B46" t="s">
        <v>509</v>
      </c>
      <c r="C46" s="5">
        <v>30</v>
      </c>
      <c r="D46" s="5">
        <v>34</v>
      </c>
      <c r="E46">
        <f t="shared" si="0"/>
        <v>64</v>
      </c>
      <c r="H46" t="s">
        <v>27</v>
      </c>
      <c r="I46">
        <v>64</v>
      </c>
      <c r="K46" s="4" t="s">
        <v>233</v>
      </c>
      <c r="L46" s="4" t="s">
        <v>234</v>
      </c>
      <c r="M46" t="str">
        <f t="shared" si="1"/>
        <v>Alex Galchenyuk</v>
      </c>
      <c r="N46">
        <f t="shared" si="2"/>
        <v>48</v>
      </c>
    </row>
    <row r="47" spans="1:14" x14ac:dyDescent="0.25">
      <c r="A47" s="7">
        <v>46</v>
      </c>
      <c r="B47" t="s">
        <v>510</v>
      </c>
      <c r="C47" s="7">
        <v>22</v>
      </c>
      <c r="D47" s="7">
        <v>33</v>
      </c>
      <c r="E47">
        <f t="shared" si="0"/>
        <v>55</v>
      </c>
      <c r="H47" t="s">
        <v>108</v>
      </c>
      <c r="I47">
        <v>55</v>
      </c>
      <c r="K47" s="3" t="s">
        <v>243</v>
      </c>
      <c r="L47" s="3" t="s">
        <v>244</v>
      </c>
      <c r="M47" t="str">
        <f t="shared" si="1"/>
        <v>Jason Spezza</v>
      </c>
      <c r="N47">
        <f t="shared" si="2"/>
        <v>62</v>
      </c>
    </row>
    <row r="48" spans="1:14" x14ac:dyDescent="0.25">
      <c r="A48" s="5">
        <v>47</v>
      </c>
      <c r="B48" t="s">
        <v>511</v>
      </c>
      <c r="C48" s="5">
        <v>20</v>
      </c>
      <c r="D48" s="5">
        <v>40</v>
      </c>
      <c r="E48">
        <f t="shared" si="0"/>
        <v>60</v>
      </c>
      <c r="H48" t="s">
        <v>31</v>
      </c>
      <c r="I48">
        <v>60</v>
      </c>
      <c r="K48" s="4" t="s">
        <v>235</v>
      </c>
      <c r="L48" s="4" t="s">
        <v>236</v>
      </c>
      <c r="M48" t="str">
        <f t="shared" si="1"/>
        <v>Nathan MacKinnon</v>
      </c>
      <c r="N48">
        <f t="shared" si="2"/>
        <v>53</v>
      </c>
    </row>
    <row r="49" spans="1:14" x14ac:dyDescent="0.25">
      <c r="A49" s="7">
        <v>48</v>
      </c>
      <c r="B49" t="s">
        <v>512</v>
      </c>
      <c r="C49" s="7">
        <v>25</v>
      </c>
      <c r="D49" s="7">
        <v>37</v>
      </c>
      <c r="E49">
        <f t="shared" si="0"/>
        <v>62</v>
      </c>
      <c r="H49" t="s">
        <v>66</v>
      </c>
      <c r="I49">
        <v>62</v>
      </c>
      <c r="K49" s="3" t="s">
        <v>220</v>
      </c>
      <c r="L49" s="3" t="s">
        <v>221</v>
      </c>
      <c r="M49" t="str">
        <f t="shared" si="1"/>
        <v>Auston Matthews</v>
      </c>
      <c r="N49">
        <f t="shared" si="2"/>
        <v>56</v>
      </c>
    </row>
    <row r="50" spans="1:14" x14ac:dyDescent="0.25">
      <c r="A50" s="5">
        <v>49</v>
      </c>
      <c r="B50" t="s">
        <v>513</v>
      </c>
      <c r="C50" s="5">
        <v>24</v>
      </c>
      <c r="D50" s="5">
        <v>29</v>
      </c>
      <c r="E50">
        <f t="shared" si="0"/>
        <v>53</v>
      </c>
      <c r="H50" t="s">
        <v>85</v>
      </c>
      <c r="I50">
        <v>53</v>
      </c>
      <c r="K50" s="4" t="s">
        <v>166</v>
      </c>
      <c r="L50" s="4" t="s">
        <v>256</v>
      </c>
      <c r="M50" t="str">
        <f t="shared" si="1"/>
        <v>Tyler Toffoli</v>
      </c>
      <c r="N50">
        <f t="shared" si="2"/>
        <v>64</v>
      </c>
    </row>
    <row r="51" spans="1:14" x14ac:dyDescent="0.25">
      <c r="A51" s="7">
        <v>50</v>
      </c>
      <c r="B51" t="s">
        <v>514</v>
      </c>
      <c r="C51" s="7">
        <v>20</v>
      </c>
      <c r="D51" s="7">
        <v>34</v>
      </c>
      <c r="E51">
        <f t="shared" si="0"/>
        <v>54</v>
      </c>
      <c r="H51" t="s">
        <v>668</v>
      </c>
      <c r="I51">
        <v>54</v>
      </c>
      <c r="K51" s="3" t="s">
        <v>277</v>
      </c>
      <c r="L51" s="3" t="s">
        <v>278</v>
      </c>
      <c r="M51" t="str">
        <f t="shared" si="1"/>
        <v>Jeff Carter</v>
      </c>
      <c r="N51">
        <f t="shared" si="2"/>
        <v>62</v>
      </c>
    </row>
    <row r="52" spans="1:14" x14ac:dyDescent="0.25">
      <c r="A52" s="5">
        <v>51</v>
      </c>
      <c r="B52" t="s">
        <v>515</v>
      </c>
      <c r="C52" s="5">
        <v>18</v>
      </c>
      <c r="D52" s="5">
        <v>34</v>
      </c>
      <c r="E52">
        <f t="shared" si="0"/>
        <v>52</v>
      </c>
      <c r="H52" t="s">
        <v>669</v>
      </c>
      <c r="I52">
        <v>52</v>
      </c>
      <c r="K52" s="4" t="s">
        <v>353</v>
      </c>
      <c r="L52" s="4" t="s">
        <v>354</v>
      </c>
      <c r="M52" t="str">
        <f t="shared" si="1"/>
        <v>Zach Parise</v>
      </c>
      <c r="N52">
        <f t="shared" si="2"/>
        <v>49</v>
      </c>
    </row>
    <row r="53" spans="1:14" x14ac:dyDescent="0.25">
      <c r="A53" s="7">
        <v>52</v>
      </c>
      <c r="B53" t="s">
        <v>516</v>
      </c>
      <c r="C53" s="7">
        <v>20</v>
      </c>
      <c r="D53" s="7">
        <v>38</v>
      </c>
      <c r="E53">
        <f t="shared" si="0"/>
        <v>58</v>
      </c>
      <c r="H53" t="s">
        <v>53</v>
      </c>
      <c r="I53">
        <v>58</v>
      </c>
      <c r="K53" s="3" t="s">
        <v>239</v>
      </c>
      <c r="L53" s="3" t="s">
        <v>240</v>
      </c>
      <c r="M53" t="str">
        <f t="shared" si="1"/>
        <v>P.K. Subban</v>
      </c>
      <c r="N53">
        <f t="shared" si="2"/>
        <v>53</v>
      </c>
    </row>
    <row r="54" spans="1:14" x14ac:dyDescent="0.25">
      <c r="A54" s="5">
        <v>53</v>
      </c>
      <c r="B54" t="s">
        <v>517</v>
      </c>
      <c r="C54" s="5">
        <v>24</v>
      </c>
      <c r="D54" s="5">
        <v>38</v>
      </c>
      <c r="E54">
        <f t="shared" si="0"/>
        <v>62</v>
      </c>
      <c r="H54" t="s">
        <v>48</v>
      </c>
      <c r="I54">
        <v>62</v>
      </c>
      <c r="K54" s="4" t="s">
        <v>254</v>
      </c>
      <c r="L54" s="4" t="s">
        <v>255</v>
      </c>
      <c r="M54" t="str">
        <f t="shared" si="1"/>
        <v>Kyle Turris</v>
      </c>
      <c r="N54">
        <f t="shared" si="2"/>
        <v>46</v>
      </c>
    </row>
    <row r="55" spans="1:14" x14ac:dyDescent="0.25">
      <c r="A55" s="7">
        <v>54</v>
      </c>
      <c r="B55" t="s">
        <v>518</v>
      </c>
      <c r="C55" s="7">
        <v>22</v>
      </c>
      <c r="D55" s="7">
        <v>41</v>
      </c>
      <c r="E55">
        <f t="shared" si="0"/>
        <v>63</v>
      </c>
      <c r="H55" t="s">
        <v>33</v>
      </c>
      <c r="I55">
        <v>63</v>
      </c>
      <c r="K55" s="3" t="s">
        <v>257</v>
      </c>
      <c r="L55" s="3" t="s">
        <v>710</v>
      </c>
      <c r="M55" t="str">
        <f t="shared" si="1"/>
        <v>James van Riemsdyk</v>
      </c>
      <c r="N55">
        <f t="shared" si="2"/>
        <v>54</v>
      </c>
    </row>
    <row r="56" spans="1:14" x14ac:dyDescent="0.25">
      <c r="A56" s="5">
        <v>55</v>
      </c>
      <c r="B56" t="s">
        <v>519</v>
      </c>
      <c r="C56" s="5">
        <v>22</v>
      </c>
      <c r="D56" s="5">
        <v>23</v>
      </c>
      <c r="E56">
        <f t="shared" si="0"/>
        <v>45</v>
      </c>
      <c r="H56" t="s">
        <v>138</v>
      </c>
      <c r="I56">
        <v>45</v>
      </c>
      <c r="K56" s="4" t="s">
        <v>260</v>
      </c>
      <c r="L56" s="4" t="s">
        <v>261</v>
      </c>
      <c r="M56" t="str">
        <f t="shared" si="1"/>
        <v>Jaden Schwartz</v>
      </c>
      <c r="N56">
        <f t="shared" si="2"/>
        <v>50</v>
      </c>
    </row>
    <row r="57" spans="1:14" x14ac:dyDescent="0.25">
      <c r="A57" s="7">
        <v>56</v>
      </c>
      <c r="B57" s="8" t="s">
        <v>520</v>
      </c>
      <c r="C57" s="7">
        <v>31</v>
      </c>
      <c r="D57" s="7">
        <v>37</v>
      </c>
      <c r="E57">
        <f t="shared" si="0"/>
        <v>68</v>
      </c>
      <c r="H57" t="s">
        <v>25</v>
      </c>
      <c r="I57">
        <v>68</v>
      </c>
      <c r="K57" s="3" t="s">
        <v>282</v>
      </c>
      <c r="L57" s="3" t="s">
        <v>283</v>
      </c>
      <c r="M57" t="str">
        <f t="shared" si="1"/>
        <v>Milan Lucic</v>
      </c>
      <c r="N57">
        <f t="shared" si="2"/>
        <v>51</v>
      </c>
    </row>
    <row r="58" spans="1:14" x14ac:dyDescent="0.25">
      <c r="A58" s="5">
        <v>57</v>
      </c>
      <c r="B58" t="s">
        <v>521</v>
      </c>
      <c r="C58" s="5">
        <v>27</v>
      </c>
      <c r="D58" s="5">
        <v>32</v>
      </c>
      <c r="E58">
        <f t="shared" si="0"/>
        <v>59</v>
      </c>
      <c r="H58" t="s">
        <v>61</v>
      </c>
      <c r="I58">
        <v>59</v>
      </c>
      <c r="K58" s="4" t="s">
        <v>166</v>
      </c>
      <c r="L58" s="4" t="s">
        <v>316</v>
      </c>
      <c r="M58" t="str">
        <f t="shared" si="1"/>
        <v>Tyler Johnson</v>
      </c>
      <c r="N58">
        <f t="shared" si="2"/>
        <v>51</v>
      </c>
    </row>
    <row r="59" spans="1:14" x14ac:dyDescent="0.25">
      <c r="A59" s="7">
        <v>58</v>
      </c>
      <c r="B59" s="8" t="s">
        <v>522</v>
      </c>
      <c r="C59" s="7">
        <v>20</v>
      </c>
      <c r="D59" s="7">
        <v>35</v>
      </c>
      <c r="E59">
        <f t="shared" si="0"/>
        <v>55</v>
      </c>
      <c r="H59" t="s">
        <v>63</v>
      </c>
      <c r="I59">
        <v>55</v>
      </c>
      <c r="K59" s="3" t="s">
        <v>250</v>
      </c>
      <c r="L59" s="3" t="s">
        <v>251</v>
      </c>
      <c r="M59" t="str">
        <f t="shared" si="1"/>
        <v>Wayne Simmonds</v>
      </c>
      <c r="N59">
        <f t="shared" si="2"/>
        <v>57</v>
      </c>
    </row>
    <row r="60" spans="1:14" x14ac:dyDescent="0.25">
      <c r="A60" s="5">
        <v>59</v>
      </c>
      <c r="B60" t="s">
        <v>523</v>
      </c>
      <c r="C60" s="5">
        <v>24</v>
      </c>
      <c r="D60" s="5">
        <v>31</v>
      </c>
      <c r="E60">
        <f t="shared" si="0"/>
        <v>55</v>
      </c>
      <c r="H60" t="s">
        <v>100</v>
      </c>
      <c r="I60">
        <v>55</v>
      </c>
      <c r="K60" s="4" t="s">
        <v>292</v>
      </c>
      <c r="L60" s="4" t="s">
        <v>293</v>
      </c>
      <c r="M60" t="str">
        <f t="shared" si="1"/>
        <v>Derick Brassard</v>
      </c>
      <c r="N60">
        <f t="shared" si="2"/>
        <v>54</v>
      </c>
    </row>
    <row r="61" spans="1:14" x14ac:dyDescent="0.25">
      <c r="A61" s="7">
        <v>60</v>
      </c>
      <c r="B61" t="s">
        <v>524</v>
      </c>
      <c r="C61" s="7">
        <v>28</v>
      </c>
      <c r="D61" s="7">
        <v>33</v>
      </c>
      <c r="E61">
        <f t="shared" si="0"/>
        <v>61</v>
      </c>
      <c r="H61" t="s">
        <v>18</v>
      </c>
      <c r="I61">
        <v>61</v>
      </c>
      <c r="K61" s="3" t="s">
        <v>264</v>
      </c>
      <c r="L61" s="3" t="s">
        <v>253</v>
      </c>
      <c r="M61" t="str">
        <f t="shared" si="1"/>
        <v>Daniel Sedin</v>
      </c>
      <c r="N61">
        <f t="shared" si="2"/>
        <v>66</v>
      </c>
    </row>
    <row r="62" spans="1:14" x14ac:dyDescent="0.25">
      <c r="A62" s="5">
        <v>61</v>
      </c>
      <c r="B62" t="s">
        <v>525</v>
      </c>
      <c r="C62" s="5">
        <v>16</v>
      </c>
      <c r="D62" s="5">
        <v>39</v>
      </c>
      <c r="E62">
        <f t="shared" si="0"/>
        <v>55</v>
      </c>
      <c r="H62" t="s">
        <v>111</v>
      </c>
      <c r="I62">
        <v>55</v>
      </c>
      <c r="K62" s="4" t="s">
        <v>288</v>
      </c>
      <c r="L62" s="4" t="s">
        <v>289</v>
      </c>
      <c r="M62" t="str">
        <f t="shared" si="1"/>
        <v>Brayden Schenn</v>
      </c>
      <c r="N62">
        <f t="shared" si="2"/>
        <v>56</v>
      </c>
    </row>
    <row r="63" spans="1:14" x14ac:dyDescent="0.25">
      <c r="A63" s="7">
        <v>62</v>
      </c>
      <c r="B63" s="8" t="s">
        <v>526</v>
      </c>
      <c r="C63" s="7">
        <v>8</v>
      </c>
      <c r="D63" s="7">
        <v>41</v>
      </c>
      <c r="E63">
        <f t="shared" si="0"/>
        <v>49</v>
      </c>
      <c r="H63" t="s">
        <v>136</v>
      </c>
      <c r="I63">
        <v>49</v>
      </c>
      <c r="K63" s="3" t="s">
        <v>290</v>
      </c>
      <c r="L63" s="3" t="s">
        <v>291</v>
      </c>
      <c r="M63" t="str">
        <f t="shared" si="1"/>
        <v>Mike Hoffman</v>
      </c>
      <c r="N63">
        <f t="shared" si="2"/>
        <v>60</v>
      </c>
    </row>
    <row r="64" spans="1:14" x14ac:dyDescent="0.25">
      <c r="A64" s="5">
        <v>63</v>
      </c>
      <c r="B64" t="s">
        <v>527</v>
      </c>
      <c r="C64" s="5">
        <v>21</v>
      </c>
      <c r="D64" s="5">
        <v>30</v>
      </c>
      <c r="E64">
        <f t="shared" si="0"/>
        <v>51</v>
      </c>
      <c r="H64" t="s">
        <v>67</v>
      </c>
      <c r="I64">
        <v>51</v>
      </c>
      <c r="K64" s="4" t="s">
        <v>216</v>
      </c>
      <c r="L64" s="4" t="s">
        <v>259</v>
      </c>
      <c r="M64" t="str">
        <f t="shared" si="1"/>
        <v>Max Domi</v>
      </c>
      <c r="N64">
        <f t="shared" si="2"/>
        <v>58</v>
      </c>
    </row>
    <row r="65" spans="1:14" x14ac:dyDescent="0.25">
      <c r="A65" s="7">
        <v>64</v>
      </c>
      <c r="B65" t="s">
        <v>528</v>
      </c>
      <c r="C65" s="7">
        <v>26</v>
      </c>
      <c r="D65" s="7">
        <v>28</v>
      </c>
      <c r="E65">
        <f t="shared" si="0"/>
        <v>54</v>
      </c>
      <c r="H65" t="s">
        <v>64</v>
      </c>
      <c r="I65">
        <v>54</v>
      </c>
      <c r="K65" s="3" t="s">
        <v>254</v>
      </c>
      <c r="L65" s="3" t="s">
        <v>258</v>
      </c>
      <c r="M65" t="str">
        <f t="shared" si="1"/>
        <v>Kyle Okposo</v>
      </c>
      <c r="N65">
        <f t="shared" si="2"/>
        <v>50</v>
      </c>
    </row>
    <row r="66" spans="1:14" x14ac:dyDescent="0.25">
      <c r="A66" s="5">
        <v>65</v>
      </c>
      <c r="B66" t="s">
        <v>529</v>
      </c>
      <c r="C66" s="5">
        <v>22</v>
      </c>
      <c r="D66" s="5">
        <v>33</v>
      </c>
      <c r="E66">
        <f t="shared" si="0"/>
        <v>55</v>
      </c>
      <c r="H66" t="s">
        <v>81</v>
      </c>
      <c r="I66">
        <v>55</v>
      </c>
      <c r="K66" s="4" t="s">
        <v>174</v>
      </c>
      <c r="L66" s="4" t="s">
        <v>276</v>
      </c>
      <c r="M66" t="str">
        <f t="shared" si="1"/>
        <v>Alexander Steen</v>
      </c>
      <c r="N66">
        <f t="shared" si="2"/>
        <v>55</v>
      </c>
    </row>
    <row r="67" spans="1:14" x14ac:dyDescent="0.25">
      <c r="A67" s="7">
        <v>66</v>
      </c>
      <c r="B67" t="s">
        <v>530</v>
      </c>
      <c r="C67" s="7">
        <v>23</v>
      </c>
      <c r="D67" s="7">
        <v>26</v>
      </c>
      <c r="E67">
        <f t="shared" ref="E67:E130" si="3">C67+D67</f>
        <v>49</v>
      </c>
      <c r="H67" t="s">
        <v>105</v>
      </c>
      <c r="I67">
        <v>49</v>
      </c>
      <c r="K67" s="3" t="s">
        <v>274</v>
      </c>
      <c r="L67" s="3" t="s">
        <v>275</v>
      </c>
      <c r="M67" t="str">
        <f t="shared" ref="M67:M130" si="4">K67&amp;" "&amp;L67</f>
        <v>Mats Zuccarello</v>
      </c>
      <c r="N67">
        <f t="shared" ref="N67:N130" si="5">VLOOKUP(M67,$H$2:$I$201,2,0)</f>
        <v>56</v>
      </c>
    </row>
    <row r="68" spans="1:14" x14ac:dyDescent="0.25">
      <c r="A68" s="5">
        <v>67</v>
      </c>
      <c r="B68" t="s">
        <v>531</v>
      </c>
      <c r="C68" s="5">
        <v>31</v>
      </c>
      <c r="D68" s="5">
        <v>29</v>
      </c>
      <c r="E68">
        <f t="shared" si="3"/>
        <v>60</v>
      </c>
      <c r="H68" t="s">
        <v>70</v>
      </c>
      <c r="I68">
        <v>60</v>
      </c>
      <c r="K68" s="4" t="s">
        <v>174</v>
      </c>
      <c r="L68" s="4" t="s">
        <v>230</v>
      </c>
      <c r="M68" t="str">
        <f t="shared" si="4"/>
        <v>Alexander Radulov</v>
      </c>
      <c r="N68">
        <f t="shared" si="5"/>
        <v>42</v>
      </c>
    </row>
    <row r="69" spans="1:14" x14ac:dyDescent="0.25">
      <c r="A69" s="7">
        <v>68</v>
      </c>
      <c r="B69" t="s">
        <v>532</v>
      </c>
      <c r="C69" s="7">
        <v>10</v>
      </c>
      <c r="D69" s="7">
        <v>28</v>
      </c>
      <c r="E69">
        <f t="shared" si="3"/>
        <v>38</v>
      </c>
      <c r="H69" t="s">
        <v>141</v>
      </c>
      <c r="I69">
        <v>38</v>
      </c>
      <c r="K69" s="3" t="s">
        <v>296</v>
      </c>
      <c r="L69" s="3" t="s">
        <v>297</v>
      </c>
      <c r="M69" t="str">
        <f t="shared" si="4"/>
        <v>Oliver Ekman-Lars…</v>
      </c>
      <c r="N69">
        <v>56</v>
      </c>
    </row>
    <row r="70" spans="1:14" x14ac:dyDescent="0.25">
      <c r="A70" s="5">
        <v>69</v>
      </c>
      <c r="B70" t="s">
        <v>533</v>
      </c>
      <c r="C70" s="5">
        <v>32</v>
      </c>
      <c r="D70" s="5">
        <v>32</v>
      </c>
      <c r="E70">
        <f t="shared" si="3"/>
        <v>64</v>
      </c>
      <c r="H70" t="s">
        <v>73</v>
      </c>
      <c r="I70">
        <v>64</v>
      </c>
      <c r="K70" s="4" t="s">
        <v>317</v>
      </c>
      <c r="L70" s="4" t="s">
        <v>318</v>
      </c>
      <c r="M70" t="str">
        <f t="shared" si="4"/>
        <v>Roman Josi</v>
      </c>
      <c r="N70">
        <f t="shared" si="5"/>
        <v>63</v>
      </c>
    </row>
    <row r="71" spans="1:14" x14ac:dyDescent="0.25">
      <c r="A71" s="7">
        <v>70</v>
      </c>
      <c r="B71" t="s">
        <v>534</v>
      </c>
      <c r="C71" s="7">
        <v>29</v>
      </c>
      <c r="D71" s="7">
        <v>28</v>
      </c>
      <c r="E71">
        <f t="shared" si="3"/>
        <v>57</v>
      </c>
      <c r="H71" t="s">
        <v>98</v>
      </c>
      <c r="I71">
        <v>57</v>
      </c>
      <c r="K71" s="3" t="s">
        <v>218</v>
      </c>
      <c r="L71" s="3" t="s">
        <v>396</v>
      </c>
      <c r="M71" t="str">
        <f t="shared" si="4"/>
        <v>Jonathan Drouin</v>
      </c>
      <c r="N71">
        <f t="shared" si="5"/>
        <v>43</v>
      </c>
    </row>
    <row r="72" spans="1:14" x14ac:dyDescent="0.25">
      <c r="A72" s="5">
        <v>71</v>
      </c>
      <c r="B72" t="s">
        <v>535</v>
      </c>
      <c r="C72" s="5">
        <v>23</v>
      </c>
      <c r="D72" s="5">
        <v>33</v>
      </c>
      <c r="E72">
        <f t="shared" si="3"/>
        <v>56</v>
      </c>
      <c r="H72" t="s">
        <v>35</v>
      </c>
      <c r="I72">
        <v>56</v>
      </c>
      <c r="K72" s="4" t="s">
        <v>252</v>
      </c>
      <c r="L72" s="4" t="s">
        <v>253</v>
      </c>
      <c r="M72" t="str">
        <f t="shared" si="4"/>
        <v>Henrik Sedin</v>
      </c>
      <c r="N72">
        <f t="shared" si="5"/>
        <v>55</v>
      </c>
    </row>
    <row r="73" spans="1:14" x14ac:dyDescent="0.25">
      <c r="A73" s="7">
        <v>72</v>
      </c>
      <c r="B73" t="s">
        <v>536</v>
      </c>
      <c r="C73" s="7">
        <v>22</v>
      </c>
      <c r="D73" s="7">
        <v>32</v>
      </c>
      <c r="E73">
        <f t="shared" si="3"/>
        <v>54</v>
      </c>
      <c r="H73" t="s">
        <v>20</v>
      </c>
      <c r="I73">
        <v>54</v>
      </c>
      <c r="K73" s="3" t="s">
        <v>257</v>
      </c>
      <c r="L73" s="3" t="s">
        <v>272</v>
      </c>
      <c r="M73" t="str">
        <f t="shared" si="4"/>
        <v>James Neal</v>
      </c>
      <c r="N73">
        <f t="shared" si="5"/>
        <v>51</v>
      </c>
    </row>
    <row r="74" spans="1:14" x14ac:dyDescent="0.25">
      <c r="A74" s="5">
        <v>73</v>
      </c>
      <c r="B74" t="s">
        <v>537</v>
      </c>
      <c r="C74" s="5">
        <v>23</v>
      </c>
      <c r="D74" s="5">
        <v>36</v>
      </c>
      <c r="E74">
        <f t="shared" si="3"/>
        <v>59</v>
      </c>
      <c r="H74" t="s">
        <v>58</v>
      </c>
      <c r="I74">
        <v>59</v>
      </c>
      <c r="K74" s="4" t="s">
        <v>294</v>
      </c>
      <c r="L74" s="4" t="s">
        <v>295</v>
      </c>
      <c r="M74" t="str">
        <f t="shared" si="4"/>
        <v>Vincent Trocheck</v>
      </c>
      <c r="N74">
        <f t="shared" si="5"/>
        <v>43</v>
      </c>
    </row>
    <row r="75" spans="1:14" x14ac:dyDescent="0.25">
      <c r="A75" s="7">
        <v>74</v>
      </c>
      <c r="B75" t="s">
        <v>538</v>
      </c>
      <c r="C75" s="7">
        <v>9</v>
      </c>
      <c r="D75" s="7">
        <v>37</v>
      </c>
      <c r="E75">
        <f t="shared" si="3"/>
        <v>46</v>
      </c>
      <c r="H75" t="s">
        <v>670</v>
      </c>
      <c r="I75">
        <v>46</v>
      </c>
      <c r="K75" s="3" t="s">
        <v>262</v>
      </c>
      <c r="L75" s="3" t="s">
        <v>263</v>
      </c>
      <c r="M75" t="str">
        <f t="shared" si="4"/>
        <v>Gabriel Landeskog</v>
      </c>
      <c r="N75">
        <f t="shared" si="5"/>
        <v>59</v>
      </c>
    </row>
    <row r="76" spans="1:14" x14ac:dyDescent="0.25">
      <c r="A76" s="5">
        <v>75</v>
      </c>
      <c r="B76" t="s">
        <v>539</v>
      </c>
      <c r="C76" s="5">
        <v>25</v>
      </c>
      <c r="D76" s="5">
        <v>31</v>
      </c>
      <c r="E76">
        <f t="shared" si="3"/>
        <v>56</v>
      </c>
      <c r="H76" t="s">
        <v>30</v>
      </c>
      <c r="I76">
        <v>56</v>
      </c>
      <c r="K76" s="4" t="s">
        <v>170</v>
      </c>
      <c r="L76" s="4" t="s">
        <v>279</v>
      </c>
      <c r="M76" t="str">
        <f t="shared" si="4"/>
        <v>John Klingberg</v>
      </c>
      <c r="N76">
        <f t="shared" si="5"/>
        <v>54</v>
      </c>
    </row>
    <row r="77" spans="1:14" x14ac:dyDescent="0.25">
      <c r="A77" s="7">
        <v>76</v>
      </c>
      <c r="B77" t="s">
        <v>540</v>
      </c>
      <c r="C77" s="7">
        <v>6</v>
      </c>
      <c r="D77" s="7">
        <v>37</v>
      </c>
      <c r="E77">
        <f t="shared" si="3"/>
        <v>43</v>
      </c>
      <c r="H77" t="s">
        <v>128</v>
      </c>
      <c r="I77">
        <v>43</v>
      </c>
      <c r="K77" s="3" t="s">
        <v>310</v>
      </c>
      <c r="L77" s="3" t="s">
        <v>311</v>
      </c>
      <c r="M77" t="str">
        <f t="shared" si="4"/>
        <v>Andrew Ladd</v>
      </c>
      <c r="N77">
        <f t="shared" si="5"/>
        <v>51</v>
      </c>
    </row>
    <row r="78" spans="1:14" x14ac:dyDescent="0.25">
      <c r="A78" s="5">
        <v>77</v>
      </c>
      <c r="B78" t="s">
        <v>541</v>
      </c>
      <c r="C78" s="5">
        <v>21</v>
      </c>
      <c r="D78" s="5">
        <v>33</v>
      </c>
      <c r="E78">
        <f t="shared" si="3"/>
        <v>54</v>
      </c>
      <c r="H78" t="s">
        <v>114</v>
      </c>
      <c r="I78">
        <v>54</v>
      </c>
      <c r="K78" s="4" t="s">
        <v>303</v>
      </c>
      <c r="L78" s="4" t="s">
        <v>304</v>
      </c>
      <c r="M78" t="str">
        <f t="shared" si="4"/>
        <v>Brandon Saad</v>
      </c>
      <c r="N78">
        <f t="shared" si="5"/>
        <v>54</v>
      </c>
    </row>
    <row r="79" spans="1:14" x14ac:dyDescent="0.25">
      <c r="A79" s="7">
        <v>78</v>
      </c>
      <c r="B79" t="s">
        <v>542</v>
      </c>
      <c r="C79" s="7">
        <v>25</v>
      </c>
      <c r="D79" s="7">
        <v>37</v>
      </c>
      <c r="E79">
        <f t="shared" si="3"/>
        <v>62</v>
      </c>
      <c r="H79" t="s">
        <v>43</v>
      </c>
      <c r="I79">
        <v>62</v>
      </c>
      <c r="K79" s="3" t="s">
        <v>254</v>
      </c>
      <c r="L79" s="3" t="s">
        <v>273</v>
      </c>
      <c r="M79" t="str">
        <f t="shared" si="4"/>
        <v>Kyle Palmieri</v>
      </c>
      <c r="N79">
        <f t="shared" si="5"/>
        <v>59</v>
      </c>
    </row>
    <row r="80" spans="1:14" x14ac:dyDescent="0.25">
      <c r="A80" s="5">
        <v>79</v>
      </c>
      <c r="B80" t="s">
        <v>543</v>
      </c>
      <c r="C80" s="5">
        <v>12</v>
      </c>
      <c r="D80" s="5">
        <v>43</v>
      </c>
      <c r="E80">
        <f t="shared" si="3"/>
        <v>55</v>
      </c>
      <c r="H80" t="s">
        <v>49</v>
      </c>
      <c r="I80">
        <v>55</v>
      </c>
      <c r="K80" s="4" t="s">
        <v>337</v>
      </c>
      <c r="L80" s="4" t="s">
        <v>338</v>
      </c>
      <c r="M80" t="str">
        <f t="shared" si="4"/>
        <v>Leon Draisaitl</v>
      </c>
      <c r="N80">
        <f t="shared" si="5"/>
        <v>56</v>
      </c>
    </row>
    <row r="81" spans="1:14" x14ac:dyDescent="0.25">
      <c r="A81" s="7">
        <v>80</v>
      </c>
      <c r="B81" t="s">
        <v>544</v>
      </c>
      <c r="C81" s="7">
        <v>8</v>
      </c>
      <c r="D81" s="7">
        <v>34</v>
      </c>
      <c r="E81">
        <f t="shared" si="3"/>
        <v>42</v>
      </c>
      <c r="H81" t="s">
        <v>708</v>
      </c>
      <c r="I81">
        <v>42</v>
      </c>
      <c r="K81" s="3" t="s">
        <v>280</v>
      </c>
      <c r="L81" s="3" t="s">
        <v>281</v>
      </c>
      <c r="M81" t="str">
        <f t="shared" si="4"/>
        <v>Bryan Little</v>
      </c>
      <c r="N81">
        <f t="shared" si="5"/>
        <v>51</v>
      </c>
    </row>
    <row r="82" spans="1:14" x14ac:dyDescent="0.25">
      <c r="A82" s="5">
        <v>81</v>
      </c>
      <c r="B82" s="6" t="s">
        <v>545</v>
      </c>
      <c r="C82" s="5">
        <v>21</v>
      </c>
      <c r="D82" s="5">
        <v>30</v>
      </c>
      <c r="E82">
        <f t="shared" si="3"/>
        <v>51</v>
      </c>
      <c r="H82" t="s">
        <v>92</v>
      </c>
      <c r="I82">
        <v>51</v>
      </c>
      <c r="K82" s="4" t="s">
        <v>277</v>
      </c>
      <c r="L82" s="4" t="s">
        <v>305</v>
      </c>
      <c r="M82" t="str">
        <f t="shared" si="4"/>
        <v>Jeff Skinner</v>
      </c>
      <c r="N82">
        <f t="shared" si="5"/>
        <v>53</v>
      </c>
    </row>
    <row r="83" spans="1:14" x14ac:dyDescent="0.25">
      <c r="A83" s="7">
        <v>82</v>
      </c>
      <c r="B83" t="s">
        <v>546</v>
      </c>
      <c r="C83" s="7">
        <v>25</v>
      </c>
      <c r="D83" s="7">
        <v>34</v>
      </c>
      <c r="E83">
        <f t="shared" si="3"/>
        <v>59</v>
      </c>
      <c r="H83" t="s">
        <v>15</v>
      </c>
      <c r="I83">
        <v>59</v>
      </c>
      <c r="K83" s="3" t="s">
        <v>323</v>
      </c>
      <c r="L83" s="3" t="s">
        <v>324</v>
      </c>
      <c r="M83" t="str">
        <f t="shared" si="4"/>
        <v>Jussi Jokinen</v>
      </c>
      <c r="N83">
        <f t="shared" si="5"/>
        <v>50</v>
      </c>
    </row>
    <row r="84" spans="1:14" x14ac:dyDescent="0.25">
      <c r="A84" s="5">
        <v>83</v>
      </c>
      <c r="B84" t="s">
        <v>547</v>
      </c>
      <c r="C84" s="5">
        <v>22</v>
      </c>
      <c r="D84" s="5">
        <v>31</v>
      </c>
      <c r="E84">
        <f t="shared" si="3"/>
        <v>53</v>
      </c>
      <c r="H84" t="s">
        <v>39</v>
      </c>
      <c r="I84">
        <v>53</v>
      </c>
      <c r="K84" s="4" t="s">
        <v>188</v>
      </c>
      <c r="L84" s="4" t="s">
        <v>267</v>
      </c>
      <c r="M84" t="str">
        <f t="shared" si="4"/>
        <v>Ryan Nugent-Hopki…</v>
      </c>
      <c r="N84">
        <v>48</v>
      </c>
    </row>
    <row r="85" spans="1:14" x14ac:dyDescent="0.25">
      <c r="A85" s="7">
        <v>84</v>
      </c>
      <c r="B85" t="s">
        <v>548</v>
      </c>
      <c r="C85" s="7">
        <v>20</v>
      </c>
      <c r="D85" s="7">
        <v>36</v>
      </c>
      <c r="E85">
        <f t="shared" si="3"/>
        <v>56</v>
      </c>
      <c r="H85" t="s">
        <v>57</v>
      </c>
      <c r="I85">
        <v>56</v>
      </c>
      <c r="K85" s="3" t="s">
        <v>298</v>
      </c>
      <c r="L85" s="3" t="s">
        <v>299</v>
      </c>
      <c r="M85" t="str">
        <f t="shared" si="4"/>
        <v>Loui Eriksson</v>
      </c>
      <c r="N85">
        <f t="shared" si="5"/>
        <v>58</v>
      </c>
    </row>
    <row r="86" spans="1:14" x14ac:dyDescent="0.25">
      <c r="A86" s="5">
        <v>85</v>
      </c>
      <c r="B86" t="s">
        <v>549</v>
      </c>
      <c r="C86" s="5">
        <v>9</v>
      </c>
      <c r="D86" s="5">
        <v>35</v>
      </c>
      <c r="E86">
        <f t="shared" si="3"/>
        <v>44</v>
      </c>
      <c r="H86" t="s">
        <v>91</v>
      </c>
      <c r="I86">
        <v>44</v>
      </c>
      <c r="K86" s="4" t="s">
        <v>302</v>
      </c>
      <c r="L86" s="4" t="s">
        <v>188</v>
      </c>
      <c r="M86" t="str">
        <f t="shared" si="4"/>
        <v>Bobby Ryan</v>
      </c>
      <c r="N86">
        <f t="shared" si="5"/>
        <v>64</v>
      </c>
    </row>
    <row r="87" spans="1:14" x14ac:dyDescent="0.25">
      <c r="A87" s="7">
        <v>86</v>
      </c>
      <c r="B87" t="s">
        <v>550</v>
      </c>
      <c r="C87" s="7">
        <v>20</v>
      </c>
      <c r="D87" s="7">
        <v>36</v>
      </c>
      <c r="E87">
        <f t="shared" si="3"/>
        <v>56</v>
      </c>
      <c r="H87" t="s">
        <v>62</v>
      </c>
      <c r="I87">
        <v>56</v>
      </c>
      <c r="K87" s="3" t="s">
        <v>319</v>
      </c>
      <c r="L87" s="3" t="s">
        <v>320</v>
      </c>
      <c r="M87" t="str">
        <f t="shared" si="4"/>
        <v>T.J. Oshie</v>
      </c>
      <c r="N87">
        <f t="shared" si="5"/>
        <v>53</v>
      </c>
    </row>
    <row r="88" spans="1:14" x14ac:dyDescent="0.25">
      <c r="A88" s="5">
        <v>87</v>
      </c>
      <c r="B88" t="s">
        <v>551</v>
      </c>
      <c r="C88" s="5">
        <v>27</v>
      </c>
      <c r="D88" s="5">
        <v>31</v>
      </c>
      <c r="E88">
        <f t="shared" si="3"/>
        <v>58</v>
      </c>
      <c r="H88" t="s">
        <v>71</v>
      </c>
      <c r="I88">
        <v>58</v>
      </c>
      <c r="K88" s="4" t="s">
        <v>307</v>
      </c>
      <c r="L88" s="4" t="s">
        <v>308</v>
      </c>
      <c r="M88" t="str">
        <f t="shared" si="4"/>
        <v>Brad Marchand</v>
      </c>
      <c r="N88">
        <f t="shared" si="5"/>
        <v>52</v>
      </c>
    </row>
    <row r="89" spans="1:14" x14ac:dyDescent="0.25">
      <c r="A89" s="7">
        <v>88</v>
      </c>
      <c r="B89" t="s">
        <v>552</v>
      </c>
      <c r="C89" s="7">
        <v>19</v>
      </c>
      <c r="D89" s="7">
        <v>31</v>
      </c>
      <c r="E89">
        <f t="shared" si="3"/>
        <v>50</v>
      </c>
      <c r="H89" t="s">
        <v>52</v>
      </c>
      <c r="I89">
        <v>50</v>
      </c>
      <c r="K89" s="3" t="s">
        <v>339</v>
      </c>
      <c r="L89" s="3" t="s">
        <v>340</v>
      </c>
      <c r="M89" t="str">
        <f t="shared" si="4"/>
        <v>Adam Henrique</v>
      </c>
      <c r="N89">
        <f t="shared" si="5"/>
        <v>57</v>
      </c>
    </row>
    <row r="90" spans="1:14" x14ac:dyDescent="0.25">
      <c r="A90" s="5">
        <v>89</v>
      </c>
      <c r="B90" t="s">
        <v>553</v>
      </c>
      <c r="C90" s="5">
        <v>21</v>
      </c>
      <c r="D90" s="5">
        <v>33</v>
      </c>
      <c r="E90">
        <f t="shared" si="3"/>
        <v>54</v>
      </c>
      <c r="H90" t="s">
        <v>74</v>
      </c>
      <c r="I90">
        <v>54</v>
      </c>
      <c r="K90" s="4" t="s">
        <v>356</v>
      </c>
      <c r="L90" s="4" t="s">
        <v>357</v>
      </c>
      <c r="M90" t="str">
        <f t="shared" si="4"/>
        <v>Ondrej Palat</v>
      </c>
      <c r="N90">
        <f t="shared" si="5"/>
        <v>52</v>
      </c>
    </row>
    <row r="91" spans="1:14" x14ac:dyDescent="0.25">
      <c r="A91" s="7">
        <v>90</v>
      </c>
      <c r="B91" t="s">
        <v>554</v>
      </c>
      <c r="C91" s="7">
        <v>24</v>
      </c>
      <c r="D91" s="7">
        <v>30</v>
      </c>
      <c r="E91">
        <f t="shared" si="3"/>
        <v>54</v>
      </c>
      <c r="H91" t="s">
        <v>51</v>
      </c>
      <c r="I91">
        <v>54</v>
      </c>
      <c r="K91" s="3" t="s">
        <v>265</v>
      </c>
      <c r="L91" s="3" t="s">
        <v>266</v>
      </c>
      <c r="M91" t="str">
        <f t="shared" si="4"/>
        <v>Derek Stepan</v>
      </c>
      <c r="N91">
        <f t="shared" si="5"/>
        <v>56</v>
      </c>
    </row>
    <row r="92" spans="1:14" x14ac:dyDescent="0.25">
      <c r="A92" s="5">
        <v>91</v>
      </c>
      <c r="B92" t="s">
        <v>555</v>
      </c>
      <c r="C92" s="5">
        <v>23</v>
      </c>
      <c r="D92" s="5">
        <v>28</v>
      </c>
      <c r="E92">
        <f t="shared" si="3"/>
        <v>51</v>
      </c>
      <c r="H92" t="s">
        <v>80</v>
      </c>
      <c r="I92">
        <v>51</v>
      </c>
      <c r="K92" s="4" t="s">
        <v>286</v>
      </c>
      <c r="L92" s="4" t="s">
        <v>287</v>
      </c>
      <c r="M92" t="str">
        <f t="shared" si="4"/>
        <v>Dylan Larkin</v>
      </c>
      <c r="N92">
        <f t="shared" si="5"/>
        <v>54</v>
      </c>
    </row>
    <row r="93" spans="1:14" x14ac:dyDescent="0.25">
      <c r="A93" s="7">
        <v>92</v>
      </c>
      <c r="B93" t="s">
        <v>556</v>
      </c>
      <c r="C93" s="7">
        <v>23</v>
      </c>
      <c r="D93" s="7">
        <v>28</v>
      </c>
      <c r="E93">
        <f t="shared" si="3"/>
        <v>51</v>
      </c>
      <c r="H93" t="s">
        <v>121</v>
      </c>
      <c r="I93">
        <v>51</v>
      </c>
      <c r="K93" s="3" t="s">
        <v>284</v>
      </c>
      <c r="L93" s="3" t="s">
        <v>285</v>
      </c>
      <c r="M93" t="str">
        <f t="shared" si="4"/>
        <v>Mika Zibanejad</v>
      </c>
      <c r="N93">
        <f t="shared" si="5"/>
        <v>48</v>
      </c>
    </row>
    <row r="94" spans="1:14" x14ac:dyDescent="0.25">
      <c r="A94" s="5">
        <v>93</v>
      </c>
      <c r="B94" t="s">
        <v>557</v>
      </c>
      <c r="C94" s="5">
        <v>9</v>
      </c>
      <c r="D94" s="5">
        <v>30</v>
      </c>
      <c r="E94">
        <f t="shared" si="3"/>
        <v>39</v>
      </c>
      <c r="H94" t="s">
        <v>671</v>
      </c>
      <c r="I94">
        <v>39</v>
      </c>
      <c r="K94" s="4" t="s">
        <v>170</v>
      </c>
      <c r="L94" s="4" t="s">
        <v>355</v>
      </c>
      <c r="M94" t="str">
        <f t="shared" si="4"/>
        <v>John Carlson</v>
      </c>
      <c r="N94">
        <f t="shared" si="5"/>
        <v>47</v>
      </c>
    </row>
    <row r="95" spans="1:14" x14ac:dyDescent="0.25">
      <c r="A95" s="7">
        <v>94</v>
      </c>
      <c r="B95" t="s">
        <v>558</v>
      </c>
      <c r="C95" s="7">
        <v>14</v>
      </c>
      <c r="D95" s="7">
        <v>25</v>
      </c>
      <c r="E95">
        <f t="shared" si="3"/>
        <v>39</v>
      </c>
      <c r="H95" t="s">
        <v>148</v>
      </c>
      <c r="I95">
        <v>39</v>
      </c>
      <c r="K95" s="3" t="s">
        <v>300</v>
      </c>
      <c r="L95" s="3" t="s">
        <v>301</v>
      </c>
      <c r="M95" t="str">
        <f t="shared" si="4"/>
        <v>Dustin Byfuglien</v>
      </c>
      <c r="N95">
        <f t="shared" si="5"/>
        <v>51</v>
      </c>
    </row>
    <row r="96" spans="1:14" x14ac:dyDescent="0.25">
      <c r="A96" s="5">
        <v>95</v>
      </c>
      <c r="B96" t="s">
        <v>559</v>
      </c>
      <c r="C96" s="5">
        <v>15</v>
      </c>
      <c r="D96" s="5">
        <v>38</v>
      </c>
      <c r="E96">
        <f t="shared" si="3"/>
        <v>53</v>
      </c>
      <c r="H96" t="s">
        <v>112</v>
      </c>
      <c r="I96">
        <v>53</v>
      </c>
      <c r="K96" s="4" t="s">
        <v>196</v>
      </c>
      <c r="L96" s="4" t="s">
        <v>309</v>
      </c>
      <c r="M96" t="str">
        <f t="shared" si="4"/>
        <v>Mark Giordano</v>
      </c>
      <c r="N96">
        <f t="shared" si="5"/>
        <v>52</v>
      </c>
    </row>
    <row r="97" spans="1:14" x14ac:dyDescent="0.25">
      <c r="A97" s="7">
        <v>96</v>
      </c>
      <c r="B97" t="s">
        <v>560</v>
      </c>
      <c r="C97" s="7">
        <v>22</v>
      </c>
      <c r="D97" s="7">
        <v>30</v>
      </c>
      <c r="E97">
        <f t="shared" si="3"/>
        <v>52</v>
      </c>
      <c r="H97" t="s">
        <v>118</v>
      </c>
      <c r="I97">
        <v>52</v>
      </c>
      <c r="K97" s="3" t="s">
        <v>162</v>
      </c>
      <c r="L97" s="3" t="s">
        <v>306</v>
      </c>
      <c r="M97" t="str">
        <f t="shared" si="4"/>
        <v>Patrick Sharp</v>
      </c>
      <c r="N97">
        <f t="shared" si="5"/>
        <v>55</v>
      </c>
    </row>
    <row r="98" spans="1:14" x14ac:dyDescent="0.25">
      <c r="A98" s="5">
        <v>97</v>
      </c>
      <c r="B98" t="s">
        <v>561</v>
      </c>
      <c r="C98" s="5">
        <v>21</v>
      </c>
      <c r="D98" s="5">
        <v>22</v>
      </c>
      <c r="E98">
        <f t="shared" si="3"/>
        <v>43</v>
      </c>
      <c r="H98" t="s">
        <v>672</v>
      </c>
      <c r="I98">
        <v>43</v>
      </c>
      <c r="K98" s="4" t="s">
        <v>321</v>
      </c>
      <c r="L98" s="4" t="s">
        <v>322</v>
      </c>
      <c r="M98" t="str">
        <f t="shared" si="4"/>
        <v>Jaromir Jagr</v>
      </c>
      <c r="N98">
        <f t="shared" si="5"/>
        <v>54</v>
      </c>
    </row>
    <row r="99" spans="1:14" x14ac:dyDescent="0.25">
      <c r="A99" s="7">
        <v>98</v>
      </c>
      <c r="B99" t="s">
        <v>562</v>
      </c>
      <c r="C99" s="7">
        <v>14</v>
      </c>
      <c r="D99" s="7">
        <v>27</v>
      </c>
      <c r="E99">
        <f t="shared" si="3"/>
        <v>41</v>
      </c>
      <c r="H99" t="s">
        <v>673</v>
      </c>
      <c r="I99">
        <v>41</v>
      </c>
      <c r="K99" s="3" t="s">
        <v>345</v>
      </c>
      <c r="L99" s="3" t="s">
        <v>346</v>
      </c>
      <c r="M99" t="str">
        <f t="shared" si="4"/>
        <v>Rick Nash</v>
      </c>
      <c r="N99">
        <f t="shared" si="5"/>
        <v>49</v>
      </c>
    </row>
    <row r="100" spans="1:14" x14ac:dyDescent="0.25">
      <c r="A100" s="5">
        <v>99</v>
      </c>
      <c r="B100" t="s">
        <v>563</v>
      </c>
      <c r="C100" s="5">
        <v>22</v>
      </c>
      <c r="D100" s="5">
        <v>23</v>
      </c>
      <c r="E100">
        <f t="shared" si="3"/>
        <v>45</v>
      </c>
      <c r="H100" t="s">
        <v>674</v>
      </c>
      <c r="I100">
        <v>45</v>
      </c>
      <c r="K100" s="4" t="s">
        <v>341</v>
      </c>
      <c r="L100" s="4" t="s">
        <v>342</v>
      </c>
      <c r="M100" t="str">
        <f t="shared" si="4"/>
        <v>Paul Stastny</v>
      </c>
      <c r="N100">
        <f t="shared" si="5"/>
        <v>48</v>
      </c>
    </row>
    <row r="101" spans="1:14" x14ac:dyDescent="0.25">
      <c r="A101" s="7">
        <v>100</v>
      </c>
      <c r="B101" t="s">
        <v>564</v>
      </c>
      <c r="C101" s="7">
        <v>20</v>
      </c>
      <c r="D101" s="7">
        <v>28</v>
      </c>
      <c r="E101">
        <f t="shared" si="3"/>
        <v>48</v>
      </c>
      <c r="H101" t="s">
        <v>124</v>
      </c>
      <c r="I101">
        <v>48</v>
      </c>
      <c r="K101" s="3" t="s">
        <v>351</v>
      </c>
      <c r="L101" s="3" t="s">
        <v>352</v>
      </c>
      <c r="M101" t="str">
        <f t="shared" si="4"/>
        <v>Patric Hornqvist</v>
      </c>
      <c r="N101">
        <f t="shared" si="5"/>
        <v>55</v>
      </c>
    </row>
    <row r="102" spans="1:14" x14ac:dyDescent="0.25">
      <c r="A102" s="5">
        <v>101</v>
      </c>
      <c r="B102" t="s">
        <v>565</v>
      </c>
      <c r="C102" s="5">
        <v>8</v>
      </c>
      <c r="D102" s="5">
        <v>39</v>
      </c>
      <c r="E102">
        <f t="shared" si="3"/>
        <v>47</v>
      </c>
      <c r="H102" t="s">
        <v>113</v>
      </c>
      <c r="I102">
        <v>47</v>
      </c>
      <c r="K102" s="4" t="s">
        <v>360</v>
      </c>
      <c r="L102" s="4" t="s">
        <v>361</v>
      </c>
      <c r="M102" t="str">
        <f t="shared" si="4"/>
        <v>Mikko Koivu</v>
      </c>
      <c r="N102">
        <f t="shared" si="5"/>
        <v>53</v>
      </c>
    </row>
    <row r="103" spans="1:14" x14ac:dyDescent="0.25">
      <c r="A103" s="7">
        <v>102</v>
      </c>
      <c r="B103" t="s">
        <v>566</v>
      </c>
      <c r="C103" s="7">
        <v>25</v>
      </c>
      <c r="D103" s="7">
        <v>22</v>
      </c>
      <c r="E103">
        <f t="shared" si="3"/>
        <v>47</v>
      </c>
      <c r="H103" t="s">
        <v>122</v>
      </c>
      <c r="I103">
        <v>47</v>
      </c>
      <c r="K103" s="3" t="s">
        <v>365</v>
      </c>
      <c r="L103" s="3" t="s">
        <v>366</v>
      </c>
      <c r="M103" t="str">
        <f t="shared" si="4"/>
        <v>Tomas Plekanec</v>
      </c>
      <c r="N103">
        <f t="shared" si="5"/>
        <v>54</v>
      </c>
    </row>
    <row r="104" spans="1:14" x14ac:dyDescent="0.25">
      <c r="A104" s="5">
        <v>103</v>
      </c>
      <c r="B104" t="s">
        <v>567</v>
      </c>
      <c r="C104" s="5">
        <v>9</v>
      </c>
      <c r="D104" s="5">
        <v>37</v>
      </c>
      <c r="E104">
        <f t="shared" si="3"/>
        <v>46</v>
      </c>
      <c r="H104" t="s">
        <v>675</v>
      </c>
      <c r="I104">
        <v>46</v>
      </c>
      <c r="K104" s="4" t="s">
        <v>312</v>
      </c>
      <c r="L104" s="4" t="s">
        <v>313</v>
      </c>
      <c r="M104" t="str">
        <f t="shared" si="4"/>
        <v>Brendan Gallagher</v>
      </c>
      <c r="N104">
        <f t="shared" si="5"/>
        <v>44</v>
      </c>
    </row>
    <row r="105" spans="1:14" x14ac:dyDescent="0.25">
      <c r="A105" s="7">
        <v>104</v>
      </c>
      <c r="B105" t="s">
        <v>568</v>
      </c>
      <c r="C105" s="7">
        <v>8</v>
      </c>
      <c r="D105" s="7">
        <v>33</v>
      </c>
      <c r="E105">
        <f t="shared" si="3"/>
        <v>41</v>
      </c>
      <c r="H105" t="s">
        <v>142</v>
      </c>
      <c r="I105">
        <v>41</v>
      </c>
      <c r="K105" s="3" t="s">
        <v>327</v>
      </c>
      <c r="L105" s="3" t="s">
        <v>328</v>
      </c>
      <c r="M105" t="str">
        <f t="shared" si="4"/>
        <v>Victor Hedman</v>
      </c>
      <c r="N105">
        <f t="shared" si="5"/>
        <v>44</v>
      </c>
    </row>
    <row r="106" spans="1:14" x14ac:dyDescent="0.25">
      <c r="A106" s="5">
        <v>105</v>
      </c>
      <c r="B106" t="s">
        <v>569</v>
      </c>
      <c r="C106" s="5">
        <v>21</v>
      </c>
      <c r="D106" s="5">
        <v>35</v>
      </c>
      <c r="E106">
        <f t="shared" si="3"/>
        <v>56</v>
      </c>
      <c r="H106" t="s">
        <v>75</v>
      </c>
      <c r="I106">
        <v>56</v>
      </c>
      <c r="K106" s="4" t="s">
        <v>331</v>
      </c>
      <c r="L106" s="4" t="s">
        <v>332</v>
      </c>
      <c r="M106" t="str">
        <f t="shared" si="4"/>
        <v>Frans Nielsen</v>
      </c>
      <c r="N106">
        <f t="shared" si="5"/>
        <v>45</v>
      </c>
    </row>
    <row r="107" spans="1:14" x14ac:dyDescent="0.25">
      <c r="A107" s="7">
        <v>106</v>
      </c>
      <c r="B107" t="s">
        <v>570</v>
      </c>
      <c r="C107" s="7">
        <v>18</v>
      </c>
      <c r="D107" s="7">
        <v>29</v>
      </c>
      <c r="E107">
        <f t="shared" si="3"/>
        <v>47</v>
      </c>
      <c r="H107" t="s">
        <v>150</v>
      </c>
      <c r="I107">
        <v>47</v>
      </c>
      <c r="K107" s="3" t="s">
        <v>327</v>
      </c>
      <c r="L107" s="3" t="s">
        <v>362</v>
      </c>
      <c r="M107" t="str">
        <f t="shared" si="4"/>
        <v>Victor Rask</v>
      </c>
      <c r="N107">
        <f t="shared" si="5"/>
        <v>48</v>
      </c>
    </row>
    <row r="108" spans="1:14" x14ac:dyDescent="0.25">
      <c r="A108" s="5">
        <v>107</v>
      </c>
      <c r="B108" t="s">
        <v>571</v>
      </c>
      <c r="C108" s="5">
        <v>17</v>
      </c>
      <c r="D108" s="5">
        <v>27</v>
      </c>
      <c r="E108">
        <f t="shared" si="3"/>
        <v>44</v>
      </c>
      <c r="H108" t="s">
        <v>676</v>
      </c>
      <c r="I108">
        <v>44</v>
      </c>
      <c r="K108" s="4" t="s">
        <v>252</v>
      </c>
      <c r="L108" s="4" t="s">
        <v>364</v>
      </c>
      <c r="M108" t="str">
        <f t="shared" si="4"/>
        <v>Henrik Zetterberg</v>
      </c>
      <c r="N108">
        <f t="shared" si="5"/>
        <v>55</v>
      </c>
    </row>
    <row r="109" spans="1:14" x14ac:dyDescent="0.25">
      <c r="A109" s="7">
        <v>108</v>
      </c>
      <c r="B109" t="s">
        <v>572</v>
      </c>
      <c r="C109" s="7">
        <v>15</v>
      </c>
      <c r="D109" s="7">
        <v>40</v>
      </c>
      <c r="E109">
        <f t="shared" si="3"/>
        <v>55</v>
      </c>
      <c r="H109" t="s">
        <v>41</v>
      </c>
      <c r="I109">
        <v>55</v>
      </c>
      <c r="K109" s="3" t="s">
        <v>358</v>
      </c>
      <c r="L109" s="3" t="s">
        <v>359</v>
      </c>
      <c r="M109" t="str">
        <f t="shared" si="4"/>
        <v>Mikkel Boedker</v>
      </c>
      <c r="N109">
        <f t="shared" si="5"/>
        <v>50</v>
      </c>
    </row>
    <row r="110" spans="1:14" x14ac:dyDescent="0.25">
      <c r="A110" s="5">
        <v>109</v>
      </c>
      <c r="B110" t="s">
        <v>573</v>
      </c>
      <c r="C110" s="5">
        <v>28</v>
      </c>
      <c r="D110" s="5">
        <v>21</v>
      </c>
      <c r="E110">
        <f t="shared" si="3"/>
        <v>49</v>
      </c>
      <c r="H110" t="s">
        <v>99</v>
      </c>
      <c r="I110">
        <v>49</v>
      </c>
      <c r="K110" s="4" t="s">
        <v>325</v>
      </c>
      <c r="L110" s="4" t="s">
        <v>326</v>
      </c>
      <c r="M110" t="str">
        <f t="shared" si="4"/>
        <v>Shea Weber</v>
      </c>
      <c r="N110">
        <f t="shared" si="5"/>
        <v>45</v>
      </c>
    </row>
    <row r="111" spans="1:14" x14ac:dyDescent="0.25">
      <c r="A111" s="7">
        <v>110</v>
      </c>
      <c r="B111" t="s">
        <v>574</v>
      </c>
      <c r="C111" s="7">
        <v>21</v>
      </c>
      <c r="D111" s="7">
        <v>31</v>
      </c>
      <c r="E111">
        <f t="shared" si="3"/>
        <v>52</v>
      </c>
      <c r="H111" t="s">
        <v>677</v>
      </c>
      <c r="I111">
        <v>52</v>
      </c>
      <c r="K111" s="3" t="s">
        <v>343</v>
      </c>
      <c r="L111" s="3" t="s">
        <v>344</v>
      </c>
      <c r="M111" t="str">
        <f t="shared" si="4"/>
        <v>Boone Jenner</v>
      </c>
      <c r="N111">
        <f t="shared" si="5"/>
        <v>47</v>
      </c>
    </row>
    <row r="112" spans="1:14" x14ac:dyDescent="0.25">
      <c r="A112" s="5">
        <v>111</v>
      </c>
      <c r="B112" s="6" t="s">
        <v>575</v>
      </c>
      <c r="C112" s="5">
        <v>27</v>
      </c>
      <c r="D112" s="5">
        <v>31</v>
      </c>
      <c r="E112">
        <f t="shared" si="3"/>
        <v>58</v>
      </c>
      <c r="H112" t="s">
        <v>47</v>
      </c>
      <c r="I112">
        <v>58</v>
      </c>
      <c r="K112" s="4" t="s">
        <v>268</v>
      </c>
      <c r="L112" s="4" t="s">
        <v>269</v>
      </c>
      <c r="M112" t="str">
        <f t="shared" si="4"/>
        <v>Patrik Laine</v>
      </c>
      <c r="N112">
        <f t="shared" si="5"/>
        <v>43</v>
      </c>
    </row>
    <row r="113" spans="1:14" x14ac:dyDescent="0.25">
      <c r="A113" s="7">
        <v>112</v>
      </c>
      <c r="B113" t="s">
        <v>576</v>
      </c>
      <c r="C113" s="7">
        <v>13</v>
      </c>
      <c r="D113" s="7">
        <v>34</v>
      </c>
      <c r="E113">
        <f t="shared" si="3"/>
        <v>47</v>
      </c>
      <c r="H113" t="s">
        <v>102</v>
      </c>
      <c r="I113">
        <v>47</v>
      </c>
      <c r="K113" s="3" t="s">
        <v>347</v>
      </c>
      <c r="L113" s="3" t="s">
        <v>348</v>
      </c>
      <c r="M113" t="str">
        <f t="shared" si="4"/>
        <v>Tyson Barrie</v>
      </c>
      <c r="N113">
        <f t="shared" si="5"/>
        <v>47</v>
      </c>
    </row>
    <row r="114" spans="1:14" x14ac:dyDescent="0.25">
      <c r="A114" s="5">
        <v>113</v>
      </c>
      <c r="B114" t="s">
        <v>577</v>
      </c>
      <c r="C114" s="5">
        <v>11</v>
      </c>
      <c r="D114" s="5">
        <v>30</v>
      </c>
      <c r="E114">
        <f t="shared" si="3"/>
        <v>41</v>
      </c>
      <c r="H114" t="s">
        <v>678</v>
      </c>
      <c r="I114">
        <v>41</v>
      </c>
      <c r="K114" s="4" t="s">
        <v>397</v>
      </c>
      <c r="L114" s="4" t="s">
        <v>398</v>
      </c>
      <c r="M114" t="str">
        <f t="shared" si="4"/>
        <v>Sam Reinhart</v>
      </c>
      <c r="N114">
        <f t="shared" si="5"/>
        <v>46</v>
      </c>
    </row>
    <row r="115" spans="1:14" x14ac:dyDescent="0.25">
      <c r="A115" s="7">
        <v>114</v>
      </c>
      <c r="B115" t="s">
        <v>578</v>
      </c>
      <c r="C115" s="7">
        <v>22</v>
      </c>
      <c r="D115" s="7">
        <v>22</v>
      </c>
      <c r="E115">
        <f t="shared" si="3"/>
        <v>44</v>
      </c>
      <c r="H115" t="s">
        <v>84</v>
      </c>
      <c r="I115">
        <v>44</v>
      </c>
      <c r="K115" s="3" t="s">
        <v>188</v>
      </c>
      <c r="L115" s="3" t="s">
        <v>363</v>
      </c>
      <c r="M115" t="str">
        <f t="shared" si="4"/>
        <v>Ryan Kesler</v>
      </c>
      <c r="N115">
        <f t="shared" si="5"/>
        <v>55</v>
      </c>
    </row>
    <row r="116" spans="1:14" x14ac:dyDescent="0.25">
      <c r="A116" s="5">
        <v>115</v>
      </c>
      <c r="B116" t="s">
        <v>579</v>
      </c>
      <c r="C116" s="5">
        <v>30</v>
      </c>
      <c r="D116" s="5">
        <v>23</v>
      </c>
      <c r="E116">
        <f t="shared" si="3"/>
        <v>53</v>
      </c>
      <c r="H116" t="s">
        <v>77</v>
      </c>
      <c r="I116">
        <v>53</v>
      </c>
      <c r="K116" s="4" t="s">
        <v>365</v>
      </c>
      <c r="L116" s="4" t="s">
        <v>369</v>
      </c>
      <c r="M116" t="str">
        <f t="shared" si="4"/>
        <v>Tomas Hertl</v>
      </c>
      <c r="N116">
        <f t="shared" si="5"/>
        <v>51</v>
      </c>
    </row>
    <row r="117" spans="1:14" x14ac:dyDescent="0.25">
      <c r="A117" s="7">
        <v>116</v>
      </c>
      <c r="B117" t="s">
        <v>580</v>
      </c>
      <c r="C117" s="7">
        <v>21</v>
      </c>
      <c r="D117" s="7">
        <v>33</v>
      </c>
      <c r="E117">
        <f t="shared" si="3"/>
        <v>54</v>
      </c>
      <c r="H117" t="s">
        <v>88</v>
      </c>
      <c r="I117">
        <v>54</v>
      </c>
      <c r="K117" s="3" t="s">
        <v>314</v>
      </c>
      <c r="L117" s="3" t="s">
        <v>315</v>
      </c>
      <c r="M117" t="str">
        <f t="shared" si="4"/>
        <v>Gustav Nyquist</v>
      </c>
      <c r="N117">
        <f t="shared" si="5"/>
        <v>47</v>
      </c>
    </row>
    <row r="118" spans="1:14" x14ac:dyDescent="0.25">
      <c r="A118" s="5">
        <v>117</v>
      </c>
      <c r="B118" t="s">
        <v>581</v>
      </c>
      <c r="C118" s="5">
        <v>28</v>
      </c>
      <c r="D118" s="5">
        <v>26</v>
      </c>
      <c r="E118">
        <f t="shared" si="3"/>
        <v>54</v>
      </c>
      <c r="H118" t="s">
        <v>78</v>
      </c>
      <c r="I118">
        <v>54</v>
      </c>
      <c r="K118" s="4" t="s">
        <v>415</v>
      </c>
      <c r="L118" s="4" t="s">
        <v>416</v>
      </c>
      <c r="M118" t="str">
        <f t="shared" si="4"/>
        <v>Robby Fabbri</v>
      </c>
      <c r="N118">
        <f t="shared" si="5"/>
        <v>49</v>
      </c>
    </row>
    <row r="119" spans="1:14" x14ac:dyDescent="0.25">
      <c r="A119" s="7">
        <v>118</v>
      </c>
      <c r="B119" t="s">
        <v>582</v>
      </c>
      <c r="C119" s="7">
        <v>23</v>
      </c>
      <c r="D119" s="7">
        <v>26</v>
      </c>
      <c r="E119">
        <f t="shared" si="3"/>
        <v>49</v>
      </c>
      <c r="H119" t="s">
        <v>139</v>
      </c>
      <c r="I119">
        <v>49</v>
      </c>
      <c r="K119" s="3" t="s">
        <v>383</v>
      </c>
      <c r="L119" s="3" t="s">
        <v>384</v>
      </c>
      <c r="M119" t="str">
        <f t="shared" si="4"/>
        <v>Nikolaj Ehlers</v>
      </c>
      <c r="N119">
        <f t="shared" si="5"/>
        <v>48</v>
      </c>
    </row>
    <row r="120" spans="1:14" x14ac:dyDescent="0.25">
      <c r="A120" s="5">
        <v>119</v>
      </c>
      <c r="B120" t="s">
        <v>583</v>
      </c>
      <c r="C120" s="5">
        <v>23</v>
      </c>
      <c r="D120" s="5">
        <v>28</v>
      </c>
      <c r="E120">
        <f t="shared" si="3"/>
        <v>51</v>
      </c>
      <c r="H120" t="s">
        <v>115</v>
      </c>
      <c r="I120">
        <v>51</v>
      </c>
      <c r="K120" s="4" t="s">
        <v>397</v>
      </c>
      <c r="L120" s="4" t="s">
        <v>421</v>
      </c>
      <c r="M120" t="str">
        <f t="shared" si="4"/>
        <v>Sam Bennett</v>
      </c>
      <c r="N120">
        <f t="shared" si="5"/>
        <v>48</v>
      </c>
    </row>
    <row r="121" spans="1:14" x14ac:dyDescent="0.25">
      <c r="A121" s="7">
        <v>120</v>
      </c>
      <c r="B121" t="s">
        <v>584</v>
      </c>
      <c r="C121" s="7">
        <v>9</v>
      </c>
      <c r="D121" s="7">
        <v>24</v>
      </c>
      <c r="E121">
        <f t="shared" si="3"/>
        <v>33</v>
      </c>
      <c r="H121" t="s">
        <v>679</v>
      </c>
      <c r="I121">
        <v>33</v>
      </c>
      <c r="K121" s="3" t="s">
        <v>428</v>
      </c>
      <c r="L121" s="3" t="s">
        <v>429</v>
      </c>
      <c r="M121" t="str">
        <f t="shared" si="4"/>
        <v>Reilly Smith</v>
      </c>
      <c r="N121">
        <f t="shared" si="5"/>
        <v>42</v>
      </c>
    </row>
    <row r="122" spans="1:14" x14ac:dyDescent="0.25">
      <c r="A122" s="5">
        <v>121</v>
      </c>
      <c r="B122" t="s">
        <v>585</v>
      </c>
      <c r="C122" s="5">
        <v>10</v>
      </c>
      <c r="D122" s="5">
        <v>27</v>
      </c>
      <c r="E122">
        <f t="shared" si="3"/>
        <v>37</v>
      </c>
      <c r="H122" t="s">
        <v>680</v>
      </c>
      <c r="I122">
        <v>37</v>
      </c>
      <c r="K122" s="4" t="s">
        <v>433</v>
      </c>
      <c r="L122" s="4" t="s">
        <v>434</v>
      </c>
      <c r="M122" t="str">
        <f t="shared" si="4"/>
        <v>Teuvo Teravainen</v>
      </c>
      <c r="N122" t="e">
        <f t="shared" si="5"/>
        <v>#N/A</v>
      </c>
    </row>
    <row r="123" spans="1:14" x14ac:dyDescent="0.25">
      <c r="A123" s="7">
        <v>122</v>
      </c>
      <c r="B123" t="s">
        <v>586</v>
      </c>
      <c r="C123" s="7">
        <v>20</v>
      </c>
      <c r="D123" s="7">
        <v>21</v>
      </c>
      <c r="E123">
        <f t="shared" si="3"/>
        <v>41</v>
      </c>
      <c r="H123" t="s">
        <v>681</v>
      </c>
      <c r="I123">
        <v>41</v>
      </c>
      <c r="K123" s="3" t="s">
        <v>381</v>
      </c>
      <c r="L123" s="3" t="s">
        <v>382</v>
      </c>
      <c r="M123" t="str">
        <f t="shared" si="4"/>
        <v>Jiri Hudler</v>
      </c>
      <c r="N123">
        <f t="shared" si="5"/>
        <v>48</v>
      </c>
    </row>
    <row r="124" spans="1:14" x14ac:dyDescent="0.25">
      <c r="A124" s="5">
        <v>123</v>
      </c>
      <c r="B124" t="s">
        <v>587</v>
      </c>
      <c r="C124" s="5">
        <v>17</v>
      </c>
      <c r="D124" s="5">
        <v>33</v>
      </c>
      <c r="E124">
        <f t="shared" si="3"/>
        <v>50</v>
      </c>
      <c r="H124" t="s">
        <v>93</v>
      </c>
      <c r="I124">
        <v>50</v>
      </c>
      <c r="K124" s="4" t="s">
        <v>349</v>
      </c>
      <c r="L124" s="4" t="s">
        <v>350</v>
      </c>
      <c r="M124" t="str">
        <f t="shared" si="4"/>
        <v>Drew Doughty</v>
      </c>
      <c r="N124">
        <f t="shared" si="5"/>
        <v>46</v>
      </c>
    </row>
    <row r="125" spans="1:14" x14ac:dyDescent="0.25">
      <c r="A125" s="7">
        <v>124</v>
      </c>
      <c r="B125" t="s">
        <v>588</v>
      </c>
      <c r="C125" s="7">
        <v>15</v>
      </c>
      <c r="D125" s="7">
        <v>27</v>
      </c>
      <c r="E125">
        <f t="shared" si="3"/>
        <v>42</v>
      </c>
      <c r="H125" t="s">
        <v>133</v>
      </c>
      <c r="I125">
        <v>42</v>
      </c>
      <c r="K125" s="3" t="s">
        <v>174</v>
      </c>
      <c r="L125" s="3" t="s">
        <v>370</v>
      </c>
      <c r="M125" t="str">
        <f t="shared" si="4"/>
        <v>Alexander Wennberg</v>
      </c>
      <c r="N125" t="e">
        <f t="shared" si="5"/>
        <v>#N/A</v>
      </c>
    </row>
    <row r="126" spans="1:14" x14ac:dyDescent="0.25">
      <c r="A126" s="5">
        <v>125</v>
      </c>
      <c r="B126" t="s">
        <v>589</v>
      </c>
      <c r="C126" s="5">
        <v>19</v>
      </c>
      <c r="D126" s="5">
        <v>23</v>
      </c>
      <c r="E126">
        <f t="shared" si="3"/>
        <v>42</v>
      </c>
      <c r="H126" t="s">
        <v>36</v>
      </c>
      <c r="I126">
        <v>42</v>
      </c>
      <c r="K126" s="4" t="s">
        <v>401</v>
      </c>
      <c r="L126" s="4" t="s">
        <v>402</v>
      </c>
      <c r="M126" t="str">
        <f t="shared" si="4"/>
        <v>Duncan Keith</v>
      </c>
      <c r="N126">
        <f t="shared" si="5"/>
        <v>49</v>
      </c>
    </row>
    <row r="127" spans="1:14" x14ac:dyDescent="0.25">
      <c r="A127" s="7">
        <v>126</v>
      </c>
      <c r="B127" t="s">
        <v>590</v>
      </c>
      <c r="C127" s="7">
        <v>25</v>
      </c>
      <c r="D127" s="7">
        <v>22</v>
      </c>
      <c r="E127">
        <f t="shared" si="3"/>
        <v>47</v>
      </c>
      <c r="H127" t="s">
        <v>153</v>
      </c>
      <c r="I127">
        <v>47</v>
      </c>
      <c r="K127" s="3" t="s">
        <v>333</v>
      </c>
      <c r="L127" s="3" t="s">
        <v>334</v>
      </c>
      <c r="M127" t="str">
        <f t="shared" si="4"/>
        <v>Carl Soderberg</v>
      </c>
      <c r="N127">
        <f t="shared" si="5"/>
        <v>48</v>
      </c>
    </row>
    <row r="128" spans="1:14" x14ac:dyDescent="0.25">
      <c r="A128" s="5">
        <v>127</v>
      </c>
      <c r="B128" t="s">
        <v>591</v>
      </c>
      <c r="C128" s="5">
        <v>18</v>
      </c>
      <c r="D128" s="5">
        <v>34</v>
      </c>
      <c r="E128">
        <f t="shared" si="3"/>
        <v>52</v>
      </c>
      <c r="H128" t="s">
        <v>106</v>
      </c>
      <c r="I128">
        <v>52</v>
      </c>
      <c r="K128" s="4" t="s">
        <v>390</v>
      </c>
      <c r="L128" s="4" t="s">
        <v>391</v>
      </c>
      <c r="M128" t="str">
        <f t="shared" si="4"/>
        <v>Anthony Duclair</v>
      </c>
      <c r="N128">
        <f t="shared" si="5"/>
        <v>47</v>
      </c>
    </row>
    <row r="129" spans="1:14" x14ac:dyDescent="0.25">
      <c r="A129" s="7">
        <v>128</v>
      </c>
      <c r="B129" s="8" t="s">
        <v>592</v>
      </c>
      <c r="C129" s="7">
        <v>22</v>
      </c>
      <c r="D129" s="7">
        <v>37</v>
      </c>
      <c r="E129">
        <f t="shared" si="3"/>
        <v>59</v>
      </c>
      <c r="H129" t="s">
        <v>44</v>
      </c>
      <c r="I129">
        <v>59</v>
      </c>
      <c r="K129" s="3" t="s">
        <v>411</v>
      </c>
      <c r="L129" s="3" t="s">
        <v>412</v>
      </c>
      <c r="M129" t="str">
        <f t="shared" si="4"/>
        <v>Bo Horvat</v>
      </c>
      <c r="N129" t="e">
        <f t="shared" si="5"/>
        <v>#N/A</v>
      </c>
    </row>
    <row r="130" spans="1:14" x14ac:dyDescent="0.25">
      <c r="A130" s="5">
        <v>129</v>
      </c>
      <c r="B130" t="s">
        <v>593</v>
      </c>
      <c r="C130" s="5">
        <v>24</v>
      </c>
      <c r="D130" s="5">
        <v>32</v>
      </c>
      <c r="E130">
        <f t="shared" si="3"/>
        <v>56</v>
      </c>
      <c r="H130" t="s">
        <v>32</v>
      </c>
      <c r="I130">
        <v>56</v>
      </c>
      <c r="K130" s="4" t="s">
        <v>329</v>
      </c>
      <c r="L130" s="4" t="s">
        <v>330</v>
      </c>
      <c r="M130" t="str">
        <f t="shared" si="4"/>
        <v>Cam Atkinson</v>
      </c>
      <c r="N130">
        <f t="shared" si="5"/>
        <v>49</v>
      </c>
    </row>
    <row r="131" spans="1:14" x14ac:dyDescent="0.25">
      <c r="A131" s="7">
        <v>130</v>
      </c>
      <c r="B131" t="s">
        <v>594</v>
      </c>
      <c r="C131" s="7">
        <v>18</v>
      </c>
      <c r="D131" s="7">
        <v>25</v>
      </c>
      <c r="E131">
        <f t="shared" ref="E131:E194" si="6">C131+D131</f>
        <v>43</v>
      </c>
      <c r="H131" t="s">
        <v>135</v>
      </c>
      <c r="I131">
        <v>43</v>
      </c>
      <c r="K131" s="3" t="s">
        <v>335</v>
      </c>
      <c r="L131" s="3" t="s">
        <v>336</v>
      </c>
      <c r="M131" t="str">
        <f t="shared" ref="M131:M176" si="7">K131&amp;" "&amp;L131</f>
        <v>Marcus Johansson</v>
      </c>
      <c r="N131">
        <f t="shared" ref="N131:N176" si="8">VLOOKUP(M131,$H$2:$I$201,2,0)</f>
        <v>45</v>
      </c>
    </row>
    <row r="132" spans="1:14" x14ac:dyDescent="0.25">
      <c r="A132" s="5">
        <v>131</v>
      </c>
      <c r="B132" s="6" t="s">
        <v>595</v>
      </c>
      <c r="C132" s="5">
        <v>26</v>
      </c>
      <c r="D132" s="5">
        <v>25</v>
      </c>
      <c r="E132">
        <f t="shared" si="6"/>
        <v>51</v>
      </c>
      <c r="H132" t="s">
        <v>131</v>
      </c>
      <c r="I132">
        <v>51</v>
      </c>
      <c r="K132" s="4" t="s">
        <v>407</v>
      </c>
      <c r="L132" s="4" t="s">
        <v>408</v>
      </c>
      <c r="M132" t="str">
        <f t="shared" si="7"/>
        <v>Charlie Coyle</v>
      </c>
      <c r="N132" t="e">
        <f t="shared" si="8"/>
        <v>#N/A</v>
      </c>
    </row>
    <row r="133" spans="1:14" x14ac:dyDescent="0.25">
      <c r="A133" s="7">
        <v>132</v>
      </c>
      <c r="B133" t="s">
        <v>596</v>
      </c>
      <c r="C133" s="7">
        <v>9</v>
      </c>
      <c r="D133" s="7">
        <v>22</v>
      </c>
      <c r="E133">
        <f t="shared" si="6"/>
        <v>31</v>
      </c>
      <c r="H133" t="s">
        <v>682</v>
      </c>
      <c r="I133">
        <v>31</v>
      </c>
      <c r="K133" s="3" t="s">
        <v>399</v>
      </c>
      <c r="L133" s="3" t="s">
        <v>400</v>
      </c>
      <c r="M133" t="str">
        <f t="shared" si="7"/>
        <v>Rickard Rakell</v>
      </c>
      <c r="N133">
        <f t="shared" si="8"/>
        <v>51</v>
      </c>
    </row>
    <row r="134" spans="1:14" x14ac:dyDescent="0.25">
      <c r="A134" s="5">
        <v>133</v>
      </c>
      <c r="B134" t="s">
        <v>597</v>
      </c>
      <c r="C134" s="5">
        <v>9</v>
      </c>
      <c r="D134" s="5">
        <v>27</v>
      </c>
      <c r="E134">
        <f t="shared" si="6"/>
        <v>36</v>
      </c>
      <c r="H134" t="s">
        <v>683</v>
      </c>
      <c r="I134">
        <v>36</v>
      </c>
      <c r="K134" s="4" t="s">
        <v>188</v>
      </c>
      <c r="L134" s="4" t="s">
        <v>388</v>
      </c>
      <c r="M134" t="str">
        <f t="shared" si="7"/>
        <v>Ryan Spooner</v>
      </c>
      <c r="N134">
        <f t="shared" si="8"/>
        <v>46</v>
      </c>
    </row>
    <row r="135" spans="1:14" x14ac:dyDescent="0.25">
      <c r="A135" s="7">
        <v>134</v>
      </c>
      <c r="B135" s="8" t="s">
        <v>598</v>
      </c>
      <c r="C135" s="7">
        <v>8</v>
      </c>
      <c r="D135" s="7">
        <v>33</v>
      </c>
      <c r="E135">
        <f t="shared" si="6"/>
        <v>41</v>
      </c>
      <c r="H135" t="s">
        <v>152</v>
      </c>
      <c r="I135">
        <v>41</v>
      </c>
      <c r="K135" s="3" t="s">
        <v>374</v>
      </c>
      <c r="L135" s="3" t="s">
        <v>385</v>
      </c>
      <c r="M135" t="str">
        <f t="shared" si="7"/>
        <v>Justin Williams</v>
      </c>
      <c r="N135">
        <f t="shared" si="8"/>
        <v>48</v>
      </c>
    </row>
    <row r="136" spans="1:14" x14ac:dyDescent="0.25">
      <c r="A136" s="5">
        <v>135</v>
      </c>
      <c r="B136" t="s">
        <v>599</v>
      </c>
      <c r="C136" s="5">
        <v>17</v>
      </c>
      <c r="D136" s="5">
        <v>29</v>
      </c>
      <c r="E136">
        <f t="shared" si="6"/>
        <v>46</v>
      </c>
      <c r="H136" t="s">
        <v>54</v>
      </c>
      <c r="I136">
        <v>46</v>
      </c>
      <c r="K136" s="4" t="s">
        <v>303</v>
      </c>
      <c r="L136" s="4" t="s">
        <v>406</v>
      </c>
      <c r="M136" t="str">
        <f t="shared" si="7"/>
        <v>Brandon Dubinsky</v>
      </c>
      <c r="N136">
        <f t="shared" si="8"/>
        <v>42</v>
      </c>
    </row>
    <row r="137" spans="1:14" x14ac:dyDescent="0.25">
      <c r="A137" s="7">
        <v>136</v>
      </c>
      <c r="B137" t="s">
        <v>600</v>
      </c>
      <c r="C137" s="7">
        <v>8</v>
      </c>
      <c r="D137" s="7">
        <v>28</v>
      </c>
      <c r="E137">
        <f t="shared" si="6"/>
        <v>36</v>
      </c>
      <c r="H137" t="s">
        <v>684</v>
      </c>
      <c r="I137">
        <v>36</v>
      </c>
      <c r="K137" s="3" t="s">
        <v>371</v>
      </c>
      <c r="L137" s="3" t="s">
        <v>372</v>
      </c>
      <c r="M137" t="str">
        <f t="shared" si="7"/>
        <v>Shayne Gostisbehe…</v>
      </c>
      <c r="N137" t="e">
        <f t="shared" si="8"/>
        <v>#N/A</v>
      </c>
    </row>
    <row r="138" spans="1:14" x14ac:dyDescent="0.25">
      <c r="A138" s="5">
        <v>137</v>
      </c>
      <c r="B138" t="s">
        <v>601</v>
      </c>
      <c r="C138" s="5">
        <v>23</v>
      </c>
      <c r="D138" s="5">
        <v>29</v>
      </c>
      <c r="E138">
        <f t="shared" si="6"/>
        <v>52</v>
      </c>
      <c r="H138" t="s">
        <v>123</v>
      </c>
      <c r="I138">
        <v>52</v>
      </c>
      <c r="K138" s="4" t="s">
        <v>374</v>
      </c>
      <c r="L138" s="4" t="s">
        <v>375</v>
      </c>
      <c r="M138" t="str">
        <f t="shared" si="7"/>
        <v>Justin Faulk</v>
      </c>
      <c r="N138">
        <f t="shared" si="8"/>
        <v>47</v>
      </c>
    </row>
    <row r="139" spans="1:14" x14ac:dyDescent="0.25">
      <c r="A139" s="7">
        <v>138</v>
      </c>
      <c r="B139" t="s">
        <v>602</v>
      </c>
      <c r="C139" s="7">
        <v>8</v>
      </c>
      <c r="D139" s="7">
        <v>27</v>
      </c>
      <c r="E139">
        <f t="shared" si="6"/>
        <v>35</v>
      </c>
      <c r="H139" t="s">
        <v>685</v>
      </c>
      <c r="I139">
        <v>35</v>
      </c>
      <c r="K139" s="3" t="s">
        <v>426</v>
      </c>
      <c r="L139" s="3" t="s">
        <v>427</v>
      </c>
      <c r="M139" t="str">
        <f t="shared" si="7"/>
        <v>Kevin Shattenkirk</v>
      </c>
      <c r="N139">
        <f t="shared" si="8"/>
        <v>38</v>
      </c>
    </row>
    <row r="140" spans="1:14" x14ac:dyDescent="0.25">
      <c r="A140" s="5">
        <v>139</v>
      </c>
      <c r="B140" t="s">
        <v>603</v>
      </c>
      <c r="C140" s="5">
        <v>20</v>
      </c>
      <c r="D140" s="5">
        <v>28</v>
      </c>
      <c r="E140">
        <f t="shared" si="6"/>
        <v>48</v>
      </c>
      <c r="H140" t="s">
        <v>125</v>
      </c>
      <c r="I140">
        <v>48</v>
      </c>
      <c r="K140" s="4" t="s">
        <v>438</v>
      </c>
      <c r="L140" s="4" t="s">
        <v>439</v>
      </c>
      <c r="M140" t="str">
        <f t="shared" si="7"/>
        <v>Nino Niederreiter</v>
      </c>
      <c r="N140">
        <f t="shared" si="8"/>
        <v>39</v>
      </c>
    </row>
    <row r="141" spans="1:14" x14ac:dyDescent="0.25">
      <c r="A141" s="7">
        <v>140</v>
      </c>
      <c r="B141" t="s">
        <v>604</v>
      </c>
      <c r="C141" s="7">
        <v>19</v>
      </c>
      <c r="D141" s="7">
        <v>28</v>
      </c>
      <c r="E141">
        <f t="shared" si="6"/>
        <v>47</v>
      </c>
      <c r="H141" t="s">
        <v>117</v>
      </c>
      <c r="I141">
        <v>47</v>
      </c>
      <c r="K141" s="3" t="s">
        <v>210</v>
      </c>
      <c r="L141" s="3" t="s">
        <v>403</v>
      </c>
      <c r="M141" t="str">
        <f t="shared" si="7"/>
        <v>Sean Couturier</v>
      </c>
      <c r="N141">
        <f t="shared" si="8"/>
        <v>39</v>
      </c>
    </row>
    <row r="142" spans="1:14" x14ac:dyDescent="0.25">
      <c r="A142" s="5">
        <v>141</v>
      </c>
      <c r="B142" t="s">
        <v>605</v>
      </c>
      <c r="C142" s="5">
        <v>22</v>
      </c>
      <c r="D142" s="5">
        <v>25</v>
      </c>
      <c r="E142">
        <f t="shared" si="6"/>
        <v>47</v>
      </c>
      <c r="H142" t="s">
        <v>120</v>
      </c>
      <c r="I142">
        <v>47</v>
      </c>
      <c r="K142" s="4" t="s">
        <v>404</v>
      </c>
      <c r="L142" s="4" t="s">
        <v>405</v>
      </c>
      <c r="M142" t="str">
        <f t="shared" si="7"/>
        <v>Nazem Kadri</v>
      </c>
      <c r="N142">
        <f t="shared" si="8"/>
        <v>47</v>
      </c>
    </row>
    <row r="143" spans="1:14" x14ac:dyDescent="0.25">
      <c r="A143" s="7">
        <v>142</v>
      </c>
      <c r="B143" t="s">
        <v>606</v>
      </c>
      <c r="C143" s="7">
        <v>13</v>
      </c>
      <c r="D143" s="7">
        <v>31</v>
      </c>
      <c r="E143">
        <f t="shared" si="6"/>
        <v>44</v>
      </c>
      <c r="H143" t="s">
        <v>686</v>
      </c>
      <c r="I143">
        <v>44</v>
      </c>
      <c r="K143" s="3" t="s">
        <v>419</v>
      </c>
      <c r="L143" s="3" t="s">
        <v>420</v>
      </c>
      <c r="M143" t="str">
        <f t="shared" si="7"/>
        <v>Chris Kreider</v>
      </c>
      <c r="N143">
        <f t="shared" si="8"/>
        <v>45</v>
      </c>
    </row>
    <row r="144" spans="1:14" x14ac:dyDescent="0.25">
      <c r="A144" s="5">
        <v>143</v>
      </c>
      <c r="B144" t="s">
        <v>607</v>
      </c>
      <c r="C144" s="5">
        <v>20</v>
      </c>
      <c r="D144" s="5">
        <v>30</v>
      </c>
      <c r="E144">
        <f t="shared" si="6"/>
        <v>50</v>
      </c>
      <c r="H144" t="s">
        <v>59</v>
      </c>
      <c r="I144">
        <v>50</v>
      </c>
      <c r="K144" s="4" t="s">
        <v>378</v>
      </c>
      <c r="L144" s="4" t="s">
        <v>373</v>
      </c>
      <c r="M144" t="str">
        <f t="shared" si="7"/>
        <v>Eric Staal</v>
      </c>
      <c r="N144">
        <f t="shared" si="8"/>
        <v>52</v>
      </c>
    </row>
    <row r="145" spans="1:14" x14ac:dyDescent="0.25">
      <c r="A145" s="7">
        <v>144</v>
      </c>
      <c r="B145" t="s">
        <v>608</v>
      </c>
      <c r="C145" s="7">
        <v>18</v>
      </c>
      <c r="D145" s="7">
        <v>32</v>
      </c>
      <c r="E145">
        <f t="shared" si="6"/>
        <v>50</v>
      </c>
      <c r="H145" t="s">
        <v>109</v>
      </c>
      <c r="I145">
        <v>50</v>
      </c>
      <c r="K145" s="3" t="s">
        <v>365</v>
      </c>
      <c r="L145" s="3" t="s">
        <v>417</v>
      </c>
      <c r="M145" t="str">
        <f t="shared" si="7"/>
        <v>Tomas Tatar</v>
      </c>
      <c r="N145">
        <f t="shared" si="8"/>
        <v>49</v>
      </c>
    </row>
    <row r="146" spans="1:14" x14ac:dyDescent="0.25">
      <c r="A146" s="5">
        <v>145</v>
      </c>
      <c r="B146" t="s">
        <v>609</v>
      </c>
      <c r="C146" s="5">
        <v>23</v>
      </c>
      <c r="D146" s="5">
        <v>27</v>
      </c>
      <c r="E146">
        <f t="shared" si="6"/>
        <v>50</v>
      </c>
      <c r="H146" t="s">
        <v>144</v>
      </c>
      <c r="I146">
        <v>50</v>
      </c>
      <c r="K146" s="4" t="s">
        <v>290</v>
      </c>
      <c r="L146" s="4" t="s">
        <v>435</v>
      </c>
      <c r="M146" t="str">
        <f t="shared" si="7"/>
        <v>Mike Ribeiro</v>
      </c>
      <c r="N146">
        <f t="shared" si="8"/>
        <v>48</v>
      </c>
    </row>
    <row r="147" spans="1:14" x14ac:dyDescent="0.25">
      <c r="A147" s="7">
        <v>146</v>
      </c>
      <c r="B147" t="s">
        <v>610</v>
      </c>
      <c r="C147" s="7">
        <v>26</v>
      </c>
      <c r="D147" s="7">
        <v>21</v>
      </c>
      <c r="E147">
        <f t="shared" si="6"/>
        <v>47</v>
      </c>
      <c r="H147" t="s">
        <v>97</v>
      </c>
      <c r="I147">
        <v>47</v>
      </c>
      <c r="K147" s="3" t="s">
        <v>286</v>
      </c>
      <c r="L147" s="3" t="s">
        <v>395</v>
      </c>
      <c r="M147" t="str">
        <f t="shared" si="7"/>
        <v>Dylan Strome</v>
      </c>
      <c r="N147">
        <f t="shared" si="8"/>
        <v>43</v>
      </c>
    </row>
    <row r="148" spans="1:14" x14ac:dyDescent="0.25">
      <c r="A148" s="5">
        <v>147</v>
      </c>
      <c r="B148" t="s">
        <v>611</v>
      </c>
      <c r="C148" s="5">
        <v>21</v>
      </c>
      <c r="D148" s="5">
        <v>35</v>
      </c>
      <c r="E148">
        <f t="shared" si="6"/>
        <v>56</v>
      </c>
      <c r="H148" t="s">
        <v>101</v>
      </c>
      <c r="I148">
        <v>56</v>
      </c>
      <c r="K148" s="4" t="s">
        <v>226</v>
      </c>
      <c r="L148" s="4" t="s">
        <v>373</v>
      </c>
      <c r="M148" t="str">
        <f t="shared" si="7"/>
        <v>Jordan Staal</v>
      </c>
      <c r="N148">
        <f t="shared" si="8"/>
        <v>47</v>
      </c>
    </row>
    <row r="149" spans="1:14" x14ac:dyDescent="0.25">
      <c r="A149" s="7">
        <v>148</v>
      </c>
      <c r="B149" t="s">
        <v>612</v>
      </c>
      <c r="C149" s="7">
        <v>13</v>
      </c>
      <c r="D149" s="7">
        <v>35</v>
      </c>
      <c r="E149">
        <f t="shared" si="6"/>
        <v>48</v>
      </c>
      <c r="H149" t="s">
        <v>104</v>
      </c>
      <c r="I149">
        <v>48</v>
      </c>
      <c r="K149" s="3" t="s">
        <v>188</v>
      </c>
      <c r="L149" s="3" t="s">
        <v>389</v>
      </c>
      <c r="M149" t="str">
        <f t="shared" si="7"/>
        <v>Ryan Suter</v>
      </c>
      <c r="N149">
        <f t="shared" si="8"/>
        <v>43</v>
      </c>
    </row>
    <row r="150" spans="1:14" x14ac:dyDescent="0.25">
      <c r="A150" s="5">
        <v>149</v>
      </c>
      <c r="B150" t="s">
        <v>613</v>
      </c>
      <c r="C150" s="5">
        <v>20</v>
      </c>
      <c r="D150" s="5">
        <v>31</v>
      </c>
      <c r="E150">
        <f t="shared" si="6"/>
        <v>51</v>
      </c>
      <c r="H150" t="s">
        <v>65</v>
      </c>
      <c r="I150">
        <v>51</v>
      </c>
      <c r="K150" s="4" t="s">
        <v>386</v>
      </c>
      <c r="L150" s="4" t="s">
        <v>387</v>
      </c>
      <c r="M150" t="str">
        <f t="shared" si="7"/>
        <v>Mikael Granlund</v>
      </c>
      <c r="N150" t="e">
        <f t="shared" si="8"/>
        <v>#N/A</v>
      </c>
    </row>
    <row r="151" spans="1:14" x14ac:dyDescent="0.25">
      <c r="A151" s="7">
        <v>150</v>
      </c>
      <c r="B151" t="s">
        <v>614</v>
      </c>
      <c r="C151" s="7">
        <v>14</v>
      </c>
      <c r="D151" s="7">
        <v>34</v>
      </c>
      <c r="E151">
        <f t="shared" si="6"/>
        <v>48</v>
      </c>
      <c r="H151" t="s">
        <v>94</v>
      </c>
      <c r="I151">
        <v>48</v>
      </c>
      <c r="K151" s="3" t="s">
        <v>367</v>
      </c>
      <c r="L151" s="3" t="s">
        <v>368</v>
      </c>
      <c r="M151" t="str">
        <f t="shared" si="7"/>
        <v>Martin Hanzal</v>
      </c>
      <c r="N151">
        <f t="shared" si="8"/>
        <v>41</v>
      </c>
    </row>
    <row r="152" spans="1:14" x14ac:dyDescent="0.25">
      <c r="A152" s="5">
        <v>151</v>
      </c>
      <c r="B152" t="s">
        <v>615</v>
      </c>
      <c r="C152" s="5">
        <v>24</v>
      </c>
      <c r="D152" s="5">
        <v>23</v>
      </c>
      <c r="E152">
        <f t="shared" si="6"/>
        <v>47</v>
      </c>
      <c r="H152" t="s">
        <v>83</v>
      </c>
      <c r="I152">
        <v>47</v>
      </c>
      <c r="K152" s="4" t="s">
        <v>243</v>
      </c>
      <c r="L152" s="4" t="s">
        <v>444</v>
      </c>
      <c r="M152" t="str">
        <f t="shared" si="7"/>
        <v>Jason Pominville</v>
      </c>
      <c r="N152">
        <f t="shared" si="8"/>
        <v>46</v>
      </c>
    </row>
    <row r="153" spans="1:14" x14ac:dyDescent="0.25">
      <c r="A153" s="7">
        <v>152</v>
      </c>
      <c r="B153" t="s">
        <v>616</v>
      </c>
      <c r="C153" s="7">
        <v>20</v>
      </c>
      <c r="D153" s="7">
        <v>23</v>
      </c>
      <c r="E153">
        <f t="shared" si="6"/>
        <v>43</v>
      </c>
      <c r="H153" t="s">
        <v>147</v>
      </c>
      <c r="I153">
        <v>43</v>
      </c>
      <c r="K153" s="3" t="s">
        <v>442</v>
      </c>
      <c r="L153" s="3" t="s">
        <v>443</v>
      </c>
      <c r="M153" t="str">
        <f t="shared" si="7"/>
        <v>Jakob Silfverberg</v>
      </c>
      <c r="N153">
        <f t="shared" si="8"/>
        <v>43</v>
      </c>
    </row>
    <row r="154" spans="1:14" x14ac:dyDescent="0.25">
      <c r="A154" s="5">
        <v>153</v>
      </c>
      <c r="B154" t="s">
        <v>617</v>
      </c>
      <c r="C154" s="5">
        <v>21</v>
      </c>
      <c r="D154" s="5">
        <v>25</v>
      </c>
      <c r="E154">
        <f t="shared" si="6"/>
        <v>46</v>
      </c>
      <c r="H154" t="s">
        <v>687</v>
      </c>
      <c r="I154">
        <v>46</v>
      </c>
      <c r="K154" s="4" t="s">
        <v>453</v>
      </c>
      <c r="L154" s="4" t="s">
        <v>454</v>
      </c>
      <c r="M154" t="str">
        <f t="shared" si="7"/>
        <v>Rasmus Ristolainen</v>
      </c>
      <c r="N154">
        <f t="shared" si="8"/>
        <v>41</v>
      </c>
    </row>
    <row r="155" spans="1:14" x14ac:dyDescent="0.25">
      <c r="A155" s="7">
        <v>154</v>
      </c>
      <c r="B155" t="s">
        <v>618</v>
      </c>
      <c r="C155" s="7">
        <v>10</v>
      </c>
      <c r="D155" s="7">
        <v>38</v>
      </c>
      <c r="E155">
        <f t="shared" si="6"/>
        <v>48</v>
      </c>
      <c r="H155" t="s">
        <v>145</v>
      </c>
      <c r="I155">
        <v>48</v>
      </c>
      <c r="K155" s="3" t="s">
        <v>379</v>
      </c>
      <c r="L155" s="3" t="s">
        <v>380</v>
      </c>
      <c r="M155" t="str">
        <f t="shared" si="7"/>
        <v>Jesse Puljujarvi</v>
      </c>
      <c r="N155" t="e">
        <f t="shared" si="8"/>
        <v>#N/A</v>
      </c>
    </row>
    <row r="156" spans="1:14" x14ac:dyDescent="0.25">
      <c r="A156" s="5">
        <v>155</v>
      </c>
      <c r="B156" t="s">
        <v>619</v>
      </c>
      <c r="C156" s="5">
        <v>17</v>
      </c>
      <c r="D156" s="5">
        <v>25</v>
      </c>
      <c r="E156">
        <f t="shared" si="6"/>
        <v>42</v>
      </c>
      <c r="H156" t="s">
        <v>143</v>
      </c>
      <c r="I156">
        <v>42</v>
      </c>
      <c r="K156" s="4" t="s">
        <v>409</v>
      </c>
      <c r="L156" s="4" t="s">
        <v>410</v>
      </c>
      <c r="M156" t="str">
        <f t="shared" si="7"/>
        <v>Brock Nelson</v>
      </c>
      <c r="N156" t="e">
        <f t="shared" si="8"/>
        <v>#N/A</v>
      </c>
    </row>
    <row r="157" spans="1:14" x14ac:dyDescent="0.25">
      <c r="A157" s="7">
        <v>156</v>
      </c>
      <c r="B157" t="s">
        <v>620</v>
      </c>
      <c r="C157" s="7">
        <v>16</v>
      </c>
      <c r="D157" s="7">
        <v>30</v>
      </c>
      <c r="E157">
        <f t="shared" si="6"/>
        <v>46</v>
      </c>
      <c r="H157" t="s">
        <v>149</v>
      </c>
      <c r="I157">
        <v>46</v>
      </c>
      <c r="K157" s="3" t="s">
        <v>457</v>
      </c>
      <c r="L157" s="3" t="s">
        <v>458</v>
      </c>
      <c r="M157" t="str">
        <f t="shared" si="7"/>
        <v>Michael Cammalleri</v>
      </c>
      <c r="N157">
        <f t="shared" si="8"/>
        <v>47</v>
      </c>
    </row>
    <row r="158" spans="1:14" x14ac:dyDescent="0.25">
      <c r="A158" s="5">
        <v>157</v>
      </c>
      <c r="B158" t="s">
        <v>621</v>
      </c>
      <c r="C158" s="5">
        <v>17</v>
      </c>
      <c r="D158" s="5">
        <v>28</v>
      </c>
      <c r="E158">
        <f t="shared" si="6"/>
        <v>45</v>
      </c>
      <c r="H158" t="s">
        <v>89</v>
      </c>
      <c r="I158">
        <v>45</v>
      </c>
      <c r="K158" s="4" t="s">
        <v>162</v>
      </c>
      <c r="L158" s="4" t="s">
        <v>394</v>
      </c>
      <c r="M158" t="str">
        <f t="shared" si="7"/>
        <v>Patrick Marleau</v>
      </c>
      <c r="N158">
        <f t="shared" si="8"/>
        <v>52</v>
      </c>
    </row>
    <row r="159" spans="1:14" x14ac:dyDescent="0.25">
      <c r="A159" s="7">
        <v>158</v>
      </c>
      <c r="B159" t="s">
        <v>622</v>
      </c>
      <c r="C159" s="7">
        <v>22</v>
      </c>
      <c r="D159" s="7">
        <v>26</v>
      </c>
      <c r="E159">
        <f t="shared" si="6"/>
        <v>48</v>
      </c>
      <c r="H159" t="s">
        <v>37</v>
      </c>
      <c r="I159">
        <v>48</v>
      </c>
      <c r="K159" s="3" t="s">
        <v>233</v>
      </c>
      <c r="L159" s="3" t="s">
        <v>418</v>
      </c>
      <c r="M159" t="str">
        <f t="shared" si="7"/>
        <v>Alex Pietrangelo</v>
      </c>
      <c r="N159">
        <f t="shared" si="8"/>
        <v>41</v>
      </c>
    </row>
    <row r="160" spans="1:14" x14ac:dyDescent="0.25">
      <c r="A160" s="5">
        <v>159</v>
      </c>
      <c r="B160" t="s">
        <v>623</v>
      </c>
      <c r="C160" s="5">
        <v>7</v>
      </c>
      <c r="D160" s="5">
        <v>40</v>
      </c>
      <c r="E160">
        <f t="shared" si="6"/>
        <v>47</v>
      </c>
      <c r="H160" t="s">
        <v>688</v>
      </c>
      <c r="I160">
        <v>47</v>
      </c>
      <c r="K160" s="4" t="s">
        <v>424</v>
      </c>
      <c r="L160" s="4" t="s">
        <v>425</v>
      </c>
      <c r="M160" t="str">
        <f t="shared" si="7"/>
        <v>Travis Zajac</v>
      </c>
      <c r="N160" t="e">
        <f t="shared" si="8"/>
        <v>#N/A</v>
      </c>
    </row>
    <row r="161" spans="1:14" x14ac:dyDescent="0.25">
      <c r="A161" s="7">
        <v>160</v>
      </c>
      <c r="B161" t="s">
        <v>624</v>
      </c>
      <c r="C161" s="7">
        <v>24</v>
      </c>
      <c r="D161" s="7">
        <v>25</v>
      </c>
      <c r="E161">
        <f t="shared" si="6"/>
        <v>49</v>
      </c>
      <c r="H161" t="s">
        <v>137</v>
      </c>
      <c r="I161">
        <v>49</v>
      </c>
      <c r="K161" s="3" t="s">
        <v>392</v>
      </c>
      <c r="L161" s="3" t="s">
        <v>393</v>
      </c>
      <c r="M161" t="str">
        <f t="shared" si="7"/>
        <v>Scott Hartnell</v>
      </c>
      <c r="N161">
        <f t="shared" si="8"/>
        <v>51</v>
      </c>
    </row>
    <row r="162" spans="1:14" x14ac:dyDescent="0.25">
      <c r="A162" s="5">
        <v>161</v>
      </c>
      <c r="B162" t="s">
        <v>625</v>
      </c>
      <c r="C162" s="5">
        <v>7</v>
      </c>
      <c r="D162" s="5">
        <v>34</v>
      </c>
      <c r="E162">
        <f t="shared" si="6"/>
        <v>41</v>
      </c>
      <c r="H162" t="s">
        <v>689</v>
      </c>
      <c r="I162">
        <v>41</v>
      </c>
      <c r="K162" s="4" t="s">
        <v>422</v>
      </c>
      <c r="L162" s="4" t="s">
        <v>423</v>
      </c>
      <c r="M162" t="str">
        <f t="shared" si="7"/>
        <v>Pierre-A Parenteau</v>
      </c>
      <c r="N162" t="e">
        <f t="shared" si="8"/>
        <v>#N/A</v>
      </c>
    </row>
    <row r="163" spans="1:14" x14ac:dyDescent="0.25">
      <c r="A163" s="7">
        <v>162</v>
      </c>
      <c r="B163" t="s">
        <v>626</v>
      </c>
      <c r="C163" s="7">
        <v>8</v>
      </c>
      <c r="D163" s="7">
        <v>29</v>
      </c>
      <c r="E163">
        <f t="shared" si="6"/>
        <v>37</v>
      </c>
      <c r="H163" t="s">
        <v>690</v>
      </c>
      <c r="I163">
        <v>37</v>
      </c>
      <c r="K163" s="3" t="s">
        <v>436</v>
      </c>
      <c r="L163" s="3" t="s">
        <v>437</v>
      </c>
      <c r="M163" t="str">
        <f t="shared" si="7"/>
        <v>Aaron Ekblad</v>
      </c>
      <c r="N163">
        <f t="shared" si="8"/>
        <v>39</v>
      </c>
    </row>
    <row r="164" spans="1:14" x14ac:dyDescent="0.25">
      <c r="A164" s="5">
        <v>163</v>
      </c>
      <c r="B164" t="s">
        <v>627</v>
      </c>
      <c r="C164" s="5">
        <v>19</v>
      </c>
      <c r="D164" s="5">
        <v>24</v>
      </c>
      <c r="E164">
        <f t="shared" si="6"/>
        <v>43</v>
      </c>
      <c r="H164" t="s">
        <v>72</v>
      </c>
      <c r="I164">
        <v>43</v>
      </c>
      <c r="K164" s="4" t="s">
        <v>386</v>
      </c>
      <c r="L164" s="4" t="s">
        <v>430</v>
      </c>
      <c r="M164" t="str">
        <f t="shared" si="7"/>
        <v>Mikael Backlund</v>
      </c>
      <c r="N164">
        <f t="shared" si="8"/>
        <v>50</v>
      </c>
    </row>
    <row r="165" spans="1:14" x14ac:dyDescent="0.25">
      <c r="A165" s="7">
        <v>164</v>
      </c>
      <c r="B165" t="s">
        <v>628</v>
      </c>
      <c r="C165" s="7">
        <v>23</v>
      </c>
      <c r="D165" s="7">
        <v>25</v>
      </c>
      <c r="E165">
        <f t="shared" si="6"/>
        <v>48</v>
      </c>
      <c r="H165" t="s">
        <v>107</v>
      </c>
      <c r="I165">
        <v>48</v>
      </c>
      <c r="K165" s="3" t="s">
        <v>168</v>
      </c>
      <c r="L165" s="3" t="s">
        <v>452</v>
      </c>
      <c r="M165" t="str">
        <f t="shared" si="7"/>
        <v>Joe Colborne</v>
      </c>
      <c r="N165" t="e">
        <f t="shared" si="8"/>
        <v>#N/A</v>
      </c>
    </row>
    <row r="166" spans="1:14" x14ac:dyDescent="0.25">
      <c r="A166" s="5">
        <v>165</v>
      </c>
      <c r="B166" t="s">
        <v>629</v>
      </c>
      <c r="C166" s="5">
        <v>10</v>
      </c>
      <c r="D166" s="5">
        <v>33</v>
      </c>
      <c r="E166">
        <f t="shared" si="6"/>
        <v>43</v>
      </c>
      <c r="H166" t="s">
        <v>691</v>
      </c>
      <c r="I166">
        <v>43</v>
      </c>
      <c r="K166" s="4" t="s">
        <v>413</v>
      </c>
      <c r="L166" s="4" t="s">
        <v>414</v>
      </c>
      <c r="M166" t="str">
        <f t="shared" si="7"/>
        <v>J.T. Miller</v>
      </c>
      <c r="N166">
        <f t="shared" si="8"/>
        <v>45</v>
      </c>
    </row>
    <row r="167" spans="1:14" x14ac:dyDescent="0.25">
      <c r="A167" s="7">
        <v>166</v>
      </c>
      <c r="B167" t="s">
        <v>630</v>
      </c>
      <c r="C167" s="7">
        <v>23</v>
      </c>
      <c r="D167" s="7">
        <v>25</v>
      </c>
      <c r="E167">
        <f t="shared" si="6"/>
        <v>48</v>
      </c>
      <c r="H167" t="s">
        <v>140</v>
      </c>
      <c r="I167">
        <v>48</v>
      </c>
      <c r="K167" s="3" t="s">
        <v>445</v>
      </c>
      <c r="L167" s="3" t="s">
        <v>446</v>
      </c>
      <c r="M167" t="str">
        <f t="shared" si="7"/>
        <v>Teddy Purcell</v>
      </c>
      <c r="N167" t="e">
        <f t="shared" si="8"/>
        <v>#N/A</v>
      </c>
    </row>
    <row r="168" spans="1:14" x14ac:dyDescent="0.25">
      <c r="A168" s="5">
        <v>167</v>
      </c>
      <c r="B168" t="s">
        <v>631</v>
      </c>
      <c r="C168" s="5">
        <v>12</v>
      </c>
      <c r="D168" s="5">
        <v>28</v>
      </c>
      <c r="E168">
        <f t="shared" si="6"/>
        <v>40</v>
      </c>
      <c r="H168" t="s">
        <v>692</v>
      </c>
      <c r="I168">
        <v>40</v>
      </c>
      <c r="K168" s="4" t="s">
        <v>431</v>
      </c>
      <c r="L168" s="4" t="s">
        <v>448</v>
      </c>
      <c r="M168" t="str">
        <f t="shared" si="7"/>
        <v>Nick Foligno</v>
      </c>
      <c r="N168">
        <f t="shared" si="8"/>
        <v>47</v>
      </c>
    </row>
    <row r="169" spans="1:14" x14ac:dyDescent="0.25">
      <c r="A169" s="7">
        <v>168</v>
      </c>
      <c r="B169" t="s">
        <v>632</v>
      </c>
      <c r="C169" s="7">
        <v>24</v>
      </c>
      <c r="D169" s="7">
        <v>25</v>
      </c>
      <c r="E169">
        <f t="shared" si="6"/>
        <v>49</v>
      </c>
      <c r="H169" t="s">
        <v>86</v>
      </c>
      <c r="I169">
        <v>49</v>
      </c>
      <c r="K169" s="3" t="s">
        <v>231</v>
      </c>
      <c r="L169" s="3" t="s">
        <v>447</v>
      </c>
      <c r="M169" t="str">
        <f t="shared" si="7"/>
        <v>David Perron</v>
      </c>
      <c r="N169" t="e">
        <f t="shared" si="8"/>
        <v>#N/A</v>
      </c>
    </row>
    <row r="170" spans="1:14" x14ac:dyDescent="0.25">
      <c r="A170" s="5">
        <v>169</v>
      </c>
      <c r="B170" t="s">
        <v>633</v>
      </c>
      <c r="C170" s="5">
        <v>22</v>
      </c>
      <c r="D170" s="5">
        <v>26</v>
      </c>
      <c r="E170">
        <f t="shared" si="6"/>
        <v>48</v>
      </c>
      <c r="H170" t="s">
        <v>119</v>
      </c>
      <c r="I170">
        <v>48</v>
      </c>
      <c r="K170" s="4" t="s">
        <v>376</v>
      </c>
      <c r="L170" s="4" t="s">
        <v>377</v>
      </c>
      <c r="M170" t="str">
        <f t="shared" si="7"/>
        <v>Thomas Vanek</v>
      </c>
      <c r="N170">
        <f t="shared" si="8"/>
        <v>44</v>
      </c>
    </row>
    <row r="171" spans="1:14" x14ac:dyDescent="0.25">
      <c r="A171" s="7">
        <v>170</v>
      </c>
      <c r="B171" t="s">
        <v>634</v>
      </c>
      <c r="C171" s="7">
        <v>18</v>
      </c>
      <c r="D171" s="7">
        <v>29</v>
      </c>
      <c r="E171">
        <f t="shared" si="6"/>
        <v>47</v>
      </c>
      <c r="H171" t="s">
        <v>132</v>
      </c>
      <c r="I171">
        <v>47</v>
      </c>
      <c r="K171" s="3" t="s">
        <v>455</v>
      </c>
      <c r="L171" s="3" t="s">
        <v>456</v>
      </c>
      <c r="M171" t="str">
        <f t="shared" si="7"/>
        <v>Artem Anisimov</v>
      </c>
      <c r="N171" t="e">
        <f t="shared" si="8"/>
        <v>#N/A</v>
      </c>
    </row>
    <row r="172" spans="1:14" x14ac:dyDescent="0.25">
      <c r="A172" s="5">
        <v>171</v>
      </c>
      <c r="B172" t="s">
        <v>635</v>
      </c>
      <c r="C172" s="5">
        <v>18</v>
      </c>
      <c r="D172" s="5">
        <v>30</v>
      </c>
      <c r="E172">
        <f t="shared" si="6"/>
        <v>48</v>
      </c>
      <c r="H172" t="s">
        <v>693</v>
      </c>
      <c r="I172">
        <v>48</v>
      </c>
      <c r="K172" s="4" t="s">
        <v>449</v>
      </c>
      <c r="L172" s="4" t="s">
        <v>450</v>
      </c>
      <c r="M172" t="str">
        <f t="shared" si="7"/>
        <v>Jarome Iginla</v>
      </c>
      <c r="N172">
        <f t="shared" si="8"/>
        <v>43</v>
      </c>
    </row>
    <row r="173" spans="1:14" x14ac:dyDescent="0.25">
      <c r="A173" s="7">
        <v>172</v>
      </c>
      <c r="B173" t="s">
        <v>636</v>
      </c>
      <c r="C173" s="7">
        <v>20</v>
      </c>
      <c r="D173" s="7">
        <v>28</v>
      </c>
      <c r="E173">
        <f t="shared" si="6"/>
        <v>48</v>
      </c>
      <c r="H173" t="s">
        <v>68</v>
      </c>
      <c r="I173">
        <v>48</v>
      </c>
      <c r="K173" s="3" t="s">
        <v>431</v>
      </c>
      <c r="L173" s="3" t="s">
        <v>432</v>
      </c>
      <c r="M173" t="str">
        <f t="shared" si="7"/>
        <v>Nick Bjugstad</v>
      </c>
      <c r="N173" t="e">
        <f t="shared" si="8"/>
        <v>#N/A</v>
      </c>
    </row>
    <row r="174" spans="1:14" x14ac:dyDescent="0.25">
      <c r="A174" s="5">
        <v>173</v>
      </c>
      <c r="B174" t="s">
        <v>637</v>
      </c>
      <c r="C174" s="5">
        <v>15</v>
      </c>
      <c r="D174" s="5">
        <v>31</v>
      </c>
      <c r="E174">
        <f t="shared" si="6"/>
        <v>46</v>
      </c>
      <c r="H174" t="s">
        <v>127</v>
      </c>
      <c r="I174">
        <v>46</v>
      </c>
      <c r="K174" s="4" t="s">
        <v>426</v>
      </c>
      <c r="L174" s="4" t="s">
        <v>451</v>
      </c>
      <c r="M174" t="str">
        <f t="shared" si="7"/>
        <v>Kevin Hayes</v>
      </c>
      <c r="N174" t="e">
        <f t="shared" si="8"/>
        <v>#N/A</v>
      </c>
    </row>
    <row r="175" spans="1:14" x14ac:dyDescent="0.25">
      <c r="A175" s="7">
        <v>174</v>
      </c>
      <c r="B175" t="s">
        <v>638</v>
      </c>
      <c r="C175" s="7">
        <v>17</v>
      </c>
      <c r="D175" s="7">
        <v>15</v>
      </c>
      <c r="E175">
        <f t="shared" si="6"/>
        <v>32</v>
      </c>
      <c r="H175" t="s">
        <v>462</v>
      </c>
      <c r="I175">
        <v>32</v>
      </c>
      <c r="K175" s="3" t="s">
        <v>459</v>
      </c>
      <c r="L175" s="3" t="s">
        <v>460</v>
      </c>
      <c r="M175" t="str">
        <f t="shared" si="7"/>
        <v>Vladislav Namestn…</v>
      </c>
      <c r="N175" t="e">
        <f t="shared" si="8"/>
        <v>#N/A</v>
      </c>
    </row>
    <row r="176" spans="1:14" x14ac:dyDescent="0.25">
      <c r="A176" s="5">
        <v>175</v>
      </c>
      <c r="B176" t="s">
        <v>639</v>
      </c>
      <c r="C176" s="5">
        <v>21</v>
      </c>
      <c r="D176" s="5">
        <v>22</v>
      </c>
      <c r="E176">
        <f t="shared" si="6"/>
        <v>43</v>
      </c>
      <c r="H176" t="s">
        <v>55</v>
      </c>
      <c r="I176">
        <v>43</v>
      </c>
      <c r="K176" s="4" t="s">
        <v>440</v>
      </c>
      <c r="L176" s="4" t="s">
        <v>441</v>
      </c>
      <c r="M176" t="str">
        <f t="shared" si="7"/>
        <v>Pavel Zacha</v>
      </c>
      <c r="N176" t="e">
        <f t="shared" si="8"/>
        <v>#N/A</v>
      </c>
    </row>
    <row r="177" spans="1:14" x14ac:dyDescent="0.25">
      <c r="A177" s="7">
        <v>176</v>
      </c>
      <c r="B177" t="s">
        <v>640</v>
      </c>
      <c r="C177" s="7">
        <v>19</v>
      </c>
      <c r="D177" s="7">
        <v>28</v>
      </c>
      <c r="E177">
        <f t="shared" si="6"/>
        <v>47</v>
      </c>
      <c r="H177" t="s">
        <v>694</v>
      </c>
      <c r="I177">
        <v>47</v>
      </c>
      <c r="K177" t="s">
        <v>1345</v>
      </c>
      <c r="L177" t="s">
        <v>1346</v>
      </c>
      <c r="M177" t="str">
        <f t="shared" ref="M177:M202" si="9">K177&amp;" "&amp;L177</f>
        <v>Marian Hossa</v>
      </c>
      <c r="N177">
        <f t="shared" ref="N177:N202" si="10">VLOOKUP(M177,$H$2:$I$201,2,0)</f>
        <v>44</v>
      </c>
    </row>
    <row r="178" spans="1:14" x14ac:dyDescent="0.25">
      <c r="A178" s="5">
        <v>177</v>
      </c>
      <c r="B178" t="s">
        <v>641</v>
      </c>
      <c r="C178" s="5">
        <v>4</v>
      </c>
      <c r="D178" s="5">
        <v>27</v>
      </c>
      <c r="E178">
        <f t="shared" si="6"/>
        <v>31</v>
      </c>
      <c r="H178" t="s">
        <v>709</v>
      </c>
      <c r="I178">
        <v>31</v>
      </c>
      <c r="K178" t="s">
        <v>1685</v>
      </c>
      <c r="L178" t="s">
        <v>1683</v>
      </c>
      <c r="M178" t="str">
        <f t="shared" si="9"/>
        <v>Tobias Rieder</v>
      </c>
      <c r="N178" t="e">
        <f t="shared" si="10"/>
        <v>#N/A</v>
      </c>
    </row>
    <row r="179" spans="1:14" x14ac:dyDescent="0.25">
      <c r="A179" s="7">
        <v>178</v>
      </c>
      <c r="B179" t="s">
        <v>642</v>
      </c>
      <c r="C179" s="7">
        <v>13</v>
      </c>
      <c r="D179" s="7">
        <v>26</v>
      </c>
      <c r="E179">
        <f t="shared" si="6"/>
        <v>39</v>
      </c>
      <c r="H179" t="s">
        <v>134</v>
      </c>
      <c r="I179">
        <v>39</v>
      </c>
      <c r="K179" t="s">
        <v>1370</v>
      </c>
      <c r="L179" t="s">
        <v>1371</v>
      </c>
      <c r="M179" t="str">
        <f t="shared" si="9"/>
        <v>Troy Brouwer</v>
      </c>
      <c r="N179" t="e">
        <f t="shared" si="10"/>
        <v>#N/A</v>
      </c>
    </row>
    <row r="180" spans="1:14" x14ac:dyDescent="0.25">
      <c r="A180" s="5">
        <v>179</v>
      </c>
      <c r="B180" t="s">
        <v>643</v>
      </c>
      <c r="C180" s="5">
        <v>19</v>
      </c>
      <c r="D180" s="5">
        <v>24</v>
      </c>
      <c r="E180">
        <f t="shared" si="6"/>
        <v>43</v>
      </c>
      <c r="H180" t="s">
        <v>126</v>
      </c>
      <c r="I180">
        <v>43</v>
      </c>
      <c r="K180" t="s">
        <v>1261</v>
      </c>
      <c r="L180" t="s">
        <v>1262</v>
      </c>
      <c r="M180" t="str">
        <f t="shared" si="9"/>
        <v>Jori Lehtera</v>
      </c>
      <c r="N180">
        <f t="shared" si="10"/>
        <v>40</v>
      </c>
    </row>
    <row r="181" spans="1:14" x14ac:dyDescent="0.25">
      <c r="A181" s="7">
        <v>180</v>
      </c>
      <c r="B181" t="s">
        <v>644</v>
      </c>
      <c r="C181" s="7">
        <v>4</v>
      </c>
      <c r="D181" s="7">
        <v>27</v>
      </c>
      <c r="E181">
        <f t="shared" si="6"/>
        <v>31</v>
      </c>
      <c r="H181" t="s">
        <v>695</v>
      </c>
      <c r="I181">
        <v>31</v>
      </c>
      <c r="K181" t="s">
        <v>1239</v>
      </c>
      <c r="L181" t="s">
        <v>1240</v>
      </c>
      <c r="M181" t="str">
        <f t="shared" si="9"/>
        <v>William Nylander</v>
      </c>
      <c r="N181">
        <f t="shared" si="10"/>
        <v>47</v>
      </c>
    </row>
    <row r="182" spans="1:14" x14ac:dyDescent="0.25">
      <c r="A182" s="5">
        <v>181</v>
      </c>
      <c r="B182" t="s">
        <v>645</v>
      </c>
      <c r="C182" s="5">
        <v>6</v>
      </c>
      <c r="D182" s="5">
        <v>25</v>
      </c>
      <c r="E182">
        <f t="shared" si="6"/>
        <v>31</v>
      </c>
      <c r="H182" t="s">
        <v>696</v>
      </c>
      <c r="I182">
        <v>31</v>
      </c>
      <c r="K182" t="s">
        <v>349</v>
      </c>
      <c r="L182" t="s">
        <v>1367</v>
      </c>
      <c r="M182" t="str">
        <f t="shared" si="9"/>
        <v>Drew Stafford</v>
      </c>
      <c r="N182" t="e">
        <f t="shared" si="10"/>
        <v>#N/A</v>
      </c>
    </row>
    <row r="183" spans="1:14" x14ac:dyDescent="0.25">
      <c r="A183" s="7">
        <v>182</v>
      </c>
      <c r="B183" t="s">
        <v>646</v>
      </c>
      <c r="C183" s="7">
        <v>8</v>
      </c>
      <c r="D183" s="7">
        <v>31</v>
      </c>
      <c r="E183">
        <f t="shared" si="6"/>
        <v>39</v>
      </c>
      <c r="H183" t="s">
        <v>697</v>
      </c>
      <c r="I183">
        <v>39</v>
      </c>
      <c r="K183" t="s">
        <v>1407</v>
      </c>
      <c r="L183" t="s">
        <v>1523</v>
      </c>
      <c r="M183" t="str">
        <f t="shared" si="9"/>
        <v>Jake Muzzin</v>
      </c>
      <c r="N183">
        <f t="shared" si="10"/>
        <v>39</v>
      </c>
    </row>
    <row r="184" spans="1:14" x14ac:dyDescent="0.25">
      <c r="A184" s="5">
        <v>183</v>
      </c>
      <c r="B184" t="s">
        <v>647</v>
      </c>
      <c r="C184" s="5">
        <v>15</v>
      </c>
      <c r="D184" s="5">
        <v>26</v>
      </c>
      <c r="E184">
        <f t="shared" si="6"/>
        <v>41</v>
      </c>
      <c r="H184" t="s">
        <v>110</v>
      </c>
      <c r="I184">
        <v>41</v>
      </c>
      <c r="K184" t="s">
        <v>222</v>
      </c>
      <c r="L184" t="s">
        <v>1514</v>
      </c>
      <c r="M184" t="str">
        <f t="shared" si="9"/>
        <v>Brent Seabrook</v>
      </c>
      <c r="N184">
        <f t="shared" si="10"/>
        <v>37</v>
      </c>
    </row>
    <row r="185" spans="1:14" x14ac:dyDescent="0.25">
      <c r="A185" s="7">
        <v>184</v>
      </c>
      <c r="B185" t="s">
        <v>648</v>
      </c>
      <c r="C185" s="7">
        <v>23</v>
      </c>
      <c r="D185" s="7">
        <v>20</v>
      </c>
      <c r="E185">
        <f t="shared" si="6"/>
        <v>43</v>
      </c>
      <c r="H185" t="s">
        <v>463</v>
      </c>
      <c r="I185">
        <v>43</v>
      </c>
      <c r="K185" t="s">
        <v>233</v>
      </c>
      <c r="L185" t="s">
        <v>1433</v>
      </c>
      <c r="M185" t="str">
        <f t="shared" si="9"/>
        <v>Alex Killorn</v>
      </c>
      <c r="N185">
        <f t="shared" si="10"/>
        <v>39</v>
      </c>
    </row>
    <row r="186" spans="1:14" x14ac:dyDescent="0.25">
      <c r="A186" s="5">
        <v>185</v>
      </c>
      <c r="B186" t="s">
        <v>649</v>
      </c>
      <c r="C186" s="5">
        <v>6</v>
      </c>
      <c r="D186" s="5">
        <v>29</v>
      </c>
      <c r="E186">
        <f t="shared" si="6"/>
        <v>35</v>
      </c>
      <c r="H186" t="s">
        <v>698</v>
      </c>
      <c r="I186">
        <v>35</v>
      </c>
      <c r="K186" t="s">
        <v>333</v>
      </c>
      <c r="L186" t="s">
        <v>1431</v>
      </c>
      <c r="M186" t="str">
        <f t="shared" si="9"/>
        <v>Carl Hagelin</v>
      </c>
      <c r="N186">
        <f t="shared" si="10"/>
        <v>46</v>
      </c>
    </row>
    <row r="187" spans="1:14" x14ac:dyDescent="0.25">
      <c r="A187" s="7">
        <v>186</v>
      </c>
      <c r="B187" t="s">
        <v>650</v>
      </c>
      <c r="C187" s="7">
        <v>16</v>
      </c>
      <c r="D187" s="7">
        <v>18</v>
      </c>
      <c r="E187">
        <f t="shared" si="6"/>
        <v>34</v>
      </c>
      <c r="H187" t="s">
        <v>699</v>
      </c>
      <c r="I187">
        <v>34</v>
      </c>
      <c r="K187" t="s">
        <v>1368</v>
      </c>
      <c r="L187" t="s">
        <v>1369</v>
      </c>
      <c r="M187" t="str">
        <f t="shared" si="9"/>
        <v>Joonas Donskoi</v>
      </c>
      <c r="N187" t="e">
        <f t="shared" si="10"/>
        <v>#N/A</v>
      </c>
    </row>
    <row r="188" spans="1:14" x14ac:dyDescent="0.25">
      <c r="A188" s="5">
        <v>187</v>
      </c>
      <c r="B188" t="s">
        <v>651</v>
      </c>
      <c r="C188" s="5">
        <v>20</v>
      </c>
      <c r="D188" s="5">
        <v>23</v>
      </c>
      <c r="E188">
        <f t="shared" si="6"/>
        <v>43</v>
      </c>
      <c r="H188" t="s">
        <v>151</v>
      </c>
      <c r="I188">
        <v>43</v>
      </c>
      <c r="K188" t="s">
        <v>1228</v>
      </c>
      <c r="L188" t="s">
        <v>1229</v>
      </c>
      <c r="M188" t="str">
        <f t="shared" si="9"/>
        <v>Antoine Vermette</v>
      </c>
      <c r="N188" t="e">
        <f t="shared" si="10"/>
        <v>#N/A</v>
      </c>
    </row>
    <row r="189" spans="1:14" x14ac:dyDescent="0.25">
      <c r="A189" s="7">
        <v>188</v>
      </c>
      <c r="B189" t="s">
        <v>652</v>
      </c>
      <c r="C189" s="7">
        <v>8</v>
      </c>
      <c r="D189" s="7">
        <v>18</v>
      </c>
      <c r="E189">
        <f t="shared" si="6"/>
        <v>26</v>
      </c>
      <c r="H189" t="s">
        <v>700</v>
      </c>
      <c r="I189">
        <v>26</v>
      </c>
      <c r="K189" t="s">
        <v>1450</v>
      </c>
      <c r="L189" t="s">
        <v>1451</v>
      </c>
      <c r="M189" t="str">
        <f t="shared" si="9"/>
        <v>Andre Burakovsky</v>
      </c>
      <c r="N189" t="e">
        <f t="shared" si="10"/>
        <v>#N/A</v>
      </c>
    </row>
    <row r="190" spans="1:14" x14ac:dyDescent="0.25">
      <c r="A190" s="5">
        <v>189</v>
      </c>
      <c r="B190" t="s">
        <v>653</v>
      </c>
      <c r="C190" s="5">
        <v>9</v>
      </c>
      <c r="D190" s="5">
        <v>25</v>
      </c>
      <c r="E190">
        <f t="shared" si="6"/>
        <v>34</v>
      </c>
      <c r="H190" t="s">
        <v>701</v>
      </c>
      <c r="I190">
        <v>34</v>
      </c>
      <c r="K190" t="s">
        <v>1350</v>
      </c>
      <c r="L190" t="s">
        <v>1351</v>
      </c>
      <c r="M190" t="str">
        <f t="shared" si="9"/>
        <v>Shane Doan</v>
      </c>
      <c r="N190">
        <f t="shared" si="10"/>
        <v>41</v>
      </c>
    </row>
    <row r="191" spans="1:14" x14ac:dyDescent="0.25">
      <c r="A191" s="7">
        <v>190</v>
      </c>
      <c r="B191" t="s">
        <v>654</v>
      </c>
      <c r="C191" s="7">
        <v>23</v>
      </c>
      <c r="D191" s="7">
        <v>16</v>
      </c>
      <c r="E191">
        <f t="shared" si="6"/>
        <v>39</v>
      </c>
      <c r="H191" t="s">
        <v>702</v>
      </c>
      <c r="I191">
        <v>39</v>
      </c>
      <c r="K191" t="s">
        <v>166</v>
      </c>
      <c r="L191" t="s">
        <v>1258</v>
      </c>
      <c r="M191" t="str">
        <f t="shared" si="9"/>
        <v>Tyler Ennis</v>
      </c>
      <c r="N191" t="e">
        <f t="shared" si="10"/>
        <v>#N/A</v>
      </c>
    </row>
    <row r="192" spans="1:14" x14ac:dyDescent="0.25">
      <c r="A192" s="5">
        <v>191</v>
      </c>
      <c r="B192" t="s">
        <v>655</v>
      </c>
      <c r="C192" s="5">
        <v>8</v>
      </c>
      <c r="D192" s="5">
        <v>19</v>
      </c>
      <c r="E192">
        <f t="shared" si="6"/>
        <v>27</v>
      </c>
      <c r="H192" t="s">
        <v>703</v>
      </c>
      <c r="I192">
        <v>27</v>
      </c>
      <c r="K192" t="s">
        <v>442</v>
      </c>
      <c r="L192" t="s">
        <v>1684</v>
      </c>
      <c r="M192" t="str">
        <f t="shared" si="9"/>
        <v>Jakob Sifverberg</v>
      </c>
      <c r="N192" t="e">
        <f t="shared" si="10"/>
        <v>#N/A</v>
      </c>
    </row>
    <row r="193" spans="1:14" x14ac:dyDescent="0.25">
      <c r="A193" s="7">
        <v>192</v>
      </c>
      <c r="B193" t="s">
        <v>656</v>
      </c>
      <c r="C193" s="7">
        <v>21</v>
      </c>
      <c r="D193" s="7">
        <v>23</v>
      </c>
      <c r="E193">
        <f t="shared" si="6"/>
        <v>44</v>
      </c>
      <c r="H193" t="s">
        <v>116</v>
      </c>
      <c r="I193">
        <v>44</v>
      </c>
      <c r="K193" t="s">
        <v>402</v>
      </c>
      <c r="L193" t="s">
        <v>1547</v>
      </c>
      <c r="M193" t="str">
        <f t="shared" si="9"/>
        <v>Keith Yandle</v>
      </c>
      <c r="N193">
        <f t="shared" si="10"/>
        <v>46</v>
      </c>
    </row>
    <row r="194" spans="1:14" x14ac:dyDescent="0.25">
      <c r="A194" s="5">
        <v>193</v>
      </c>
      <c r="B194" t="s">
        <v>657</v>
      </c>
      <c r="C194" s="5">
        <v>21</v>
      </c>
      <c r="D194" s="5">
        <v>18</v>
      </c>
      <c r="E194">
        <f t="shared" si="6"/>
        <v>39</v>
      </c>
      <c r="H194" t="s">
        <v>146</v>
      </c>
      <c r="I194">
        <v>39</v>
      </c>
      <c r="K194" t="s">
        <v>431</v>
      </c>
      <c r="L194" t="s">
        <v>1550</v>
      </c>
      <c r="M194" t="str">
        <f t="shared" si="9"/>
        <v>Nick Leddy</v>
      </c>
      <c r="N194">
        <f t="shared" si="10"/>
        <v>35</v>
      </c>
    </row>
    <row r="195" spans="1:14" x14ac:dyDescent="0.25">
      <c r="A195" s="7">
        <v>194</v>
      </c>
      <c r="B195" t="s">
        <v>658</v>
      </c>
      <c r="C195" s="7">
        <v>23</v>
      </c>
      <c r="D195" s="7">
        <v>20</v>
      </c>
      <c r="E195">
        <f t="shared" ref="E195:E201" si="11">C195+D195</f>
        <v>43</v>
      </c>
      <c r="H195" t="s">
        <v>704</v>
      </c>
      <c r="I195">
        <v>43</v>
      </c>
      <c r="K195" t="s">
        <v>1533</v>
      </c>
      <c r="L195" t="s">
        <v>1534</v>
      </c>
      <c r="M195" t="str">
        <f t="shared" si="9"/>
        <v>Dougie Hamilton</v>
      </c>
      <c r="N195">
        <f t="shared" si="10"/>
        <v>44</v>
      </c>
    </row>
    <row r="196" spans="1:14" x14ac:dyDescent="0.25">
      <c r="A196" s="5">
        <v>195</v>
      </c>
      <c r="B196" t="s">
        <v>659</v>
      </c>
      <c r="C196" s="5">
        <v>6</v>
      </c>
      <c r="D196" s="5">
        <v>29</v>
      </c>
      <c r="E196">
        <f t="shared" si="11"/>
        <v>35</v>
      </c>
      <c r="H196" t="s">
        <v>705</v>
      </c>
      <c r="I196">
        <v>35</v>
      </c>
      <c r="K196" t="s">
        <v>1452</v>
      </c>
      <c r="L196" t="s">
        <v>1453</v>
      </c>
      <c r="M196" t="str">
        <f t="shared" si="9"/>
        <v>Tanner Pearson</v>
      </c>
      <c r="N196" t="e">
        <f t="shared" si="10"/>
        <v>#N/A</v>
      </c>
    </row>
    <row r="197" spans="1:14" x14ac:dyDescent="0.25">
      <c r="A197" s="7">
        <v>196</v>
      </c>
      <c r="B197" t="s">
        <v>660</v>
      </c>
      <c r="C197" s="7">
        <v>15</v>
      </c>
      <c r="D197" s="7">
        <v>24</v>
      </c>
      <c r="E197">
        <f t="shared" si="11"/>
        <v>39</v>
      </c>
      <c r="H197" t="s">
        <v>706</v>
      </c>
      <c r="I197">
        <v>39</v>
      </c>
      <c r="K197" t="s">
        <v>166</v>
      </c>
      <c r="L197" t="s">
        <v>1248</v>
      </c>
      <c r="M197" t="str">
        <f t="shared" si="9"/>
        <v>Tyler Bozak</v>
      </c>
      <c r="N197" t="e">
        <f t="shared" si="10"/>
        <v>#N/A</v>
      </c>
    </row>
    <row r="198" spans="1:14" x14ac:dyDescent="0.25">
      <c r="A198" s="5">
        <v>197</v>
      </c>
      <c r="B198" t="s">
        <v>661</v>
      </c>
      <c r="C198" s="5">
        <v>22</v>
      </c>
      <c r="D198" s="5">
        <v>23</v>
      </c>
      <c r="E198">
        <f t="shared" si="11"/>
        <v>45</v>
      </c>
      <c r="H198" t="s">
        <v>129</v>
      </c>
      <c r="I198">
        <v>45</v>
      </c>
      <c r="K198" t="s">
        <v>1563</v>
      </c>
      <c r="L198" t="s">
        <v>1564</v>
      </c>
      <c r="M198" t="str">
        <f t="shared" si="9"/>
        <v>Morgan Rielly</v>
      </c>
      <c r="N198" t="e">
        <f t="shared" si="10"/>
        <v>#N/A</v>
      </c>
    </row>
    <row r="199" spans="1:14" x14ac:dyDescent="0.25">
      <c r="A199" s="7">
        <v>198</v>
      </c>
      <c r="B199" t="s">
        <v>662</v>
      </c>
      <c r="C199" s="7">
        <v>22</v>
      </c>
      <c r="D199" s="7">
        <v>24</v>
      </c>
      <c r="E199">
        <f t="shared" si="11"/>
        <v>46</v>
      </c>
      <c r="H199" t="s">
        <v>130</v>
      </c>
      <c r="I199">
        <v>46</v>
      </c>
      <c r="K199" t="s">
        <v>1233</v>
      </c>
      <c r="L199" t="s">
        <v>1234</v>
      </c>
      <c r="M199" t="str">
        <f t="shared" si="9"/>
        <v>Mathieu Perreault</v>
      </c>
      <c r="N199" t="e">
        <f t="shared" si="10"/>
        <v>#N/A</v>
      </c>
    </row>
    <row r="200" spans="1:14" x14ac:dyDescent="0.25">
      <c r="A200" s="5">
        <v>199</v>
      </c>
      <c r="B200" t="s">
        <v>663</v>
      </c>
      <c r="C200" s="5">
        <v>15</v>
      </c>
      <c r="D200" s="5">
        <v>30</v>
      </c>
      <c r="E200">
        <f t="shared" si="11"/>
        <v>45</v>
      </c>
      <c r="H200" t="s">
        <v>87</v>
      </c>
      <c r="I200">
        <v>45</v>
      </c>
      <c r="K200" t="s">
        <v>231</v>
      </c>
      <c r="L200" t="s">
        <v>1348</v>
      </c>
      <c r="M200" t="str">
        <f t="shared" si="9"/>
        <v>David Backes</v>
      </c>
      <c r="N200">
        <f t="shared" si="10"/>
        <v>52</v>
      </c>
    </row>
    <row r="201" spans="1:14" x14ac:dyDescent="0.25">
      <c r="A201" s="7">
        <v>200</v>
      </c>
      <c r="B201" t="s">
        <v>664</v>
      </c>
      <c r="C201" s="7">
        <v>17</v>
      </c>
      <c r="D201" s="7">
        <v>17</v>
      </c>
      <c r="E201">
        <f t="shared" si="11"/>
        <v>34</v>
      </c>
      <c r="H201" t="s">
        <v>707</v>
      </c>
      <c r="I201">
        <v>34</v>
      </c>
      <c r="K201" t="s">
        <v>1385</v>
      </c>
      <c r="L201" t="s">
        <v>1386</v>
      </c>
      <c r="M201" t="str">
        <f t="shared" si="9"/>
        <v>Elias Lindholm</v>
      </c>
      <c r="N201" t="e">
        <f t="shared" si="10"/>
        <v>#N/A</v>
      </c>
    </row>
    <row r="202" spans="1:14" x14ac:dyDescent="0.25">
      <c r="K202" t="s">
        <v>1236</v>
      </c>
      <c r="L202" t="s">
        <v>1237</v>
      </c>
      <c r="M202" t="str">
        <f t="shared" si="9"/>
        <v>Jean-Gabriel Pageau</v>
      </c>
      <c r="N202" t="e">
        <f t="shared" si="10"/>
        <v>#N/A</v>
      </c>
    </row>
    <row r="203" spans="1:14" x14ac:dyDescent="0.25">
      <c r="K203" t="s">
        <v>1246</v>
      </c>
      <c r="L203" t="s">
        <v>1594</v>
      </c>
      <c r="M203" t="str">
        <f t="shared" ref="M203:M205" si="12">K203&amp;" "&amp;L203</f>
        <v>Seth Jones</v>
      </c>
      <c r="N203">
        <f t="shared" ref="N203:N206" si="13">VLOOKUP(M203,$H$2:$I$201,2,0)</f>
        <v>41</v>
      </c>
    </row>
    <row r="204" spans="1:14" x14ac:dyDescent="0.25">
      <c r="K204" t="s">
        <v>231</v>
      </c>
      <c r="L204" t="s">
        <v>1353</v>
      </c>
      <c r="M204" t="str">
        <f t="shared" si="12"/>
        <v>David Pastrnak</v>
      </c>
      <c r="N204">
        <f t="shared" si="13"/>
        <v>43</v>
      </c>
    </row>
    <row r="205" spans="1:14" x14ac:dyDescent="0.25">
      <c r="K205" t="s">
        <v>1689</v>
      </c>
      <c r="L205" t="s">
        <v>1551</v>
      </c>
      <c r="M205" t="str">
        <f t="shared" si="12"/>
        <v>TJ Brodie</v>
      </c>
      <c r="N205" t="e">
        <f t="shared" si="13"/>
        <v>#N/A</v>
      </c>
    </row>
    <row r="206" spans="1:14" x14ac:dyDescent="0.25">
      <c r="K206" t="s">
        <v>1285</v>
      </c>
      <c r="L206" t="s">
        <v>1286</v>
      </c>
      <c r="M206" t="str">
        <f>K206&amp;" "&amp;L206</f>
        <v>Mitchell Marner</v>
      </c>
      <c r="N206" t="e">
        <f t="shared" si="13"/>
        <v>#N/A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1"/>
  <sheetViews>
    <sheetView topLeftCell="E192" workbookViewId="0">
      <selection activeCell="F207" sqref="F207"/>
    </sheetView>
  </sheetViews>
  <sheetFormatPr baseColWidth="10" defaultColWidth="11.42578125" defaultRowHeight="15" x14ac:dyDescent="0.25"/>
  <cols>
    <col min="20" max="20" width="17" bestFit="1" customWidth="1"/>
  </cols>
  <sheetData>
    <row r="1" spans="1:22" ht="30.75" thickTop="1" x14ac:dyDescent="0.25">
      <c r="A1" s="15" t="s">
        <v>715</v>
      </c>
      <c r="B1" s="16">
        <v>78</v>
      </c>
      <c r="C1" s="16">
        <v>40</v>
      </c>
      <c r="D1" s="16">
        <v>49</v>
      </c>
      <c r="E1" s="16">
        <v>90</v>
      </c>
      <c r="F1" s="16">
        <v>39</v>
      </c>
      <c r="G1" s="16">
        <v>20</v>
      </c>
      <c r="H1" s="16">
        <v>0</v>
      </c>
      <c r="I1" s="16">
        <v>107</v>
      </c>
      <c r="J1" s="16">
        <v>384</v>
      </c>
      <c r="M1" t="s">
        <v>202</v>
      </c>
      <c r="N1" t="s">
        <v>203</v>
      </c>
      <c r="O1" t="str">
        <f>M1&amp;" "&amp;N1</f>
        <v>Evgeni Malkin</v>
      </c>
      <c r="P1" s="16">
        <v>90</v>
      </c>
      <c r="R1" s="4" t="s">
        <v>433</v>
      </c>
      <c r="S1" s="4" t="s">
        <v>434</v>
      </c>
      <c r="T1" t="str">
        <f>R1&amp;" "&amp;S1</f>
        <v>Teuvo Teravainen</v>
      </c>
      <c r="U1">
        <f>VLOOKUP(T1,$O$1:$P$511,2,0)</f>
        <v>29</v>
      </c>
      <c r="V1">
        <v>29</v>
      </c>
    </row>
    <row r="2" spans="1:22" ht="30" x14ac:dyDescent="0.25">
      <c r="A2" s="17" t="s">
        <v>716</v>
      </c>
      <c r="B2" s="18">
        <v>78</v>
      </c>
      <c r="C2" s="18">
        <v>36</v>
      </c>
      <c r="D2" s="18">
        <v>53</v>
      </c>
      <c r="E2" s="18">
        <v>89</v>
      </c>
      <c r="F2" s="18">
        <v>38</v>
      </c>
      <c r="G2" s="18">
        <v>16</v>
      </c>
      <c r="H2" s="18">
        <v>0</v>
      </c>
      <c r="I2" s="18">
        <v>45</v>
      </c>
      <c r="J2" s="18">
        <v>356</v>
      </c>
      <c r="M2" t="s">
        <v>164</v>
      </c>
      <c r="N2" t="s">
        <v>165</v>
      </c>
      <c r="O2" t="str">
        <f t="shared" ref="O2:O65" si="0">M2&amp;" "&amp;N2</f>
        <v>Sidney Crosby</v>
      </c>
      <c r="P2" s="18">
        <v>89</v>
      </c>
      <c r="R2" s="3" t="s">
        <v>174</v>
      </c>
      <c r="S2" s="3" t="s">
        <v>370</v>
      </c>
      <c r="T2" t="str">
        <f t="shared" ref="T2:T65" si="1">R2&amp;" "&amp;S2</f>
        <v>Alexander Wennberg</v>
      </c>
      <c r="U2">
        <f t="shared" ref="U2:U65" si="2">VLOOKUP(T2,$O$1:$P$511,2,0)</f>
        <v>49</v>
      </c>
      <c r="V2">
        <v>49</v>
      </c>
    </row>
    <row r="3" spans="1:22" ht="30" x14ac:dyDescent="0.25">
      <c r="A3" s="19" t="s">
        <v>717</v>
      </c>
      <c r="B3" s="20">
        <v>78</v>
      </c>
      <c r="C3" s="20">
        <v>37</v>
      </c>
      <c r="D3" s="20">
        <v>44</v>
      </c>
      <c r="E3" s="20">
        <v>82</v>
      </c>
      <c r="F3" s="20">
        <v>29</v>
      </c>
      <c r="G3" s="20">
        <v>15</v>
      </c>
      <c r="H3" s="20">
        <v>0</v>
      </c>
      <c r="I3" s="20">
        <v>21</v>
      </c>
      <c r="J3" s="20">
        <v>337</v>
      </c>
      <c r="M3" t="s">
        <v>166</v>
      </c>
      <c r="N3" t="s">
        <v>167</v>
      </c>
      <c r="O3" t="str">
        <f t="shared" si="0"/>
        <v>Tyler Seguin</v>
      </c>
      <c r="P3" s="20">
        <v>82</v>
      </c>
      <c r="R3" s="4" t="s">
        <v>411</v>
      </c>
      <c r="S3" s="4" t="s">
        <v>412</v>
      </c>
      <c r="T3" t="str">
        <f t="shared" si="1"/>
        <v>Bo Horvat</v>
      </c>
      <c r="U3">
        <f t="shared" si="2"/>
        <v>44</v>
      </c>
      <c r="V3">
        <v>44</v>
      </c>
    </row>
    <row r="4" spans="1:22" ht="45" x14ac:dyDescent="0.25">
      <c r="A4" s="17" t="s">
        <v>718</v>
      </c>
      <c r="B4" s="18">
        <v>78</v>
      </c>
      <c r="C4" s="18">
        <v>43</v>
      </c>
      <c r="D4" s="18">
        <v>34</v>
      </c>
      <c r="E4" s="18">
        <v>78</v>
      </c>
      <c r="F4" s="18">
        <v>17</v>
      </c>
      <c r="G4" s="18">
        <v>16</v>
      </c>
      <c r="H4" s="18">
        <v>1</v>
      </c>
      <c r="I4" s="18">
        <v>43</v>
      </c>
      <c r="J4" s="18">
        <v>311</v>
      </c>
      <c r="M4" t="s">
        <v>186</v>
      </c>
      <c r="N4" t="s">
        <v>187</v>
      </c>
      <c r="O4" t="str">
        <f t="shared" si="0"/>
        <v>Steven Stamkos</v>
      </c>
      <c r="P4" s="18">
        <v>78</v>
      </c>
      <c r="R4" s="3" t="s">
        <v>407</v>
      </c>
      <c r="S4" s="3" t="s">
        <v>408</v>
      </c>
      <c r="T4" t="str">
        <f t="shared" si="1"/>
        <v>Charlie Coyle</v>
      </c>
      <c r="U4">
        <f t="shared" si="2"/>
        <v>40</v>
      </c>
      <c r="V4">
        <v>40</v>
      </c>
    </row>
    <row r="5" spans="1:22" ht="45" x14ac:dyDescent="0.25">
      <c r="A5" s="19" t="s">
        <v>719</v>
      </c>
      <c r="B5" s="20">
        <v>78</v>
      </c>
      <c r="C5" s="20">
        <v>35</v>
      </c>
      <c r="D5" s="20">
        <v>36</v>
      </c>
      <c r="E5" s="20">
        <v>71</v>
      </c>
      <c r="F5" s="20">
        <v>23</v>
      </c>
      <c r="G5" s="20">
        <v>14</v>
      </c>
      <c r="H5" s="20">
        <v>1</v>
      </c>
      <c r="I5" s="20">
        <v>46</v>
      </c>
      <c r="J5" s="20">
        <v>307</v>
      </c>
      <c r="M5" t="s">
        <v>237</v>
      </c>
      <c r="N5" t="s">
        <v>238</v>
      </c>
      <c r="O5" t="str">
        <f t="shared" si="0"/>
        <v>Patrice Bergeron</v>
      </c>
      <c r="P5" s="20">
        <v>71</v>
      </c>
      <c r="R5" s="4" t="s">
        <v>371</v>
      </c>
      <c r="S5" s="4" t="s">
        <v>372</v>
      </c>
      <c r="T5" t="str">
        <f t="shared" si="1"/>
        <v>Shayne Gostisbehe…</v>
      </c>
      <c r="U5" t="e">
        <f t="shared" si="2"/>
        <v>#N/A</v>
      </c>
      <c r="V5" t="e">
        <v>#N/A</v>
      </c>
    </row>
    <row r="6" spans="1:22" ht="30" x14ac:dyDescent="0.25">
      <c r="A6" s="17" t="s">
        <v>720</v>
      </c>
      <c r="B6" s="18">
        <v>78</v>
      </c>
      <c r="C6" s="18">
        <v>42</v>
      </c>
      <c r="D6" s="18">
        <v>35</v>
      </c>
      <c r="E6" s="18">
        <v>78</v>
      </c>
      <c r="F6" s="18">
        <v>19</v>
      </c>
      <c r="G6" s="18">
        <v>13</v>
      </c>
      <c r="H6" s="18">
        <v>0</v>
      </c>
      <c r="I6" s="18">
        <v>28</v>
      </c>
      <c r="J6" s="18">
        <v>307</v>
      </c>
      <c r="M6" t="s">
        <v>168</v>
      </c>
      <c r="N6" t="s">
        <v>169</v>
      </c>
      <c r="O6" t="str">
        <f t="shared" si="0"/>
        <v>Joe Pavelski</v>
      </c>
      <c r="P6" s="18">
        <v>78</v>
      </c>
      <c r="R6" s="3" t="s">
        <v>386</v>
      </c>
      <c r="S6" s="3" t="s">
        <v>387</v>
      </c>
      <c r="T6" t="str">
        <f t="shared" si="1"/>
        <v>Mikael Granlund</v>
      </c>
      <c r="U6">
        <f t="shared" si="2"/>
        <v>42</v>
      </c>
      <c r="V6">
        <v>42</v>
      </c>
    </row>
    <row r="7" spans="1:22" ht="30" x14ac:dyDescent="0.25">
      <c r="A7" s="19" t="s">
        <v>721</v>
      </c>
      <c r="B7" s="20">
        <v>78</v>
      </c>
      <c r="C7" s="20">
        <v>35</v>
      </c>
      <c r="D7" s="20">
        <v>37</v>
      </c>
      <c r="E7" s="20">
        <v>72</v>
      </c>
      <c r="F7" s="20">
        <v>29</v>
      </c>
      <c r="G7" s="20">
        <v>16</v>
      </c>
      <c r="H7" s="20">
        <v>0</v>
      </c>
      <c r="I7" s="20">
        <v>26</v>
      </c>
      <c r="J7" s="20">
        <v>297</v>
      </c>
      <c r="M7" t="s">
        <v>243</v>
      </c>
      <c r="N7" t="s">
        <v>244</v>
      </c>
      <c r="O7" t="str">
        <f t="shared" si="0"/>
        <v>Jason Spezza</v>
      </c>
      <c r="P7" s="20">
        <v>72</v>
      </c>
      <c r="R7" s="4" t="s">
        <v>379</v>
      </c>
      <c r="S7" s="4" t="s">
        <v>380</v>
      </c>
      <c r="T7" t="str">
        <f t="shared" si="1"/>
        <v>Jesse Puljujarvi</v>
      </c>
      <c r="U7">
        <f t="shared" si="2"/>
        <v>34</v>
      </c>
      <c r="V7">
        <v>34</v>
      </c>
    </row>
    <row r="8" spans="1:22" ht="45" x14ac:dyDescent="0.25">
      <c r="A8" s="17" t="s">
        <v>722</v>
      </c>
      <c r="B8" s="18">
        <v>78</v>
      </c>
      <c r="C8" s="18">
        <v>37</v>
      </c>
      <c r="D8" s="18">
        <v>39</v>
      </c>
      <c r="E8" s="18">
        <v>76</v>
      </c>
      <c r="F8" s="18">
        <v>0</v>
      </c>
      <c r="G8" s="18">
        <v>13</v>
      </c>
      <c r="H8" s="18">
        <v>0</v>
      </c>
      <c r="I8" s="18">
        <v>44</v>
      </c>
      <c r="J8" s="18">
        <v>281</v>
      </c>
      <c r="M8" t="s">
        <v>170</v>
      </c>
      <c r="N8" t="s">
        <v>171</v>
      </c>
      <c r="O8" t="str">
        <f t="shared" si="0"/>
        <v>John Tavares</v>
      </c>
      <c r="P8" s="18">
        <v>76</v>
      </c>
      <c r="R8" s="3" t="s">
        <v>409</v>
      </c>
      <c r="S8" s="3" t="s">
        <v>410</v>
      </c>
      <c r="T8" t="str">
        <f t="shared" si="1"/>
        <v>Brock Nelson</v>
      </c>
      <c r="U8">
        <f t="shared" si="2"/>
        <v>41</v>
      </c>
      <c r="V8">
        <v>41</v>
      </c>
    </row>
    <row r="9" spans="1:22" ht="45" x14ac:dyDescent="0.25">
      <c r="A9" s="19" t="s">
        <v>723</v>
      </c>
      <c r="B9" s="20">
        <v>78</v>
      </c>
      <c r="C9" s="20">
        <v>21</v>
      </c>
      <c r="D9" s="20">
        <v>56</v>
      </c>
      <c r="E9" s="20">
        <v>78</v>
      </c>
      <c r="F9" s="20">
        <v>24</v>
      </c>
      <c r="G9" s="20">
        <v>17</v>
      </c>
      <c r="H9" s="20">
        <v>0</v>
      </c>
      <c r="I9" s="20">
        <v>43</v>
      </c>
      <c r="J9" s="20">
        <v>280</v>
      </c>
      <c r="M9" t="s">
        <v>182</v>
      </c>
      <c r="N9" t="s">
        <v>183</v>
      </c>
      <c r="O9" t="str">
        <f t="shared" si="0"/>
        <v>Nicklas Backstrom</v>
      </c>
      <c r="P9" s="20">
        <v>78</v>
      </c>
      <c r="R9" s="4" t="s">
        <v>424</v>
      </c>
      <c r="S9" s="4" t="s">
        <v>425</v>
      </c>
      <c r="T9" t="str">
        <f t="shared" si="1"/>
        <v>Travis Zajac</v>
      </c>
      <c r="U9">
        <f t="shared" si="2"/>
        <v>51</v>
      </c>
      <c r="V9">
        <v>51</v>
      </c>
    </row>
    <row r="10" spans="1:22" ht="45" x14ac:dyDescent="0.25">
      <c r="A10" s="17" t="s">
        <v>724</v>
      </c>
      <c r="B10" s="18">
        <v>78</v>
      </c>
      <c r="C10" s="18">
        <v>17</v>
      </c>
      <c r="D10" s="18">
        <v>58</v>
      </c>
      <c r="E10" s="18">
        <v>75</v>
      </c>
      <c r="F10" s="18">
        <v>24</v>
      </c>
      <c r="G10" s="18">
        <v>12</v>
      </c>
      <c r="H10" s="18">
        <v>0</v>
      </c>
      <c r="I10" s="18">
        <v>52</v>
      </c>
      <c r="J10" s="18">
        <v>275</v>
      </c>
      <c r="M10" t="s">
        <v>188</v>
      </c>
      <c r="N10" t="s">
        <v>189</v>
      </c>
      <c r="O10" t="str">
        <f t="shared" si="0"/>
        <v>Ryan Getzlaf</v>
      </c>
      <c r="P10" s="18">
        <v>75</v>
      </c>
      <c r="R10" s="3" t="s">
        <v>422</v>
      </c>
      <c r="S10" s="3" t="s">
        <v>423</v>
      </c>
      <c r="T10" t="str">
        <f t="shared" si="1"/>
        <v>Pierre-A Parenteau</v>
      </c>
      <c r="U10" t="e">
        <f t="shared" si="2"/>
        <v>#N/A</v>
      </c>
      <c r="V10" t="e">
        <v>#N/A</v>
      </c>
    </row>
    <row r="11" spans="1:22" ht="30" x14ac:dyDescent="0.25">
      <c r="A11" s="19" t="s">
        <v>725</v>
      </c>
      <c r="B11" s="20">
        <v>78</v>
      </c>
      <c r="C11" s="20">
        <v>26</v>
      </c>
      <c r="D11" s="20">
        <v>48</v>
      </c>
      <c r="E11" s="20">
        <v>75</v>
      </c>
      <c r="F11" s="20">
        <v>22</v>
      </c>
      <c r="G11" s="20">
        <v>10</v>
      </c>
      <c r="H11" s="20">
        <v>1</v>
      </c>
      <c r="I11" s="20">
        <v>16</v>
      </c>
      <c r="J11" s="20">
        <v>269</v>
      </c>
      <c r="M11" t="s">
        <v>180</v>
      </c>
      <c r="N11" t="s">
        <v>181</v>
      </c>
      <c r="O11" t="str">
        <f t="shared" si="0"/>
        <v>Anze Kopitar</v>
      </c>
      <c r="P11" s="20">
        <v>75</v>
      </c>
      <c r="R11" s="4" t="s">
        <v>168</v>
      </c>
      <c r="S11" s="4" t="s">
        <v>452</v>
      </c>
      <c r="T11" t="str">
        <f t="shared" si="1"/>
        <v>Joe Colborne</v>
      </c>
      <c r="U11">
        <f t="shared" si="2"/>
        <v>45</v>
      </c>
      <c r="V11">
        <v>45</v>
      </c>
    </row>
    <row r="12" spans="1:22" ht="30" x14ac:dyDescent="0.25">
      <c r="A12" s="17" t="s">
        <v>726</v>
      </c>
      <c r="B12" s="18">
        <v>78</v>
      </c>
      <c r="C12" s="18">
        <v>25</v>
      </c>
      <c r="D12" s="18">
        <v>48</v>
      </c>
      <c r="E12" s="18">
        <v>73</v>
      </c>
      <c r="F12" s="18">
        <v>0</v>
      </c>
      <c r="G12" s="18">
        <v>15</v>
      </c>
      <c r="H12" s="18">
        <v>1</v>
      </c>
      <c r="I12" s="18">
        <v>50</v>
      </c>
      <c r="J12" s="18">
        <v>264</v>
      </c>
      <c r="M12" t="s">
        <v>184</v>
      </c>
      <c r="N12" t="s">
        <v>185</v>
      </c>
      <c r="O12" t="str">
        <f t="shared" si="0"/>
        <v>Claude Giroux</v>
      </c>
      <c r="P12" s="18">
        <v>73</v>
      </c>
      <c r="R12" s="3" t="s">
        <v>445</v>
      </c>
      <c r="S12" s="3" t="s">
        <v>446</v>
      </c>
      <c r="T12" t="str">
        <f t="shared" si="1"/>
        <v>Teddy Purcell</v>
      </c>
      <c r="U12">
        <f t="shared" si="2"/>
        <v>47</v>
      </c>
      <c r="V12">
        <v>47</v>
      </c>
    </row>
    <row r="13" spans="1:22" ht="30" x14ac:dyDescent="0.25">
      <c r="A13" s="19" t="s">
        <v>727</v>
      </c>
      <c r="B13" s="20">
        <v>78</v>
      </c>
      <c r="C13" s="20">
        <v>29</v>
      </c>
      <c r="D13" s="20">
        <v>34</v>
      </c>
      <c r="E13" s="20">
        <v>64</v>
      </c>
      <c r="F13" s="20">
        <v>35</v>
      </c>
      <c r="G13" s="20">
        <v>5</v>
      </c>
      <c r="H13" s="20">
        <v>3</v>
      </c>
      <c r="I13" s="20">
        <v>73</v>
      </c>
      <c r="J13" s="20">
        <v>264</v>
      </c>
      <c r="M13" t="s">
        <v>218</v>
      </c>
      <c r="N13" t="s">
        <v>242</v>
      </c>
      <c r="O13" t="str">
        <f t="shared" si="0"/>
        <v>Jonathan Toews</v>
      </c>
      <c r="P13" s="20">
        <v>64</v>
      </c>
      <c r="R13" s="4" t="s">
        <v>231</v>
      </c>
      <c r="S13" s="4" t="s">
        <v>447</v>
      </c>
      <c r="T13" t="str">
        <f t="shared" si="1"/>
        <v>David Perron</v>
      </c>
      <c r="U13">
        <f t="shared" si="2"/>
        <v>42</v>
      </c>
      <c r="V13">
        <v>42</v>
      </c>
    </row>
    <row r="14" spans="1:22" ht="30" x14ac:dyDescent="0.25">
      <c r="A14" s="17" t="s">
        <v>728</v>
      </c>
      <c r="B14" s="18">
        <v>78</v>
      </c>
      <c r="C14" s="18">
        <v>28</v>
      </c>
      <c r="D14" s="18">
        <v>39</v>
      </c>
      <c r="E14" s="18">
        <v>67</v>
      </c>
      <c r="F14" s="18">
        <v>15</v>
      </c>
      <c r="G14" s="18">
        <v>8</v>
      </c>
      <c r="H14" s="18">
        <v>1</v>
      </c>
      <c r="I14" s="18">
        <v>24</v>
      </c>
      <c r="J14" s="18">
        <v>263</v>
      </c>
      <c r="M14" t="s">
        <v>277</v>
      </c>
      <c r="N14" t="s">
        <v>278</v>
      </c>
      <c r="O14" t="str">
        <f t="shared" si="0"/>
        <v>Jeff Carter</v>
      </c>
      <c r="P14" s="18">
        <v>67</v>
      </c>
      <c r="R14" s="3" t="s">
        <v>455</v>
      </c>
      <c r="S14" s="3" t="s">
        <v>456</v>
      </c>
      <c r="T14" t="str">
        <f t="shared" si="1"/>
        <v>Artem Anisimov</v>
      </c>
      <c r="U14">
        <f t="shared" si="2"/>
        <v>47</v>
      </c>
      <c r="V14">
        <v>47</v>
      </c>
    </row>
    <row r="15" spans="1:22" ht="30" x14ac:dyDescent="0.25">
      <c r="A15" s="19" t="s">
        <v>729</v>
      </c>
      <c r="B15" s="20">
        <v>78</v>
      </c>
      <c r="C15" s="20">
        <v>20</v>
      </c>
      <c r="D15" s="20">
        <v>53</v>
      </c>
      <c r="E15" s="20">
        <v>73</v>
      </c>
      <c r="F15" s="20">
        <v>22</v>
      </c>
      <c r="G15" s="20">
        <v>12</v>
      </c>
      <c r="H15" s="20">
        <v>1</v>
      </c>
      <c r="I15" s="20">
        <v>35</v>
      </c>
      <c r="J15" s="20">
        <v>261</v>
      </c>
      <c r="M15" t="s">
        <v>231</v>
      </c>
      <c r="N15" t="s">
        <v>232</v>
      </c>
      <c r="O15" t="str">
        <f t="shared" si="0"/>
        <v>David Krejci</v>
      </c>
      <c r="P15" s="20">
        <v>73</v>
      </c>
      <c r="R15" s="4" t="s">
        <v>431</v>
      </c>
      <c r="S15" s="4" t="s">
        <v>432</v>
      </c>
      <c r="T15" t="str">
        <f t="shared" si="1"/>
        <v>Nick Bjugstad</v>
      </c>
      <c r="U15">
        <f t="shared" si="2"/>
        <v>40</v>
      </c>
      <c r="V15">
        <v>40</v>
      </c>
    </row>
    <row r="16" spans="1:22" ht="45" x14ac:dyDescent="0.25">
      <c r="A16" s="17" t="s">
        <v>730</v>
      </c>
      <c r="B16" s="18">
        <v>78</v>
      </c>
      <c r="C16" s="18">
        <v>19</v>
      </c>
      <c r="D16" s="18">
        <v>52</v>
      </c>
      <c r="E16" s="18">
        <v>71</v>
      </c>
      <c r="F16" s="18">
        <v>26</v>
      </c>
      <c r="G16" s="18">
        <v>9</v>
      </c>
      <c r="H16" s="18">
        <v>0</v>
      </c>
      <c r="I16" s="18">
        <v>36</v>
      </c>
      <c r="J16" s="18">
        <v>261</v>
      </c>
      <c r="M16" t="s">
        <v>206</v>
      </c>
      <c r="N16" t="s">
        <v>207</v>
      </c>
      <c r="O16" t="str">
        <f t="shared" si="0"/>
        <v>Evgeny Kuznetsov</v>
      </c>
      <c r="P16" s="18">
        <v>71</v>
      </c>
      <c r="R16" s="3" t="s">
        <v>426</v>
      </c>
      <c r="S16" s="3" t="s">
        <v>451</v>
      </c>
      <c r="T16" t="str">
        <f t="shared" si="1"/>
        <v>Kevin Hayes</v>
      </c>
      <c r="U16">
        <f t="shared" si="2"/>
        <v>37</v>
      </c>
      <c r="V16">
        <v>37</v>
      </c>
    </row>
    <row r="17" spans="1:22" ht="45" x14ac:dyDescent="0.25">
      <c r="A17" s="19" t="s">
        <v>731</v>
      </c>
      <c r="B17" s="20">
        <v>78</v>
      </c>
      <c r="C17" s="20">
        <v>17</v>
      </c>
      <c r="D17" s="20">
        <v>60</v>
      </c>
      <c r="E17" s="20">
        <v>77</v>
      </c>
      <c r="F17" s="20">
        <v>20</v>
      </c>
      <c r="G17" s="20">
        <v>13</v>
      </c>
      <c r="H17" s="20">
        <v>0</v>
      </c>
      <c r="I17" s="20">
        <v>53</v>
      </c>
      <c r="J17" s="20">
        <v>261</v>
      </c>
      <c r="M17" t="s">
        <v>168</v>
      </c>
      <c r="N17" t="s">
        <v>200</v>
      </c>
      <c r="O17" t="str">
        <f t="shared" si="0"/>
        <v>Joe Thornton</v>
      </c>
      <c r="P17" s="20">
        <v>77</v>
      </c>
      <c r="R17" s="4" t="s">
        <v>459</v>
      </c>
      <c r="S17" s="4" t="s">
        <v>460</v>
      </c>
      <c r="T17" t="str">
        <f t="shared" si="1"/>
        <v>Vladislav Namestn…</v>
      </c>
      <c r="U17" t="e">
        <f t="shared" si="2"/>
        <v>#N/A</v>
      </c>
      <c r="V17" t="e">
        <v>#N/A</v>
      </c>
    </row>
    <row r="18" spans="1:22" ht="30" x14ac:dyDescent="0.25">
      <c r="A18" s="17" t="s">
        <v>732</v>
      </c>
      <c r="B18" s="18">
        <v>78</v>
      </c>
      <c r="C18" s="18">
        <v>26</v>
      </c>
      <c r="D18" s="18">
        <v>41</v>
      </c>
      <c r="E18" s="18">
        <v>68</v>
      </c>
      <c r="F18" s="18">
        <v>8</v>
      </c>
      <c r="G18" s="18">
        <v>12</v>
      </c>
      <c r="H18" s="18">
        <v>0</v>
      </c>
      <c r="I18" s="18">
        <v>32</v>
      </c>
      <c r="J18" s="18">
        <v>257</v>
      </c>
      <c r="M18" t="s">
        <v>228</v>
      </c>
      <c r="N18" t="s">
        <v>229</v>
      </c>
      <c r="O18" t="str">
        <f t="shared" si="0"/>
        <v>Logan Couture</v>
      </c>
      <c r="P18" s="18">
        <v>68</v>
      </c>
      <c r="R18" s="3" t="s">
        <v>440</v>
      </c>
      <c r="S18" s="3" t="s">
        <v>441</v>
      </c>
      <c r="T18" t="str">
        <f t="shared" si="1"/>
        <v>Pavel Zacha</v>
      </c>
      <c r="U18">
        <f t="shared" si="2"/>
        <v>37</v>
      </c>
      <c r="V18">
        <v>37</v>
      </c>
    </row>
    <row r="19" spans="1:22" ht="45" x14ac:dyDescent="0.25">
      <c r="A19" s="19" t="s">
        <v>733</v>
      </c>
      <c r="B19" s="20">
        <v>78</v>
      </c>
      <c r="C19" s="20">
        <v>17</v>
      </c>
      <c r="D19" s="20">
        <v>46</v>
      </c>
      <c r="E19" s="20">
        <v>64</v>
      </c>
      <c r="F19" s="20">
        <v>32</v>
      </c>
      <c r="G19" s="20">
        <v>13</v>
      </c>
      <c r="H19" s="20">
        <v>0</v>
      </c>
      <c r="I19" s="20">
        <v>56</v>
      </c>
      <c r="J19" s="20">
        <v>257</v>
      </c>
      <c r="M19" t="s">
        <v>188</v>
      </c>
      <c r="N19" t="s">
        <v>201</v>
      </c>
      <c r="O19" t="str">
        <f t="shared" si="0"/>
        <v>Ryan Johansen</v>
      </c>
      <c r="P19" s="20">
        <v>64</v>
      </c>
      <c r="R19" s="4" t="s">
        <v>174</v>
      </c>
      <c r="S19" s="4" t="s">
        <v>230</v>
      </c>
      <c r="T19" t="str">
        <f t="shared" si="1"/>
        <v>Alexander Radulov</v>
      </c>
      <c r="U19">
        <f t="shared" si="2"/>
        <v>39</v>
      </c>
      <c r="V19">
        <v>39</v>
      </c>
    </row>
    <row r="20" spans="1:22" ht="45" x14ac:dyDescent="0.25">
      <c r="A20" s="17" t="s">
        <v>734</v>
      </c>
      <c r="B20" s="18">
        <v>78</v>
      </c>
      <c r="C20" s="18">
        <v>34</v>
      </c>
      <c r="D20" s="18">
        <v>36</v>
      </c>
      <c r="E20" s="18">
        <v>70</v>
      </c>
      <c r="F20" s="18">
        <v>-2</v>
      </c>
      <c r="G20" s="18">
        <v>8</v>
      </c>
      <c r="H20" s="18">
        <v>0</v>
      </c>
      <c r="I20" s="18">
        <v>52</v>
      </c>
      <c r="J20" s="18">
        <v>248</v>
      </c>
      <c r="M20" t="s">
        <v>196</v>
      </c>
      <c r="N20" t="s">
        <v>197</v>
      </c>
      <c r="O20" t="str">
        <f t="shared" si="0"/>
        <v>Mark Scheifele</v>
      </c>
      <c r="P20" s="18">
        <v>70</v>
      </c>
      <c r="R20" s="3" t="s">
        <v>218</v>
      </c>
      <c r="S20" s="3" t="s">
        <v>396</v>
      </c>
      <c r="T20" t="str">
        <f t="shared" si="1"/>
        <v>Jonathan Drouin</v>
      </c>
      <c r="U20">
        <f t="shared" si="2"/>
        <v>60</v>
      </c>
      <c r="V20">
        <v>60</v>
      </c>
    </row>
    <row r="21" spans="1:22" ht="45" x14ac:dyDescent="0.25">
      <c r="A21" s="19" t="s">
        <v>735</v>
      </c>
      <c r="B21" s="20">
        <v>78</v>
      </c>
      <c r="C21" s="20">
        <v>27</v>
      </c>
      <c r="D21" s="20">
        <v>34</v>
      </c>
      <c r="E21" s="20">
        <v>62</v>
      </c>
      <c r="F21" s="20">
        <v>17</v>
      </c>
      <c r="G21" s="20">
        <v>8</v>
      </c>
      <c r="H21" s="20">
        <v>0</v>
      </c>
      <c r="I21" s="20">
        <v>67</v>
      </c>
      <c r="J21" s="20">
        <v>242</v>
      </c>
      <c r="M21" t="s">
        <v>188</v>
      </c>
      <c r="N21" t="s">
        <v>363</v>
      </c>
      <c r="O21" t="str">
        <f t="shared" si="0"/>
        <v>Ryan Kesler</v>
      </c>
      <c r="P21" s="20">
        <v>62</v>
      </c>
      <c r="R21" s="4" t="s">
        <v>254</v>
      </c>
      <c r="S21" s="4" t="s">
        <v>255</v>
      </c>
      <c r="T21" t="str">
        <f t="shared" si="1"/>
        <v>Kyle Turris</v>
      </c>
      <c r="U21">
        <f t="shared" si="2"/>
        <v>45</v>
      </c>
      <c r="V21">
        <v>45</v>
      </c>
    </row>
    <row r="22" spans="1:22" ht="30" x14ac:dyDescent="0.25">
      <c r="A22" s="17" t="s">
        <v>736</v>
      </c>
      <c r="B22" s="18">
        <v>78</v>
      </c>
      <c r="C22" s="18">
        <v>23</v>
      </c>
      <c r="D22" s="18">
        <v>37</v>
      </c>
      <c r="E22" s="18">
        <v>60</v>
      </c>
      <c r="F22" s="18">
        <v>26</v>
      </c>
      <c r="G22" s="18">
        <v>12</v>
      </c>
      <c r="H22" s="18">
        <v>0</v>
      </c>
      <c r="I22" s="18">
        <v>30</v>
      </c>
      <c r="J22" s="18">
        <v>240</v>
      </c>
      <c r="M22" t="s">
        <v>166</v>
      </c>
      <c r="N22" t="s">
        <v>316</v>
      </c>
      <c r="O22" t="str">
        <f t="shared" si="0"/>
        <v>Tyler Johnson</v>
      </c>
      <c r="P22" s="18">
        <v>60</v>
      </c>
      <c r="R22" s="3" t="s">
        <v>268</v>
      </c>
      <c r="S22" s="3" t="s">
        <v>269</v>
      </c>
      <c r="T22" t="str">
        <f t="shared" si="1"/>
        <v>Patrik Laine</v>
      </c>
      <c r="U22">
        <f t="shared" si="2"/>
        <v>37</v>
      </c>
      <c r="V22">
        <v>37</v>
      </c>
    </row>
    <row r="23" spans="1:22" ht="45" x14ac:dyDescent="0.25">
      <c r="A23" s="19" t="s">
        <v>737</v>
      </c>
      <c r="B23" s="20">
        <v>78</v>
      </c>
      <c r="C23" s="20">
        <v>28</v>
      </c>
      <c r="D23" s="20">
        <v>35</v>
      </c>
      <c r="E23" s="20">
        <v>63</v>
      </c>
      <c r="F23" s="20">
        <v>6</v>
      </c>
      <c r="G23" s="20">
        <v>15</v>
      </c>
      <c r="H23" s="20">
        <v>0</v>
      </c>
      <c r="I23" s="20">
        <v>36</v>
      </c>
      <c r="J23" s="20">
        <v>240</v>
      </c>
      <c r="M23" t="s">
        <v>292</v>
      </c>
      <c r="N23" t="s">
        <v>293</v>
      </c>
      <c r="O23" t="str">
        <f t="shared" si="0"/>
        <v>Derick Brassard</v>
      </c>
      <c r="P23" s="20">
        <v>63</v>
      </c>
      <c r="R23" s="4" t="s">
        <v>353</v>
      </c>
      <c r="S23" s="4" t="s">
        <v>354</v>
      </c>
      <c r="T23" t="str">
        <f t="shared" si="1"/>
        <v>Zach Parise</v>
      </c>
      <c r="U23">
        <f t="shared" si="2"/>
        <v>62</v>
      </c>
      <c r="V23">
        <v>62</v>
      </c>
    </row>
    <row r="24" spans="1:22" ht="45" x14ac:dyDescent="0.25">
      <c r="A24" s="17" t="s">
        <v>738</v>
      </c>
      <c r="B24" s="18">
        <v>78</v>
      </c>
      <c r="C24" s="18">
        <v>26</v>
      </c>
      <c r="D24" s="18">
        <v>34</v>
      </c>
      <c r="E24" s="18">
        <v>61</v>
      </c>
      <c r="F24" s="18">
        <v>13</v>
      </c>
      <c r="G24" s="18">
        <v>11</v>
      </c>
      <c r="H24" s="18">
        <v>1</v>
      </c>
      <c r="I24" s="18">
        <v>22</v>
      </c>
      <c r="J24" s="18">
        <v>238</v>
      </c>
      <c r="M24" t="s">
        <v>265</v>
      </c>
      <c r="N24" t="s">
        <v>266</v>
      </c>
      <c r="O24" t="str">
        <f t="shared" si="0"/>
        <v>Derek Stepan</v>
      </c>
      <c r="P24" s="18">
        <v>61</v>
      </c>
      <c r="R24" s="3" t="s">
        <v>270</v>
      </c>
      <c r="S24" s="3" t="s">
        <v>271</v>
      </c>
      <c r="T24" t="str">
        <f t="shared" si="1"/>
        <v>Kristopher Letang</v>
      </c>
      <c r="U24" t="e">
        <f t="shared" si="2"/>
        <v>#N/A</v>
      </c>
      <c r="V24" t="e">
        <v>#N/A</v>
      </c>
    </row>
    <row r="25" spans="1:22" ht="45" x14ac:dyDescent="0.25">
      <c r="A25" s="19" t="s">
        <v>739</v>
      </c>
      <c r="B25" s="20">
        <v>78</v>
      </c>
      <c r="C25" s="20">
        <v>28</v>
      </c>
      <c r="D25" s="20">
        <v>53</v>
      </c>
      <c r="E25" s="20">
        <v>82</v>
      </c>
      <c r="F25" s="20">
        <v>-25</v>
      </c>
      <c r="G25" s="20">
        <v>11</v>
      </c>
      <c r="H25" s="20">
        <v>0</v>
      </c>
      <c r="I25" s="20">
        <v>29</v>
      </c>
      <c r="J25" s="20">
        <v>233</v>
      </c>
      <c r="M25" t="s">
        <v>160</v>
      </c>
      <c r="N25" t="s">
        <v>161</v>
      </c>
      <c r="O25" t="str">
        <f t="shared" si="0"/>
        <v>Connor McDavid</v>
      </c>
      <c r="P25" s="20">
        <v>82</v>
      </c>
      <c r="R25" s="4" t="s">
        <v>220</v>
      </c>
      <c r="S25" s="4" t="s">
        <v>221</v>
      </c>
      <c r="T25" t="str">
        <f t="shared" si="1"/>
        <v>Auston Matthews</v>
      </c>
      <c r="U25">
        <f t="shared" si="2"/>
        <v>37</v>
      </c>
      <c r="V25">
        <v>37</v>
      </c>
    </row>
    <row r="26" spans="1:22" ht="30" x14ac:dyDescent="0.25">
      <c r="A26" s="17" t="s">
        <v>740</v>
      </c>
      <c r="B26" s="18">
        <v>78</v>
      </c>
      <c r="C26" s="18">
        <v>28</v>
      </c>
      <c r="D26" s="18">
        <v>35</v>
      </c>
      <c r="E26" s="18">
        <v>64</v>
      </c>
      <c r="F26" s="18">
        <v>6</v>
      </c>
      <c r="G26" s="18">
        <v>11</v>
      </c>
      <c r="H26" s="18">
        <v>0</v>
      </c>
      <c r="I26" s="18">
        <v>36</v>
      </c>
      <c r="J26" s="18">
        <v>232</v>
      </c>
      <c r="M26" t="s">
        <v>288</v>
      </c>
      <c r="N26" t="s">
        <v>289</v>
      </c>
      <c r="O26" t="str">
        <f t="shared" si="0"/>
        <v>Brayden Schenn</v>
      </c>
      <c r="P26" s="18">
        <v>64</v>
      </c>
      <c r="R26" s="3" t="s">
        <v>188</v>
      </c>
      <c r="S26" s="3" t="s">
        <v>201</v>
      </c>
      <c r="T26" t="str">
        <f t="shared" si="1"/>
        <v>Ryan Johansen</v>
      </c>
      <c r="U26">
        <f t="shared" si="2"/>
        <v>64</v>
      </c>
      <c r="V26">
        <v>64</v>
      </c>
    </row>
    <row r="27" spans="1:22" ht="45" x14ac:dyDescent="0.25">
      <c r="A27" s="19" t="s">
        <v>741</v>
      </c>
      <c r="B27" s="20">
        <v>78</v>
      </c>
      <c r="C27" s="20">
        <v>32</v>
      </c>
      <c r="D27" s="20">
        <v>26</v>
      </c>
      <c r="E27" s="20">
        <v>58</v>
      </c>
      <c r="F27" s="20">
        <v>9</v>
      </c>
      <c r="G27" s="20">
        <v>10</v>
      </c>
      <c r="H27" s="20">
        <v>0</v>
      </c>
      <c r="I27" s="20">
        <v>22</v>
      </c>
      <c r="J27" s="20">
        <v>227</v>
      </c>
      <c r="M27" t="s">
        <v>233</v>
      </c>
      <c r="N27" t="s">
        <v>234</v>
      </c>
      <c r="O27" t="str">
        <f t="shared" si="0"/>
        <v>Alex Galchenyuk</v>
      </c>
      <c r="P27" s="20">
        <v>58</v>
      </c>
      <c r="R27" s="4" t="s">
        <v>294</v>
      </c>
      <c r="S27" s="4" t="s">
        <v>295</v>
      </c>
      <c r="T27" t="str">
        <f t="shared" si="1"/>
        <v>Vincent Trocheck</v>
      </c>
      <c r="U27">
        <f t="shared" si="2"/>
        <v>55</v>
      </c>
      <c r="V27">
        <v>55</v>
      </c>
    </row>
    <row r="28" spans="1:22" ht="45" x14ac:dyDescent="0.25">
      <c r="A28" s="17" t="s">
        <v>742</v>
      </c>
      <c r="B28" s="18">
        <v>78</v>
      </c>
      <c r="C28" s="18">
        <v>22</v>
      </c>
      <c r="D28" s="18">
        <v>26</v>
      </c>
      <c r="E28" s="18">
        <v>48</v>
      </c>
      <c r="F28" s="18">
        <v>38</v>
      </c>
      <c r="G28" s="18">
        <v>9</v>
      </c>
      <c r="H28" s="18">
        <v>0</v>
      </c>
      <c r="I28" s="18">
        <v>86</v>
      </c>
      <c r="J28" s="18">
        <v>225</v>
      </c>
      <c r="M28" t="s">
        <v>1228</v>
      </c>
      <c r="N28" t="s">
        <v>1229</v>
      </c>
      <c r="O28" t="str">
        <f t="shared" si="0"/>
        <v>Antoine Vermette</v>
      </c>
      <c r="P28" s="18">
        <v>48</v>
      </c>
      <c r="R28" s="3" t="s">
        <v>233</v>
      </c>
      <c r="S28" s="3" t="s">
        <v>234</v>
      </c>
      <c r="T28" t="str">
        <f t="shared" si="1"/>
        <v>Alex Galchenyuk</v>
      </c>
      <c r="U28">
        <f t="shared" si="2"/>
        <v>58</v>
      </c>
      <c r="V28">
        <v>58</v>
      </c>
    </row>
    <row r="29" spans="1:22" ht="45" x14ac:dyDescent="0.25">
      <c r="A29" s="19" t="s">
        <v>743</v>
      </c>
      <c r="B29" s="20">
        <v>78</v>
      </c>
      <c r="C29" s="20">
        <v>34</v>
      </c>
      <c r="D29" s="20">
        <v>30</v>
      </c>
      <c r="E29" s="20">
        <v>64</v>
      </c>
      <c r="F29" s="20">
        <v>-7</v>
      </c>
      <c r="G29" s="20">
        <v>8</v>
      </c>
      <c r="H29" s="20">
        <v>0</v>
      </c>
      <c r="I29" s="20">
        <v>26</v>
      </c>
      <c r="J29" s="20">
        <v>218</v>
      </c>
      <c r="M29" t="s">
        <v>245</v>
      </c>
      <c r="N29" t="s">
        <v>246</v>
      </c>
      <c r="O29" t="str">
        <f t="shared" si="0"/>
        <v>Matt Duchene</v>
      </c>
      <c r="P29" s="20">
        <v>64</v>
      </c>
      <c r="R29" s="4" t="s">
        <v>310</v>
      </c>
      <c r="S29" s="4" t="s">
        <v>311</v>
      </c>
      <c r="T29" t="str">
        <f t="shared" si="1"/>
        <v>Andrew Ladd</v>
      </c>
      <c r="U29">
        <f t="shared" si="2"/>
        <v>49</v>
      </c>
      <c r="V29">
        <v>49</v>
      </c>
    </row>
    <row r="30" spans="1:22" ht="45" x14ac:dyDescent="0.25">
      <c r="A30" s="17" t="s">
        <v>744</v>
      </c>
      <c r="B30" s="18">
        <v>78</v>
      </c>
      <c r="C30" s="18">
        <v>27</v>
      </c>
      <c r="D30" s="18">
        <v>32</v>
      </c>
      <c r="E30" s="18">
        <v>60</v>
      </c>
      <c r="F30" s="18">
        <v>1</v>
      </c>
      <c r="G30" s="18">
        <v>11</v>
      </c>
      <c r="H30" s="18">
        <v>0</v>
      </c>
      <c r="I30" s="18">
        <v>18</v>
      </c>
      <c r="J30" s="18">
        <v>216</v>
      </c>
      <c r="M30" t="s">
        <v>210</v>
      </c>
      <c r="N30" t="s">
        <v>211</v>
      </c>
      <c r="O30" t="str">
        <f t="shared" si="0"/>
        <v>Sean Monahan</v>
      </c>
      <c r="P30" s="18">
        <v>60</v>
      </c>
      <c r="R30" s="3" t="s">
        <v>302</v>
      </c>
      <c r="S30" s="3" t="s">
        <v>188</v>
      </c>
      <c r="T30" t="str">
        <f t="shared" si="1"/>
        <v>Bobby Ryan</v>
      </c>
      <c r="U30">
        <f t="shared" si="2"/>
        <v>60</v>
      </c>
      <c r="V30">
        <v>60</v>
      </c>
    </row>
    <row r="31" spans="1:22" ht="45" x14ac:dyDescent="0.25">
      <c r="A31" s="19" t="s">
        <v>745</v>
      </c>
      <c r="B31" s="20">
        <v>78</v>
      </c>
      <c r="C31" s="20">
        <v>22</v>
      </c>
      <c r="D31" s="20">
        <v>32</v>
      </c>
      <c r="E31" s="20">
        <v>54</v>
      </c>
      <c r="F31" s="20">
        <v>23</v>
      </c>
      <c r="G31" s="20">
        <v>8</v>
      </c>
      <c r="H31" s="20">
        <v>1</v>
      </c>
      <c r="I31" s="20">
        <v>15</v>
      </c>
      <c r="J31" s="20">
        <v>212</v>
      </c>
      <c r="M31" t="s">
        <v>284</v>
      </c>
      <c r="N31" t="s">
        <v>285</v>
      </c>
      <c r="O31" t="str">
        <f t="shared" si="0"/>
        <v>Mika Zibanejad</v>
      </c>
      <c r="P31" s="20">
        <v>54</v>
      </c>
      <c r="R31" s="4" t="s">
        <v>260</v>
      </c>
      <c r="S31" s="4" t="s">
        <v>261</v>
      </c>
      <c r="T31" t="str">
        <f t="shared" si="1"/>
        <v>Jaden Schwartz</v>
      </c>
      <c r="U31">
        <f t="shared" si="2"/>
        <v>49</v>
      </c>
      <c r="V31">
        <v>49</v>
      </c>
    </row>
    <row r="32" spans="1:22" ht="30" x14ac:dyDescent="0.25">
      <c r="A32" s="17" t="s">
        <v>746</v>
      </c>
      <c r="B32" s="18">
        <v>78</v>
      </c>
      <c r="C32" s="18">
        <v>32</v>
      </c>
      <c r="D32" s="18">
        <v>32</v>
      </c>
      <c r="E32" s="18">
        <v>65</v>
      </c>
      <c r="F32" s="18">
        <v>-22</v>
      </c>
      <c r="G32" s="18">
        <v>10</v>
      </c>
      <c r="H32" s="18">
        <v>1</v>
      </c>
      <c r="I32" s="18">
        <v>11</v>
      </c>
      <c r="J32" s="18">
        <v>210</v>
      </c>
      <c r="M32" t="s">
        <v>190</v>
      </c>
      <c r="N32" t="s">
        <v>191</v>
      </c>
      <c r="O32" t="str">
        <f t="shared" si="0"/>
        <v>Aleksander Barkov</v>
      </c>
      <c r="P32" s="18">
        <v>65</v>
      </c>
      <c r="R32" s="3" t="s">
        <v>198</v>
      </c>
      <c r="S32" s="3" t="s">
        <v>199</v>
      </c>
      <c r="T32" t="str">
        <f t="shared" si="1"/>
        <v>Artemi Panarin</v>
      </c>
      <c r="U32">
        <f t="shared" si="2"/>
        <v>84</v>
      </c>
      <c r="V32">
        <v>84</v>
      </c>
    </row>
    <row r="33" spans="1:22" ht="45" x14ac:dyDescent="0.25">
      <c r="A33" s="19" t="s">
        <v>747</v>
      </c>
      <c r="B33" s="20">
        <v>78</v>
      </c>
      <c r="C33" s="20">
        <v>15</v>
      </c>
      <c r="D33" s="20">
        <v>40</v>
      </c>
      <c r="E33" s="20">
        <v>55</v>
      </c>
      <c r="F33" s="20">
        <v>15</v>
      </c>
      <c r="G33" s="20">
        <v>8</v>
      </c>
      <c r="H33" s="20">
        <v>0</v>
      </c>
      <c r="I33" s="20">
        <v>40</v>
      </c>
      <c r="J33" s="20">
        <v>207</v>
      </c>
      <c r="M33" t="s">
        <v>365</v>
      </c>
      <c r="N33" t="s">
        <v>366</v>
      </c>
      <c r="O33" t="str">
        <f t="shared" si="0"/>
        <v>Tomas Plekanec</v>
      </c>
      <c r="P33" s="20">
        <v>55</v>
      </c>
      <c r="R33" s="4" t="s">
        <v>166</v>
      </c>
      <c r="S33" s="4" t="s">
        <v>316</v>
      </c>
      <c r="T33" t="str">
        <f t="shared" si="1"/>
        <v>Tyler Johnson</v>
      </c>
      <c r="U33">
        <f t="shared" si="2"/>
        <v>60</v>
      </c>
      <c r="V33">
        <v>60</v>
      </c>
    </row>
    <row r="34" spans="1:22" ht="45" x14ac:dyDescent="0.25">
      <c r="A34" s="17" t="s">
        <v>748</v>
      </c>
      <c r="B34" s="18">
        <v>78</v>
      </c>
      <c r="C34" s="18">
        <v>24</v>
      </c>
      <c r="D34" s="18">
        <v>33</v>
      </c>
      <c r="E34" s="18">
        <v>58</v>
      </c>
      <c r="F34" s="18">
        <v>-12</v>
      </c>
      <c r="G34" s="18">
        <v>9</v>
      </c>
      <c r="H34" s="18">
        <v>0</v>
      </c>
      <c r="I34" s="18">
        <v>24</v>
      </c>
      <c r="J34" s="18">
        <v>207</v>
      </c>
      <c r="M34" t="s">
        <v>235</v>
      </c>
      <c r="N34" t="s">
        <v>236</v>
      </c>
      <c r="O34" t="str">
        <f t="shared" si="0"/>
        <v>Nathan MacKinnon</v>
      </c>
      <c r="P34" s="18">
        <v>58</v>
      </c>
      <c r="R34" s="3" t="s">
        <v>282</v>
      </c>
      <c r="S34" s="3" t="s">
        <v>283</v>
      </c>
      <c r="T34" t="str">
        <f t="shared" si="1"/>
        <v>Milan Lucic</v>
      </c>
      <c r="U34">
        <f t="shared" si="2"/>
        <v>49</v>
      </c>
      <c r="V34">
        <v>49</v>
      </c>
    </row>
    <row r="35" spans="1:22" ht="30" x14ac:dyDescent="0.25">
      <c r="A35" s="19" t="s">
        <v>749</v>
      </c>
      <c r="B35" s="20">
        <v>78</v>
      </c>
      <c r="C35" s="20">
        <v>25</v>
      </c>
      <c r="D35" s="20">
        <v>27</v>
      </c>
      <c r="E35" s="20">
        <v>53</v>
      </c>
      <c r="F35" s="20">
        <v>15</v>
      </c>
      <c r="G35" s="20">
        <v>5</v>
      </c>
      <c r="H35" s="20">
        <v>0</v>
      </c>
      <c r="I35" s="20">
        <v>17</v>
      </c>
      <c r="J35" s="20">
        <v>205</v>
      </c>
      <c r="M35" t="s">
        <v>399</v>
      </c>
      <c r="N35" t="s">
        <v>400</v>
      </c>
      <c r="O35" t="str">
        <f t="shared" si="0"/>
        <v>Rickard Rakell</v>
      </c>
      <c r="P35" s="20">
        <v>53</v>
      </c>
      <c r="R35" s="4" t="s">
        <v>190</v>
      </c>
      <c r="S35" s="4" t="s">
        <v>191</v>
      </c>
      <c r="T35" t="str">
        <f t="shared" si="1"/>
        <v>Aleksander Barkov</v>
      </c>
      <c r="U35">
        <f t="shared" si="2"/>
        <v>65</v>
      </c>
      <c r="V35">
        <v>65</v>
      </c>
    </row>
    <row r="36" spans="1:22" ht="30" x14ac:dyDescent="0.25">
      <c r="A36" s="17" t="s">
        <v>750</v>
      </c>
      <c r="B36" s="18">
        <v>78</v>
      </c>
      <c r="C36" s="18">
        <v>20</v>
      </c>
      <c r="D36" s="18">
        <v>30</v>
      </c>
      <c r="E36" s="18">
        <v>51</v>
      </c>
      <c r="F36" s="18">
        <v>-19</v>
      </c>
      <c r="G36" s="18">
        <v>9</v>
      </c>
      <c r="H36" s="18">
        <v>0</v>
      </c>
      <c r="I36" s="18">
        <v>94</v>
      </c>
      <c r="J36" s="18">
        <v>200</v>
      </c>
      <c r="M36" t="s">
        <v>404</v>
      </c>
      <c r="N36" t="s">
        <v>405</v>
      </c>
      <c r="O36" t="str">
        <f t="shared" si="0"/>
        <v>Nazem Kadri</v>
      </c>
      <c r="P36" s="18">
        <v>51</v>
      </c>
      <c r="R36" s="3" t="s">
        <v>194</v>
      </c>
      <c r="S36" s="3" t="s">
        <v>195</v>
      </c>
      <c r="T36" t="str">
        <f t="shared" si="1"/>
        <v>Filip Forsberg</v>
      </c>
      <c r="U36">
        <f t="shared" si="2"/>
        <v>64</v>
      </c>
      <c r="V36">
        <v>64</v>
      </c>
    </row>
    <row r="37" spans="1:22" ht="30" x14ac:dyDescent="0.25">
      <c r="A37" s="19" t="s">
        <v>751</v>
      </c>
      <c r="B37" s="20">
        <v>78</v>
      </c>
      <c r="C37" s="20">
        <v>14</v>
      </c>
      <c r="D37" s="20">
        <v>55</v>
      </c>
      <c r="E37" s="20">
        <v>69</v>
      </c>
      <c r="F37" s="20">
        <v>-6</v>
      </c>
      <c r="G37" s="20">
        <v>13</v>
      </c>
      <c r="H37" s="20">
        <v>0</v>
      </c>
      <c r="I37" s="20">
        <v>27</v>
      </c>
      <c r="J37" s="20">
        <v>200</v>
      </c>
      <c r="M37" t="s">
        <v>252</v>
      </c>
      <c r="N37" t="s">
        <v>253</v>
      </c>
      <c r="O37" t="str">
        <f t="shared" si="0"/>
        <v>Henrik Sedin</v>
      </c>
      <c r="P37" s="20">
        <v>69</v>
      </c>
      <c r="R37" s="4" t="s">
        <v>286</v>
      </c>
      <c r="S37" s="4" t="s">
        <v>395</v>
      </c>
      <c r="T37" t="str">
        <f t="shared" si="1"/>
        <v>Dylan Strome</v>
      </c>
      <c r="U37">
        <f t="shared" si="2"/>
        <v>35</v>
      </c>
      <c r="V37">
        <v>35</v>
      </c>
    </row>
    <row r="38" spans="1:22" ht="30" x14ac:dyDescent="0.25">
      <c r="A38" s="17" t="s">
        <v>752</v>
      </c>
      <c r="B38" s="18">
        <v>78</v>
      </c>
      <c r="C38" s="18">
        <v>25</v>
      </c>
      <c r="D38" s="18">
        <v>38</v>
      </c>
      <c r="E38" s="18">
        <v>63</v>
      </c>
      <c r="F38" s="18">
        <v>-17</v>
      </c>
      <c r="G38" s="18">
        <v>10</v>
      </c>
      <c r="H38" s="18">
        <v>1</v>
      </c>
      <c r="I38" s="18">
        <v>14</v>
      </c>
      <c r="J38" s="18">
        <v>199</v>
      </c>
      <c r="M38" t="s">
        <v>280</v>
      </c>
      <c r="N38" t="s">
        <v>281</v>
      </c>
      <c r="O38" t="str">
        <f t="shared" si="0"/>
        <v>Bryan Little</v>
      </c>
      <c r="P38" s="18">
        <v>63</v>
      </c>
      <c r="R38" s="3" t="s">
        <v>226</v>
      </c>
      <c r="S38" s="3" t="s">
        <v>227</v>
      </c>
      <c r="T38" t="str">
        <f t="shared" si="1"/>
        <v>Jordan Eberle</v>
      </c>
      <c r="U38">
        <f t="shared" si="2"/>
        <v>59</v>
      </c>
      <c r="V38">
        <v>59</v>
      </c>
    </row>
    <row r="39" spans="1:22" ht="30" x14ac:dyDescent="0.25">
      <c r="A39" s="19" t="s">
        <v>753</v>
      </c>
      <c r="B39" s="20">
        <v>78</v>
      </c>
      <c r="C39" s="20">
        <v>13</v>
      </c>
      <c r="D39" s="20">
        <v>47</v>
      </c>
      <c r="E39" s="20">
        <v>60</v>
      </c>
      <c r="F39" s="20">
        <v>7</v>
      </c>
      <c r="G39" s="20">
        <v>8</v>
      </c>
      <c r="H39" s="20">
        <v>0</v>
      </c>
      <c r="I39" s="20">
        <v>42</v>
      </c>
      <c r="J39" s="20">
        <v>198</v>
      </c>
      <c r="M39" t="s">
        <v>341</v>
      </c>
      <c r="N39" t="s">
        <v>342</v>
      </c>
      <c r="O39" t="str">
        <f t="shared" si="0"/>
        <v>Paul Stastny</v>
      </c>
      <c r="P39" s="20">
        <v>60</v>
      </c>
      <c r="R39" s="4" t="s">
        <v>164</v>
      </c>
      <c r="S39" s="4" t="s">
        <v>165</v>
      </c>
      <c r="T39" t="str">
        <f t="shared" si="1"/>
        <v>Sidney Crosby</v>
      </c>
      <c r="U39">
        <f t="shared" si="2"/>
        <v>89</v>
      </c>
      <c r="V39">
        <v>89</v>
      </c>
    </row>
    <row r="40" spans="1:22" ht="45" x14ac:dyDescent="0.25">
      <c r="A40" s="17" t="s">
        <v>754</v>
      </c>
      <c r="B40" s="18">
        <v>78</v>
      </c>
      <c r="C40" s="18">
        <v>14</v>
      </c>
      <c r="D40" s="18">
        <v>38</v>
      </c>
      <c r="E40" s="18">
        <v>52</v>
      </c>
      <c r="F40" s="18">
        <v>13</v>
      </c>
      <c r="G40" s="18">
        <v>10</v>
      </c>
      <c r="H40" s="18">
        <v>0</v>
      </c>
      <c r="I40" s="18">
        <v>33</v>
      </c>
      <c r="J40" s="18">
        <v>198</v>
      </c>
      <c r="M40" t="s">
        <v>188</v>
      </c>
      <c r="N40" t="s">
        <v>388</v>
      </c>
      <c r="O40" t="str">
        <f t="shared" si="0"/>
        <v>Ryan Spooner</v>
      </c>
      <c r="P40" s="18">
        <v>52</v>
      </c>
      <c r="R40" s="3" t="s">
        <v>188</v>
      </c>
      <c r="S40" s="3" t="s">
        <v>267</v>
      </c>
      <c r="T40" t="str">
        <f t="shared" si="1"/>
        <v>Ryan Nugent-Hopki…</v>
      </c>
      <c r="U40" t="e">
        <f t="shared" si="2"/>
        <v>#N/A</v>
      </c>
      <c r="V40" t="e">
        <v>#N/A</v>
      </c>
    </row>
    <row r="41" spans="1:22" ht="30" x14ac:dyDescent="0.25">
      <c r="A41" s="19" t="s">
        <v>755</v>
      </c>
      <c r="B41" s="20">
        <v>78</v>
      </c>
      <c r="C41" s="20">
        <v>13</v>
      </c>
      <c r="D41" s="20">
        <v>34</v>
      </c>
      <c r="E41" s="20">
        <v>48</v>
      </c>
      <c r="F41" s="20">
        <v>37</v>
      </c>
      <c r="G41" s="20">
        <v>2</v>
      </c>
      <c r="H41" s="20">
        <v>1</v>
      </c>
      <c r="I41" s="20">
        <v>47</v>
      </c>
      <c r="J41" s="20">
        <v>196</v>
      </c>
      <c r="M41" t="s">
        <v>431</v>
      </c>
      <c r="N41" t="s">
        <v>1231</v>
      </c>
      <c r="O41" t="str">
        <f t="shared" si="0"/>
        <v>Nick Bonino</v>
      </c>
      <c r="P41" s="20">
        <v>48</v>
      </c>
      <c r="R41" s="4" t="s">
        <v>376</v>
      </c>
      <c r="S41" s="4" t="s">
        <v>377</v>
      </c>
      <c r="T41" t="str">
        <f t="shared" si="1"/>
        <v>Thomas Vanek</v>
      </c>
      <c r="U41">
        <f t="shared" si="2"/>
        <v>44</v>
      </c>
      <c r="V41">
        <v>44</v>
      </c>
    </row>
    <row r="42" spans="1:22" ht="45" x14ac:dyDescent="0.25">
      <c r="A42" s="17" t="s">
        <v>756</v>
      </c>
      <c r="B42" s="18">
        <v>78</v>
      </c>
      <c r="C42" s="18">
        <v>24</v>
      </c>
      <c r="D42" s="18">
        <v>22</v>
      </c>
      <c r="E42" s="18">
        <v>47</v>
      </c>
      <c r="F42" s="18">
        <v>29</v>
      </c>
      <c r="G42" s="18">
        <v>5</v>
      </c>
      <c r="H42" s="18">
        <v>2</v>
      </c>
      <c r="I42" s="18">
        <v>15</v>
      </c>
      <c r="J42" s="18">
        <v>193</v>
      </c>
      <c r="M42" t="s">
        <v>455</v>
      </c>
      <c r="N42" t="s">
        <v>456</v>
      </c>
      <c r="O42" t="str">
        <f t="shared" si="0"/>
        <v>Artem Anisimov</v>
      </c>
      <c r="P42" s="18">
        <v>47</v>
      </c>
      <c r="R42" s="3" t="s">
        <v>210</v>
      </c>
      <c r="S42" s="3" t="s">
        <v>403</v>
      </c>
      <c r="T42" t="str">
        <f t="shared" si="1"/>
        <v>Sean Couturier</v>
      </c>
      <c r="U42">
        <f t="shared" si="2"/>
        <v>52</v>
      </c>
      <c r="V42">
        <v>52</v>
      </c>
    </row>
    <row r="43" spans="1:22" ht="45" x14ac:dyDescent="0.25">
      <c r="A43" s="19" t="s">
        <v>757</v>
      </c>
      <c r="B43" s="20">
        <v>78</v>
      </c>
      <c r="C43" s="20">
        <v>25</v>
      </c>
      <c r="D43" s="20">
        <v>29</v>
      </c>
      <c r="E43" s="20">
        <v>55</v>
      </c>
      <c r="F43" s="20">
        <v>-14</v>
      </c>
      <c r="G43" s="20">
        <v>7</v>
      </c>
      <c r="H43" s="20">
        <v>0</v>
      </c>
      <c r="I43" s="20">
        <v>43</v>
      </c>
      <c r="J43" s="20">
        <v>186</v>
      </c>
      <c r="M43" t="s">
        <v>294</v>
      </c>
      <c r="N43" t="s">
        <v>295</v>
      </c>
      <c r="O43" t="str">
        <f t="shared" si="0"/>
        <v>Vincent Trocheck</v>
      </c>
      <c r="P43" s="20">
        <v>55</v>
      </c>
      <c r="R43" s="4" t="s">
        <v>162</v>
      </c>
      <c r="S43" s="4" t="s">
        <v>394</v>
      </c>
      <c r="T43" t="str">
        <f t="shared" si="1"/>
        <v>Patrick Marleau</v>
      </c>
      <c r="U43">
        <f t="shared" si="2"/>
        <v>47</v>
      </c>
      <c r="V43">
        <v>47</v>
      </c>
    </row>
    <row r="44" spans="1:22" ht="30" x14ac:dyDescent="0.25">
      <c r="A44" s="17" t="s">
        <v>758</v>
      </c>
      <c r="B44" s="18">
        <v>78</v>
      </c>
      <c r="C44" s="18">
        <v>24</v>
      </c>
      <c r="D44" s="18">
        <v>22</v>
      </c>
      <c r="E44" s="18">
        <v>47</v>
      </c>
      <c r="F44" s="18">
        <v>3</v>
      </c>
      <c r="G44" s="18">
        <v>2</v>
      </c>
      <c r="H44" s="18">
        <v>0</v>
      </c>
      <c r="I44" s="18">
        <v>47</v>
      </c>
      <c r="J44" s="18">
        <v>184</v>
      </c>
      <c r="M44" t="s">
        <v>286</v>
      </c>
      <c r="N44" t="s">
        <v>287</v>
      </c>
      <c r="O44" t="str">
        <f t="shared" si="0"/>
        <v>Dylan Larkin</v>
      </c>
      <c r="P44" s="18">
        <v>47</v>
      </c>
      <c r="R44" s="3" t="s">
        <v>170</v>
      </c>
      <c r="S44" s="3" t="s">
        <v>355</v>
      </c>
      <c r="T44" t="str">
        <f t="shared" si="1"/>
        <v>John Carlson</v>
      </c>
      <c r="U44">
        <f t="shared" si="2"/>
        <v>63</v>
      </c>
      <c r="V44">
        <v>63</v>
      </c>
    </row>
    <row r="45" spans="1:22" ht="45" x14ac:dyDescent="0.25">
      <c r="A45" s="19" t="s">
        <v>759</v>
      </c>
      <c r="B45" s="20">
        <v>78</v>
      </c>
      <c r="C45" s="20">
        <v>34</v>
      </c>
      <c r="D45" s="20">
        <v>22</v>
      </c>
      <c r="E45" s="20">
        <v>56</v>
      </c>
      <c r="F45" s="20">
        <v>-12</v>
      </c>
      <c r="G45" s="20">
        <v>5</v>
      </c>
      <c r="H45" s="20">
        <v>1</v>
      </c>
      <c r="I45" s="20">
        <v>23</v>
      </c>
      <c r="J45" s="20">
        <v>182</v>
      </c>
      <c r="M45" t="s">
        <v>339</v>
      </c>
      <c r="N45" t="s">
        <v>340</v>
      </c>
      <c r="O45" t="str">
        <f t="shared" si="0"/>
        <v>Adam Henrique</v>
      </c>
      <c r="P45" s="20">
        <v>56</v>
      </c>
      <c r="R45" s="4" t="s">
        <v>206</v>
      </c>
      <c r="S45" s="4" t="s">
        <v>207</v>
      </c>
      <c r="T45" t="str">
        <f t="shared" si="1"/>
        <v>Evgeny Kuznetsov</v>
      </c>
      <c r="U45">
        <f t="shared" si="2"/>
        <v>71</v>
      </c>
      <c r="V45">
        <v>71</v>
      </c>
    </row>
    <row r="46" spans="1:22" ht="45" x14ac:dyDescent="0.25">
      <c r="A46" s="17" t="s">
        <v>760</v>
      </c>
      <c r="B46" s="18">
        <v>78</v>
      </c>
      <c r="C46" s="18">
        <v>6</v>
      </c>
      <c r="D46" s="18">
        <v>43</v>
      </c>
      <c r="E46" s="18">
        <v>50</v>
      </c>
      <c r="F46" s="18">
        <v>22</v>
      </c>
      <c r="G46" s="18">
        <v>8</v>
      </c>
      <c r="H46" s="18">
        <v>0</v>
      </c>
      <c r="I46" s="18">
        <v>64</v>
      </c>
      <c r="J46" s="18">
        <v>178</v>
      </c>
      <c r="M46" t="s">
        <v>290</v>
      </c>
      <c r="N46" t="s">
        <v>435</v>
      </c>
      <c r="O46" t="str">
        <f t="shared" si="0"/>
        <v>Mike Ribeiro</v>
      </c>
      <c r="P46" s="18">
        <v>50</v>
      </c>
      <c r="R46" s="3" t="s">
        <v>378</v>
      </c>
      <c r="S46" s="3" t="s">
        <v>373</v>
      </c>
      <c r="T46" t="str">
        <f t="shared" si="1"/>
        <v>Eric Staal</v>
      </c>
      <c r="U46">
        <f t="shared" si="2"/>
        <v>36</v>
      </c>
      <c r="V46">
        <v>36</v>
      </c>
    </row>
    <row r="47" spans="1:22" ht="30" x14ac:dyDescent="0.25">
      <c r="A47" s="19" t="s">
        <v>761</v>
      </c>
      <c r="B47" s="20">
        <v>78</v>
      </c>
      <c r="C47" s="20">
        <v>26</v>
      </c>
      <c r="D47" s="20">
        <v>12</v>
      </c>
      <c r="E47" s="20">
        <v>38</v>
      </c>
      <c r="F47" s="20">
        <v>18</v>
      </c>
      <c r="G47" s="20">
        <v>3</v>
      </c>
      <c r="H47" s="20">
        <v>3</v>
      </c>
      <c r="I47" s="20">
        <v>82</v>
      </c>
      <c r="J47" s="20">
        <v>176</v>
      </c>
      <c r="M47" t="s">
        <v>1232</v>
      </c>
      <c r="N47" t="s">
        <v>429</v>
      </c>
      <c r="O47" t="str">
        <f t="shared" si="0"/>
        <v>Zack Smith</v>
      </c>
      <c r="P47" s="20">
        <v>38</v>
      </c>
      <c r="R47" s="4" t="s">
        <v>160</v>
      </c>
      <c r="S47" s="4" t="s">
        <v>161</v>
      </c>
      <c r="T47" t="str">
        <f t="shared" si="1"/>
        <v>Connor McDavid</v>
      </c>
      <c r="U47">
        <f t="shared" si="2"/>
        <v>82</v>
      </c>
      <c r="V47">
        <v>82</v>
      </c>
    </row>
    <row r="48" spans="1:22" ht="30" x14ac:dyDescent="0.25">
      <c r="A48" s="17" t="s">
        <v>762</v>
      </c>
      <c r="B48" s="18">
        <v>78</v>
      </c>
      <c r="C48" s="18">
        <v>21</v>
      </c>
      <c r="D48" s="18">
        <v>28</v>
      </c>
      <c r="E48" s="18">
        <v>50</v>
      </c>
      <c r="F48" s="18">
        <v>10</v>
      </c>
      <c r="G48" s="18">
        <v>5</v>
      </c>
      <c r="H48" s="18">
        <v>0</v>
      </c>
      <c r="I48" s="18">
        <v>28</v>
      </c>
      <c r="J48" s="18">
        <v>176</v>
      </c>
      <c r="M48" t="s">
        <v>415</v>
      </c>
      <c r="N48" t="s">
        <v>416</v>
      </c>
      <c r="O48" t="str">
        <f t="shared" si="0"/>
        <v>Robby Fabbri</v>
      </c>
      <c r="P48" s="18">
        <v>50</v>
      </c>
      <c r="R48" s="3" t="s">
        <v>345</v>
      </c>
      <c r="S48" s="3" t="s">
        <v>346</v>
      </c>
      <c r="T48" t="str">
        <f t="shared" si="1"/>
        <v>Rick Nash</v>
      </c>
      <c r="U48">
        <f t="shared" si="2"/>
        <v>51</v>
      </c>
      <c r="V48">
        <v>51</v>
      </c>
    </row>
    <row r="49" spans="1:22" ht="30" x14ac:dyDescent="0.25">
      <c r="A49" s="19" t="s">
        <v>763</v>
      </c>
      <c r="B49" s="20">
        <v>78</v>
      </c>
      <c r="C49" s="20">
        <v>22</v>
      </c>
      <c r="D49" s="20">
        <v>23</v>
      </c>
      <c r="E49" s="20">
        <v>45</v>
      </c>
      <c r="F49" s="20">
        <v>18</v>
      </c>
      <c r="G49" s="20">
        <v>2</v>
      </c>
      <c r="H49" s="20">
        <v>0</v>
      </c>
      <c r="I49" s="20">
        <v>50</v>
      </c>
      <c r="J49" s="20">
        <v>176</v>
      </c>
      <c r="M49" t="s">
        <v>413</v>
      </c>
      <c r="N49" t="s">
        <v>414</v>
      </c>
      <c r="O49" t="str">
        <f t="shared" si="0"/>
        <v>J.T. Miller</v>
      </c>
      <c r="P49" s="20">
        <v>45</v>
      </c>
      <c r="R49" s="4" t="s">
        <v>254</v>
      </c>
      <c r="S49" s="4" t="s">
        <v>258</v>
      </c>
      <c r="T49" t="str">
        <f t="shared" si="1"/>
        <v>Kyle Okposo</v>
      </c>
      <c r="U49">
        <f t="shared" si="2"/>
        <v>54</v>
      </c>
      <c r="V49">
        <v>54</v>
      </c>
    </row>
    <row r="50" spans="1:22" ht="45" x14ac:dyDescent="0.25">
      <c r="A50" s="17" t="s">
        <v>764</v>
      </c>
      <c r="B50" s="18">
        <v>78</v>
      </c>
      <c r="C50" s="18">
        <v>11</v>
      </c>
      <c r="D50" s="18">
        <v>40</v>
      </c>
      <c r="E50" s="18">
        <v>51</v>
      </c>
      <c r="F50" s="18">
        <v>-8</v>
      </c>
      <c r="G50" s="18">
        <v>12</v>
      </c>
      <c r="H50" s="18">
        <v>0</v>
      </c>
      <c r="I50" s="18">
        <v>37</v>
      </c>
      <c r="J50" s="18">
        <v>172</v>
      </c>
      <c r="M50" t="s">
        <v>1233</v>
      </c>
      <c r="N50" t="s">
        <v>1234</v>
      </c>
      <c r="O50" t="str">
        <f t="shared" si="0"/>
        <v>Mathieu Perreault</v>
      </c>
      <c r="P50" s="18">
        <v>51</v>
      </c>
      <c r="R50" s="3" t="s">
        <v>397</v>
      </c>
      <c r="S50" s="3" t="s">
        <v>398</v>
      </c>
      <c r="T50" t="str">
        <f t="shared" si="1"/>
        <v>Sam Reinhart</v>
      </c>
      <c r="U50">
        <f t="shared" si="2"/>
        <v>41</v>
      </c>
      <c r="V50">
        <v>41</v>
      </c>
    </row>
    <row r="51" spans="1:22" ht="45" x14ac:dyDescent="0.25">
      <c r="A51" s="19" t="s">
        <v>765</v>
      </c>
      <c r="B51" s="20">
        <v>78</v>
      </c>
      <c r="C51" s="20">
        <v>15</v>
      </c>
      <c r="D51" s="20">
        <v>36</v>
      </c>
      <c r="E51" s="20">
        <v>52</v>
      </c>
      <c r="F51" s="20">
        <v>1</v>
      </c>
      <c r="G51" s="20">
        <v>4</v>
      </c>
      <c r="H51" s="20">
        <v>0</v>
      </c>
      <c r="I51" s="20">
        <v>37</v>
      </c>
      <c r="J51" s="20">
        <v>172</v>
      </c>
      <c r="M51" t="s">
        <v>210</v>
      </c>
      <c r="N51" t="s">
        <v>403</v>
      </c>
      <c r="O51" t="str">
        <f t="shared" si="0"/>
        <v>Sean Couturier</v>
      </c>
      <c r="P51" s="20">
        <v>52</v>
      </c>
      <c r="R51" s="4" t="s">
        <v>312</v>
      </c>
      <c r="S51" s="4" t="s">
        <v>313</v>
      </c>
      <c r="T51" t="str">
        <f t="shared" si="1"/>
        <v>Brendan Gallagher</v>
      </c>
      <c r="U51">
        <f t="shared" si="2"/>
        <v>57</v>
      </c>
      <c r="V51">
        <v>57</v>
      </c>
    </row>
    <row r="52" spans="1:22" ht="45" x14ac:dyDescent="0.25">
      <c r="A52" s="17" t="s">
        <v>766</v>
      </c>
      <c r="B52" s="18">
        <v>78</v>
      </c>
      <c r="C52" s="18">
        <v>19</v>
      </c>
      <c r="D52" s="18">
        <v>33</v>
      </c>
      <c r="E52" s="18">
        <v>52</v>
      </c>
      <c r="F52" s="18">
        <v>-18</v>
      </c>
      <c r="G52" s="18">
        <v>6</v>
      </c>
      <c r="H52" s="18">
        <v>0</v>
      </c>
      <c r="I52" s="18">
        <v>75</v>
      </c>
      <c r="J52" s="18">
        <v>171</v>
      </c>
      <c r="M52" t="s">
        <v>303</v>
      </c>
      <c r="N52" t="s">
        <v>406</v>
      </c>
      <c r="O52" t="str">
        <f t="shared" si="0"/>
        <v>Brandon Dubinsky</v>
      </c>
      <c r="P52" s="18">
        <v>52</v>
      </c>
      <c r="R52" s="3" t="s">
        <v>166</v>
      </c>
      <c r="S52" s="3" t="s">
        <v>167</v>
      </c>
      <c r="T52" t="str">
        <f t="shared" si="1"/>
        <v>Tyler Seguin</v>
      </c>
      <c r="U52">
        <f t="shared" si="2"/>
        <v>82</v>
      </c>
      <c r="V52">
        <v>82</v>
      </c>
    </row>
    <row r="53" spans="1:22" ht="30" x14ac:dyDescent="0.25">
      <c r="A53" s="19" t="s">
        <v>767</v>
      </c>
      <c r="B53" s="20">
        <v>78</v>
      </c>
      <c r="C53" s="20">
        <v>20</v>
      </c>
      <c r="D53" s="20">
        <v>21</v>
      </c>
      <c r="E53" s="20">
        <v>42</v>
      </c>
      <c r="F53" s="20">
        <v>3</v>
      </c>
      <c r="G53" s="20">
        <v>8</v>
      </c>
      <c r="H53" s="20">
        <v>0</v>
      </c>
      <c r="I53" s="20">
        <v>36</v>
      </c>
      <c r="J53" s="20">
        <v>171</v>
      </c>
      <c r="M53" t="s">
        <v>303</v>
      </c>
      <c r="N53" t="s">
        <v>1235</v>
      </c>
      <c r="O53" t="str">
        <f t="shared" si="0"/>
        <v>Brandon Pirri</v>
      </c>
      <c r="P53" s="20">
        <v>42</v>
      </c>
      <c r="R53" s="4" t="s">
        <v>202</v>
      </c>
      <c r="S53" s="4" t="s">
        <v>203</v>
      </c>
      <c r="T53" t="str">
        <f t="shared" si="1"/>
        <v>Evgeni Malkin</v>
      </c>
      <c r="U53">
        <f t="shared" si="2"/>
        <v>90</v>
      </c>
      <c r="V53">
        <v>90</v>
      </c>
    </row>
    <row r="54" spans="1:22" ht="60" x14ac:dyDescent="0.25">
      <c r="A54" s="17" t="s">
        <v>768</v>
      </c>
      <c r="B54" s="18">
        <v>78</v>
      </c>
      <c r="C54" s="18">
        <v>20</v>
      </c>
      <c r="D54" s="18">
        <v>25</v>
      </c>
      <c r="E54" s="18">
        <v>45</v>
      </c>
      <c r="F54" s="18">
        <v>19</v>
      </c>
      <c r="G54" s="18">
        <v>1</v>
      </c>
      <c r="H54" s="18">
        <v>4</v>
      </c>
      <c r="I54" s="18">
        <v>26</v>
      </c>
      <c r="J54" s="18">
        <v>170</v>
      </c>
      <c r="M54" t="s">
        <v>1236</v>
      </c>
      <c r="N54" t="s">
        <v>1237</v>
      </c>
      <c r="O54" t="str">
        <f t="shared" si="0"/>
        <v>Jean-Gabriel Pageau</v>
      </c>
      <c r="P54" s="18">
        <v>45</v>
      </c>
      <c r="R54" s="3" t="s">
        <v>392</v>
      </c>
      <c r="S54" s="3" t="s">
        <v>393</v>
      </c>
      <c r="T54" t="str">
        <f t="shared" si="1"/>
        <v>Scott Hartnell</v>
      </c>
      <c r="U54">
        <f t="shared" si="2"/>
        <v>50</v>
      </c>
      <c r="V54">
        <v>50</v>
      </c>
    </row>
    <row r="55" spans="1:22" ht="30" x14ac:dyDescent="0.25">
      <c r="A55" s="19" t="s">
        <v>769</v>
      </c>
      <c r="B55" s="20">
        <v>78</v>
      </c>
      <c r="C55" s="20">
        <v>18</v>
      </c>
      <c r="D55" s="20">
        <v>36</v>
      </c>
      <c r="E55" s="20">
        <v>55</v>
      </c>
      <c r="F55" s="20">
        <v>-23</v>
      </c>
      <c r="G55" s="20">
        <v>11</v>
      </c>
      <c r="H55" s="20">
        <v>0</v>
      </c>
      <c r="I55" s="20">
        <v>51</v>
      </c>
      <c r="J55" s="20">
        <v>170</v>
      </c>
      <c r="M55" t="s">
        <v>360</v>
      </c>
      <c r="N55" t="s">
        <v>361</v>
      </c>
      <c r="O55" t="str">
        <f t="shared" si="0"/>
        <v>Mikko Koivu</v>
      </c>
      <c r="P55" s="20">
        <v>55</v>
      </c>
      <c r="R55" s="4" t="s">
        <v>329</v>
      </c>
      <c r="S55" s="4" t="s">
        <v>330</v>
      </c>
      <c r="T55" t="str">
        <f t="shared" si="1"/>
        <v>Cam Atkinson</v>
      </c>
      <c r="U55">
        <f t="shared" si="2"/>
        <v>53</v>
      </c>
      <c r="V55">
        <v>53</v>
      </c>
    </row>
    <row r="56" spans="1:22" ht="45" x14ac:dyDescent="0.25">
      <c r="A56" s="17" t="s">
        <v>770</v>
      </c>
      <c r="B56" s="18">
        <v>78</v>
      </c>
      <c r="C56" s="18">
        <v>20</v>
      </c>
      <c r="D56" s="18">
        <v>29</v>
      </c>
      <c r="E56" s="18">
        <v>50</v>
      </c>
      <c r="F56" s="18">
        <v>-17</v>
      </c>
      <c r="G56" s="18">
        <v>12</v>
      </c>
      <c r="H56" s="18">
        <v>0</v>
      </c>
      <c r="I56" s="18">
        <v>13</v>
      </c>
      <c r="J56" s="18">
        <v>167</v>
      </c>
      <c r="M56" t="s">
        <v>331</v>
      </c>
      <c r="N56" t="s">
        <v>332</v>
      </c>
      <c r="O56" t="str">
        <f t="shared" si="0"/>
        <v>Frans Nielsen</v>
      </c>
      <c r="P56" s="18">
        <v>50</v>
      </c>
      <c r="R56" s="3" t="s">
        <v>212</v>
      </c>
      <c r="S56" s="3" t="s">
        <v>213</v>
      </c>
      <c r="T56" t="str">
        <f t="shared" si="1"/>
        <v>Jakub Voracek</v>
      </c>
      <c r="U56">
        <f t="shared" si="2"/>
        <v>66</v>
      </c>
      <c r="V56">
        <v>66</v>
      </c>
    </row>
    <row r="57" spans="1:22" ht="45" x14ac:dyDescent="0.25">
      <c r="A57" s="19" t="s">
        <v>771</v>
      </c>
      <c r="B57" s="20">
        <v>78</v>
      </c>
      <c r="C57" s="20">
        <v>23</v>
      </c>
      <c r="D57" s="20">
        <v>42</v>
      </c>
      <c r="E57" s="20">
        <v>65</v>
      </c>
      <c r="F57" s="20">
        <v>-46</v>
      </c>
      <c r="G57" s="20">
        <v>11</v>
      </c>
      <c r="H57" s="20">
        <v>0</v>
      </c>
      <c r="I57" s="20">
        <v>10</v>
      </c>
      <c r="J57" s="20">
        <v>167</v>
      </c>
      <c r="M57" t="s">
        <v>188</v>
      </c>
      <c r="N57" t="s">
        <v>241</v>
      </c>
      <c r="O57" t="str">
        <f t="shared" si="0"/>
        <v>Ryan O'Reilly</v>
      </c>
      <c r="P57" s="20">
        <v>65</v>
      </c>
      <c r="R57" s="4" t="s">
        <v>231</v>
      </c>
      <c r="S57" s="4" t="s">
        <v>232</v>
      </c>
      <c r="T57" t="str">
        <f t="shared" si="1"/>
        <v>David Krejci</v>
      </c>
      <c r="U57">
        <f t="shared" si="2"/>
        <v>73</v>
      </c>
      <c r="V57">
        <v>73</v>
      </c>
    </row>
    <row r="58" spans="1:22" ht="30" x14ac:dyDescent="0.25">
      <c r="A58" s="17" t="s">
        <v>772</v>
      </c>
      <c r="B58" s="18">
        <v>78</v>
      </c>
      <c r="C58" s="18">
        <v>18</v>
      </c>
      <c r="D58" s="18">
        <v>33</v>
      </c>
      <c r="E58" s="18">
        <v>51</v>
      </c>
      <c r="F58" s="18">
        <v>-13</v>
      </c>
      <c r="G58" s="18">
        <v>7</v>
      </c>
      <c r="H58" s="18">
        <v>0</v>
      </c>
      <c r="I58" s="18">
        <v>61</v>
      </c>
      <c r="J58" s="18">
        <v>167</v>
      </c>
      <c r="M58" t="s">
        <v>216</v>
      </c>
      <c r="N58" t="s">
        <v>259</v>
      </c>
      <c r="O58" t="str">
        <f t="shared" si="0"/>
        <v>Max Domi</v>
      </c>
      <c r="P58" s="18">
        <v>51</v>
      </c>
      <c r="R58" s="3" t="s">
        <v>228</v>
      </c>
      <c r="S58" s="3" t="s">
        <v>229</v>
      </c>
      <c r="T58" t="str">
        <f t="shared" si="1"/>
        <v>Logan Couture</v>
      </c>
      <c r="U58">
        <f t="shared" si="2"/>
        <v>68</v>
      </c>
      <c r="V58">
        <v>68</v>
      </c>
    </row>
    <row r="59" spans="1:22" ht="45" x14ac:dyDescent="0.25">
      <c r="A59" s="19" t="s">
        <v>773</v>
      </c>
      <c r="B59" s="20">
        <v>78</v>
      </c>
      <c r="C59" s="20">
        <v>20</v>
      </c>
      <c r="D59" s="20">
        <v>23</v>
      </c>
      <c r="E59" s="20">
        <v>44</v>
      </c>
      <c r="F59" s="20">
        <v>8</v>
      </c>
      <c r="G59" s="20">
        <v>5</v>
      </c>
      <c r="H59" s="20">
        <v>1</v>
      </c>
      <c r="I59" s="20">
        <v>29</v>
      </c>
      <c r="J59" s="20">
        <v>167</v>
      </c>
      <c r="M59" t="s">
        <v>386</v>
      </c>
      <c r="N59" t="s">
        <v>430</v>
      </c>
      <c r="O59" t="str">
        <f t="shared" si="0"/>
        <v>Mikael Backlund</v>
      </c>
      <c r="P59" s="20">
        <v>44</v>
      </c>
      <c r="R59" s="4" t="s">
        <v>158</v>
      </c>
      <c r="S59" s="4" t="s">
        <v>159</v>
      </c>
      <c r="T59" t="str">
        <f t="shared" si="1"/>
        <v>Jamie Benn</v>
      </c>
      <c r="U59">
        <f t="shared" si="2"/>
        <v>92</v>
      </c>
      <c r="V59">
        <v>92</v>
      </c>
    </row>
    <row r="60" spans="1:22" ht="30" x14ac:dyDescent="0.25">
      <c r="A60" s="17" t="s">
        <v>774</v>
      </c>
      <c r="B60" s="18">
        <v>78</v>
      </c>
      <c r="C60" s="18">
        <v>22</v>
      </c>
      <c r="D60" s="18">
        <v>28</v>
      </c>
      <c r="E60" s="18">
        <v>51</v>
      </c>
      <c r="F60" s="18">
        <v>-26</v>
      </c>
      <c r="G60" s="18">
        <v>11</v>
      </c>
      <c r="H60" s="18">
        <v>0</v>
      </c>
      <c r="I60" s="18">
        <v>31</v>
      </c>
      <c r="J60" s="18">
        <v>167</v>
      </c>
      <c r="M60" t="s">
        <v>327</v>
      </c>
      <c r="N60" t="s">
        <v>362</v>
      </c>
      <c r="O60" t="str">
        <f t="shared" si="0"/>
        <v>Victor Rask</v>
      </c>
      <c r="P60" s="18">
        <v>51</v>
      </c>
      <c r="R60" s="3" t="s">
        <v>426</v>
      </c>
      <c r="S60" s="3" t="s">
        <v>427</v>
      </c>
      <c r="T60" t="str">
        <f t="shared" si="1"/>
        <v>Kevin Shattenkirk</v>
      </c>
      <c r="U60">
        <f t="shared" si="2"/>
        <v>50</v>
      </c>
      <c r="V60">
        <v>50</v>
      </c>
    </row>
    <row r="61" spans="1:22" ht="45" x14ac:dyDescent="0.25">
      <c r="A61" s="19" t="s">
        <v>775</v>
      </c>
      <c r="B61" s="20">
        <v>78</v>
      </c>
      <c r="C61" s="20">
        <v>25</v>
      </c>
      <c r="D61" s="20">
        <v>27</v>
      </c>
      <c r="E61" s="20">
        <v>52</v>
      </c>
      <c r="F61" s="20">
        <v>-12</v>
      </c>
      <c r="G61" s="20">
        <v>6</v>
      </c>
      <c r="H61" s="20">
        <v>0</v>
      </c>
      <c r="I61" s="20">
        <v>17</v>
      </c>
      <c r="J61" s="20">
        <v>166</v>
      </c>
      <c r="M61" t="s">
        <v>1239</v>
      </c>
      <c r="N61" t="s">
        <v>1240</v>
      </c>
      <c r="O61" t="str">
        <f t="shared" si="0"/>
        <v>William Nylander</v>
      </c>
      <c r="P61" s="20">
        <v>52</v>
      </c>
      <c r="R61" s="4" t="s">
        <v>196</v>
      </c>
      <c r="S61" s="4" t="s">
        <v>197</v>
      </c>
      <c r="T61" t="str">
        <f t="shared" si="1"/>
        <v>Mark Scheifele</v>
      </c>
      <c r="U61">
        <f t="shared" si="2"/>
        <v>70</v>
      </c>
      <c r="V61">
        <v>70</v>
      </c>
    </row>
    <row r="62" spans="1:22" ht="30" x14ac:dyDescent="0.25">
      <c r="A62" s="17" t="s">
        <v>776</v>
      </c>
      <c r="B62" s="18">
        <v>78</v>
      </c>
      <c r="C62" s="18">
        <v>16</v>
      </c>
      <c r="D62" s="18">
        <v>35</v>
      </c>
      <c r="E62" s="18">
        <v>52</v>
      </c>
      <c r="F62" s="18">
        <v>-25</v>
      </c>
      <c r="G62" s="18">
        <v>7</v>
      </c>
      <c r="H62" s="18">
        <v>0</v>
      </c>
      <c r="I62" s="18">
        <v>85</v>
      </c>
      <c r="J62" s="18">
        <v>166</v>
      </c>
      <c r="M62" t="s">
        <v>367</v>
      </c>
      <c r="N62" t="s">
        <v>368</v>
      </c>
      <c r="O62" t="str">
        <f t="shared" si="0"/>
        <v>Martin Hanzal</v>
      </c>
      <c r="P62" s="18">
        <v>52</v>
      </c>
      <c r="R62" s="3" t="s">
        <v>367</v>
      </c>
      <c r="S62" s="3" t="s">
        <v>368</v>
      </c>
      <c r="T62" t="str">
        <f t="shared" si="1"/>
        <v>Martin Hanzal</v>
      </c>
      <c r="U62">
        <f t="shared" si="2"/>
        <v>52</v>
      </c>
      <c r="V62">
        <v>52</v>
      </c>
    </row>
    <row r="63" spans="1:22" ht="30" x14ac:dyDescent="0.25">
      <c r="A63" s="19" t="s">
        <v>777</v>
      </c>
      <c r="B63" s="20">
        <v>78</v>
      </c>
      <c r="C63" s="20">
        <v>19</v>
      </c>
      <c r="D63" s="20">
        <v>26</v>
      </c>
      <c r="E63" s="20">
        <v>45</v>
      </c>
      <c r="F63" s="20">
        <v>-5</v>
      </c>
      <c r="G63" s="20">
        <v>7</v>
      </c>
      <c r="H63" s="20">
        <v>0</v>
      </c>
      <c r="I63" s="20">
        <v>47</v>
      </c>
      <c r="J63" s="20">
        <v>166</v>
      </c>
      <c r="M63" t="s">
        <v>254</v>
      </c>
      <c r="N63" t="s">
        <v>255</v>
      </c>
      <c r="O63" t="str">
        <f t="shared" si="0"/>
        <v>Kyle Turris</v>
      </c>
      <c r="P63" s="20">
        <v>45</v>
      </c>
      <c r="R63" s="4" t="s">
        <v>235</v>
      </c>
      <c r="S63" s="4" t="s">
        <v>236</v>
      </c>
      <c r="T63" t="str">
        <f t="shared" si="1"/>
        <v>Nathan MacKinnon</v>
      </c>
      <c r="U63">
        <f t="shared" si="2"/>
        <v>58</v>
      </c>
      <c r="V63">
        <v>58</v>
      </c>
    </row>
    <row r="64" spans="1:22" ht="30" x14ac:dyDescent="0.25">
      <c r="A64" s="17" t="s">
        <v>778</v>
      </c>
      <c r="B64" s="18">
        <v>78</v>
      </c>
      <c r="C64" s="18">
        <v>15</v>
      </c>
      <c r="D64" s="18">
        <v>22</v>
      </c>
      <c r="E64" s="18">
        <v>38</v>
      </c>
      <c r="F64" s="18">
        <v>27</v>
      </c>
      <c r="G64" s="18">
        <v>2</v>
      </c>
      <c r="H64" s="18">
        <v>1</v>
      </c>
      <c r="I64" s="18">
        <v>50</v>
      </c>
      <c r="J64" s="18">
        <v>165</v>
      </c>
      <c r="M64" t="s">
        <v>1241</v>
      </c>
      <c r="N64" t="s">
        <v>1242</v>
      </c>
      <c r="O64" t="str">
        <f t="shared" si="0"/>
        <v>Cody Eakin</v>
      </c>
      <c r="P64" s="18">
        <v>38</v>
      </c>
      <c r="R64" s="3" t="s">
        <v>343</v>
      </c>
      <c r="S64" s="3" t="s">
        <v>344</v>
      </c>
      <c r="T64" t="str">
        <f t="shared" si="1"/>
        <v>Boone Jenner</v>
      </c>
      <c r="U64">
        <f t="shared" si="2"/>
        <v>49</v>
      </c>
      <c r="V64">
        <v>49</v>
      </c>
    </row>
    <row r="65" spans="1:22" ht="30" x14ac:dyDescent="0.25">
      <c r="A65" s="19" t="s">
        <v>779</v>
      </c>
      <c r="B65" s="20">
        <v>78</v>
      </c>
      <c r="C65" s="20">
        <v>14</v>
      </c>
      <c r="D65" s="20">
        <v>21</v>
      </c>
      <c r="E65" s="20">
        <v>35</v>
      </c>
      <c r="F65" s="20">
        <v>32</v>
      </c>
      <c r="G65" s="20">
        <v>5</v>
      </c>
      <c r="H65" s="20">
        <v>0</v>
      </c>
      <c r="I65" s="20">
        <v>35</v>
      </c>
      <c r="J65" s="20">
        <v>164</v>
      </c>
      <c r="M65" t="s">
        <v>1243</v>
      </c>
      <c r="N65" t="s">
        <v>346</v>
      </c>
      <c r="O65" t="str">
        <f t="shared" si="0"/>
        <v>Riley Nash</v>
      </c>
      <c r="P65" s="20">
        <v>35</v>
      </c>
      <c r="R65" s="4" t="s">
        <v>254</v>
      </c>
      <c r="S65" s="4" t="s">
        <v>273</v>
      </c>
      <c r="T65" t="str">
        <f t="shared" si="1"/>
        <v>Kyle Palmieri</v>
      </c>
      <c r="U65">
        <f t="shared" si="2"/>
        <v>63</v>
      </c>
      <c r="V65">
        <v>63</v>
      </c>
    </row>
    <row r="66" spans="1:22" ht="30" x14ac:dyDescent="0.25">
      <c r="A66" s="17" t="s">
        <v>780</v>
      </c>
      <c r="B66" s="18">
        <v>78</v>
      </c>
      <c r="C66" s="18">
        <v>16</v>
      </c>
      <c r="D66" s="18">
        <v>14</v>
      </c>
      <c r="E66" s="18">
        <v>31</v>
      </c>
      <c r="F66" s="18">
        <v>43</v>
      </c>
      <c r="G66" s="18">
        <v>0</v>
      </c>
      <c r="H66" s="18">
        <v>0</v>
      </c>
      <c r="I66" s="18">
        <v>29</v>
      </c>
      <c r="J66" s="18">
        <v>164</v>
      </c>
      <c r="M66" t="s">
        <v>1244</v>
      </c>
      <c r="N66" t="s">
        <v>1245</v>
      </c>
      <c r="O66" t="str">
        <f t="shared" ref="O66:O129" si="3">M66&amp;" "&amp;N66</f>
        <v>Lars Eller</v>
      </c>
      <c r="P66" s="18">
        <v>31</v>
      </c>
      <c r="R66" s="3" t="s">
        <v>428</v>
      </c>
      <c r="S66" s="3" t="s">
        <v>429</v>
      </c>
      <c r="T66" t="str">
        <f t="shared" ref="T66:T129" si="4">R66&amp;" "&amp;S66</f>
        <v>Reilly Smith</v>
      </c>
      <c r="U66">
        <f t="shared" ref="U66:U129" si="5">VLOOKUP(T66,$O$1:$P$511,2,0)</f>
        <v>51</v>
      </c>
      <c r="V66">
        <v>51</v>
      </c>
    </row>
    <row r="67" spans="1:22" ht="45" x14ac:dyDescent="0.25">
      <c r="A67" s="19" t="s">
        <v>781</v>
      </c>
      <c r="B67" s="20">
        <v>78</v>
      </c>
      <c r="C67" s="20">
        <v>12</v>
      </c>
      <c r="D67" s="20">
        <v>38</v>
      </c>
      <c r="E67" s="20">
        <v>51</v>
      </c>
      <c r="F67" s="20">
        <v>-5</v>
      </c>
      <c r="G67" s="20">
        <v>7</v>
      </c>
      <c r="H67" s="20">
        <v>0</v>
      </c>
      <c r="I67" s="20">
        <v>33</v>
      </c>
      <c r="J67" s="20">
        <v>164</v>
      </c>
      <c r="M67" t="s">
        <v>333</v>
      </c>
      <c r="N67" t="s">
        <v>334</v>
      </c>
      <c r="O67" t="str">
        <f t="shared" si="3"/>
        <v>Carl Soderberg</v>
      </c>
      <c r="P67" s="20">
        <v>51</v>
      </c>
      <c r="R67" s="4" t="s">
        <v>172</v>
      </c>
      <c r="S67" s="4" t="s">
        <v>173</v>
      </c>
      <c r="T67" t="str">
        <f t="shared" si="4"/>
        <v>Johnny Gaudreau</v>
      </c>
      <c r="U67">
        <f t="shared" si="5"/>
        <v>77</v>
      </c>
      <c r="V67">
        <v>77</v>
      </c>
    </row>
    <row r="68" spans="1:22" ht="45" x14ac:dyDescent="0.25">
      <c r="A68" s="17" t="s">
        <v>782</v>
      </c>
      <c r="B68" s="18">
        <v>78</v>
      </c>
      <c r="C68" s="18">
        <v>22</v>
      </c>
      <c r="D68" s="18">
        <v>35</v>
      </c>
      <c r="E68" s="18">
        <v>57</v>
      </c>
      <c r="F68" s="18">
        <v>-23</v>
      </c>
      <c r="G68" s="18">
        <v>5</v>
      </c>
      <c r="H68" s="18">
        <v>0</v>
      </c>
      <c r="I68" s="18">
        <v>23</v>
      </c>
      <c r="J68" s="18">
        <v>159</v>
      </c>
      <c r="M68" t="s">
        <v>337</v>
      </c>
      <c r="N68" t="s">
        <v>338</v>
      </c>
      <c r="O68" t="str">
        <f t="shared" si="3"/>
        <v>Leon Draisaitl</v>
      </c>
      <c r="P68" s="18">
        <v>57</v>
      </c>
      <c r="R68" s="3" t="s">
        <v>390</v>
      </c>
      <c r="S68" s="3" t="s">
        <v>391</v>
      </c>
      <c r="T68" t="str">
        <f t="shared" si="4"/>
        <v>Anthony Duclair</v>
      </c>
      <c r="U68">
        <f t="shared" si="5"/>
        <v>42</v>
      </c>
      <c r="V68">
        <v>42</v>
      </c>
    </row>
    <row r="69" spans="1:22" ht="45" x14ac:dyDescent="0.25">
      <c r="A69" s="19" t="s">
        <v>783</v>
      </c>
      <c r="B69" s="20">
        <v>78</v>
      </c>
      <c r="C69" s="20">
        <v>15</v>
      </c>
      <c r="D69" s="20">
        <v>20</v>
      </c>
      <c r="E69" s="20">
        <v>36</v>
      </c>
      <c r="F69" s="20">
        <v>21</v>
      </c>
      <c r="G69" s="20">
        <v>4</v>
      </c>
      <c r="H69" s="20">
        <v>0</v>
      </c>
      <c r="I69" s="20">
        <v>42</v>
      </c>
      <c r="J69" s="20">
        <v>158</v>
      </c>
      <c r="M69" t="s">
        <v>1246</v>
      </c>
      <c r="N69" t="s">
        <v>1247</v>
      </c>
      <c r="O69" t="str">
        <f t="shared" si="3"/>
        <v>Seth Griffith</v>
      </c>
      <c r="P69" s="20">
        <v>36</v>
      </c>
      <c r="R69" s="4" t="s">
        <v>325</v>
      </c>
      <c r="S69" s="4" t="s">
        <v>326</v>
      </c>
      <c r="T69" t="str">
        <f t="shared" si="4"/>
        <v>Shea Weber</v>
      </c>
      <c r="U69">
        <f t="shared" si="5"/>
        <v>55</v>
      </c>
      <c r="V69">
        <v>55</v>
      </c>
    </row>
    <row r="70" spans="1:22" ht="30" x14ac:dyDescent="0.25">
      <c r="A70" s="17" t="s">
        <v>784</v>
      </c>
      <c r="B70" s="18">
        <v>78</v>
      </c>
      <c r="C70" s="18">
        <v>19</v>
      </c>
      <c r="D70" s="18">
        <v>33</v>
      </c>
      <c r="E70" s="18">
        <v>52</v>
      </c>
      <c r="F70" s="18">
        <v>-16</v>
      </c>
      <c r="G70" s="18">
        <v>7</v>
      </c>
      <c r="H70" s="18">
        <v>0</v>
      </c>
      <c r="I70" s="18">
        <v>31</v>
      </c>
      <c r="J70" s="18">
        <v>156</v>
      </c>
      <c r="M70" t="s">
        <v>166</v>
      </c>
      <c r="N70" t="s">
        <v>1248</v>
      </c>
      <c r="O70" t="str">
        <f t="shared" si="3"/>
        <v>Tyler Bozak</v>
      </c>
      <c r="P70" s="18">
        <v>52</v>
      </c>
      <c r="R70" s="3" t="s">
        <v>284</v>
      </c>
      <c r="S70" s="3" t="s">
        <v>285</v>
      </c>
      <c r="T70" t="str">
        <f t="shared" si="4"/>
        <v>Mika Zibanejad</v>
      </c>
      <c r="U70">
        <f t="shared" si="5"/>
        <v>54</v>
      </c>
      <c r="V70">
        <v>54</v>
      </c>
    </row>
    <row r="71" spans="1:22" ht="30" x14ac:dyDescent="0.25">
      <c r="A71" s="19" t="s">
        <v>785</v>
      </c>
      <c r="B71" s="20">
        <v>78</v>
      </c>
      <c r="C71" s="20">
        <v>25</v>
      </c>
      <c r="D71" s="20">
        <v>16</v>
      </c>
      <c r="E71" s="20">
        <v>41</v>
      </c>
      <c r="F71" s="20">
        <v>-3</v>
      </c>
      <c r="G71" s="20">
        <v>3</v>
      </c>
      <c r="H71" s="20">
        <v>0</v>
      </c>
      <c r="I71" s="20">
        <v>35</v>
      </c>
      <c r="J71" s="20">
        <v>155</v>
      </c>
      <c r="M71" t="s">
        <v>409</v>
      </c>
      <c r="N71" t="s">
        <v>410</v>
      </c>
      <c r="O71" t="str">
        <f t="shared" si="3"/>
        <v>Brock Nelson</v>
      </c>
      <c r="P71" s="20">
        <v>41</v>
      </c>
      <c r="R71" s="4" t="s">
        <v>331</v>
      </c>
      <c r="S71" s="4" t="s">
        <v>332</v>
      </c>
      <c r="T71" t="str">
        <f t="shared" si="4"/>
        <v>Frans Nielsen</v>
      </c>
      <c r="U71">
        <f t="shared" si="5"/>
        <v>50</v>
      </c>
      <c r="V71">
        <v>50</v>
      </c>
    </row>
    <row r="72" spans="1:22" ht="30" x14ac:dyDescent="0.25">
      <c r="A72" s="17" t="s">
        <v>786</v>
      </c>
      <c r="B72" s="18">
        <v>78</v>
      </c>
      <c r="C72" s="18">
        <v>23</v>
      </c>
      <c r="D72" s="18">
        <v>30</v>
      </c>
      <c r="E72" s="18">
        <v>54</v>
      </c>
      <c r="F72" s="18">
        <v>-47</v>
      </c>
      <c r="G72" s="18">
        <v>10</v>
      </c>
      <c r="H72" s="18">
        <v>0</v>
      </c>
      <c r="I72" s="18">
        <v>25</v>
      </c>
      <c r="J72" s="18">
        <v>154</v>
      </c>
      <c r="M72" t="s">
        <v>214</v>
      </c>
      <c r="N72" t="s">
        <v>215</v>
      </c>
      <c r="O72" t="str">
        <f t="shared" si="3"/>
        <v>Jack Eichel</v>
      </c>
      <c r="P72" s="18">
        <v>54</v>
      </c>
      <c r="R72" s="3" t="s">
        <v>457</v>
      </c>
      <c r="S72" s="3" t="s">
        <v>458</v>
      </c>
      <c r="T72" t="str">
        <f t="shared" si="4"/>
        <v>Michael Cammalleri</v>
      </c>
      <c r="U72">
        <f t="shared" si="5"/>
        <v>77</v>
      </c>
      <c r="V72">
        <v>77</v>
      </c>
    </row>
    <row r="73" spans="1:22" ht="45" x14ac:dyDescent="0.25">
      <c r="A73" s="19" t="s">
        <v>787</v>
      </c>
      <c r="B73" s="20">
        <v>78</v>
      </c>
      <c r="C73" s="20">
        <v>18</v>
      </c>
      <c r="D73" s="20">
        <v>22</v>
      </c>
      <c r="E73" s="20">
        <v>40</v>
      </c>
      <c r="F73" s="20">
        <v>-19</v>
      </c>
      <c r="G73" s="20">
        <v>9</v>
      </c>
      <c r="H73" s="20">
        <v>0</v>
      </c>
      <c r="I73" s="20">
        <v>46</v>
      </c>
      <c r="J73" s="20">
        <v>153</v>
      </c>
      <c r="M73" t="s">
        <v>431</v>
      </c>
      <c r="N73" t="s">
        <v>432</v>
      </c>
      <c r="O73" t="str">
        <f t="shared" si="3"/>
        <v>Nick Bjugstad</v>
      </c>
      <c r="P73" s="20">
        <v>40</v>
      </c>
      <c r="R73" s="4" t="s">
        <v>239</v>
      </c>
      <c r="S73" s="4" t="s">
        <v>240</v>
      </c>
      <c r="T73" t="str">
        <f t="shared" si="4"/>
        <v>P.K. Subban</v>
      </c>
      <c r="U73">
        <f t="shared" si="5"/>
        <v>62</v>
      </c>
      <c r="V73">
        <v>62</v>
      </c>
    </row>
    <row r="74" spans="1:22" ht="30" x14ac:dyDescent="0.25">
      <c r="A74" s="17" t="s">
        <v>788</v>
      </c>
      <c r="B74" s="18">
        <v>78</v>
      </c>
      <c r="C74" s="18">
        <v>17</v>
      </c>
      <c r="D74" s="18">
        <v>34</v>
      </c>
      <c r="E74" s="18">
        <v>51</v>
      </c>
      <c r="F74" s="18">
        <v>-17</v>
      </c>
      <c r="G74" s="18">
        <v>9</v>
      </c>
      <c r="H74" s="18">
        <v>1</v>
      </c>
      <c r="I74" s="18">
        <v>27</v>
      </c>
      <c r="J74" s="18">
        <v>152</v>
      </c>
      <c r="M74" t="s">
        <v>424</v>
      </c>
      <c r="N74" t="s">
        <v>425</v>
      </c>
      <c r="O74" t="str">
        <f t="shared" si="3"/>
        <v>Travis Zajac</v>
      </c>
      <c r="P74" s="18">
        <v>51</v>
      </c>
      <c r="R74" s="3" t="s">
        <v>381</v>
      </c>
      <c r="S74" s="3" t="s">
        <v>382</v>
      </c>
      <c r="T74" t="str">
        <f t="shared" si="4"/>
        <v>Jiri Hudler</v>
      </c>
      <c r="U74">
        <f t="shared" si="5"/>
        <v>54</v>
      </c>
      <c r="V74">
        <v>54</v>
      </c>
    </row>
    <row r="75" spans="1:22" ht="30" x14ac:dyDescent="0.25">
      <c r="A75" s="19" t="s">
        <v>789</v>
      </c>
      <c r="B75" s="20">
        <v>78</v>
      </c>
      <c r="C75" s="20">
        <v>20</v>
      </c>
      <c r="D75" s="20">
        <v>27</v>
      </c>
      <c r="E75" s="20">
        <v>48</v>
      </c>
      <c r="F75" s="20">
        <v>-22</v>
      </c>
      <c r="G75" s="20">
        <v>6</v>
      </c>
      <c r="H75" s="20">
        <v>1</v>
      </c>
      <c r="I75" s="20">
        <v>42</v>
      </c>
      <c r="J75" s="20">
        <v>152</v>
      </c>
      <c r="M75" t="s">
        <v>226</v>
      </c>
      <c r="N75" t="s">
        <v>373</v>
      </c>
      <c r="O75" t="str">
        <f t="shared" si="3"/>
        <v>Jordan Staal</v>
      </c>
      <c r="P75" s="20">
        <v>48</v>
      </c>
      <c r="R75" s="4" t="s">
        <v>327</v>
      </c>
      <c r="S75" s="4" t="s">
        <v>328</v>
      </c>
      <c r="T75" t="str">
        <f t="shared" si="4"/>
        <v>Victor Hedman</v>
      </c>
      <c r="U75">
        <f t="shared" si="5"/>
        <v>58</v>
      </c>
      <c r="V75">
        <v>58</v>
      </c>
    </row>
    <row r="76" spans="1:22" ht="30" x14ac:dyDescent="0.25">
      <c r="A76" s="17" t="s">
        <v>790</v>
      </c>
      <c r="B76" s="18">
        <v>78</v>
      </c>
      <c r="C76" s="18">
        <v>17</v>
      </c>
      <c r="D76" s="18">
        <v>14</v>
      </c>
      <c r="E76" s="18">
        <v>32</v>
      </c>
      <c r="F76" s="18">
        <v>34</v>
      </c>
      <c r="G76" s="18">
        <v>0</v>
      </c>
      <c r="H76" s="18">
        <v>2</v>
      </c>
      <c r="I76" s="18">
        <v>26</v>
      </c>
      <c r="J76" s="18">
        <v>151</v>
      </c>
      <c r="M76" t="s">
        <v>245</v>
      </c>
      <c r="N76" t="s">
        <v>1249</v>
      </c>
      <c r="O76" t="str">
        <f t="shared" si="3"/>
        <v>Matt Cullen</v>
      </c>
      <c r="P76" s="18">
        <v>32</v>
      </c>
      <c r="R76" s="3" t="s">
        <v>335</v>
      </c>
      <c r="S76" s="3" t="s">
        <v>336</v>
      </c>
      <c r="T76" t="str">
        <f t="shared" si="4"/>
        <v>Marcus Johansson</v>
      </c>
      <c r="U76">
        <f t="shared" si="5"/>
        <v>53</v>
      </c>
      <c r="V76">
        <v>53</v>
      </c>
    </row>
    <row r="77" spans="1:22" ht="30" x14ac:dyDescent="0.25">
      <c r="A77" s="19" t="s">
        <v>791</v>
      </c>
      <c r="B77" s="20">
        <v>78</v>
      </c>
      <c r="C77" s="20">
        <v>9</v>
      </c>
      <c r="D77" s="20">
        <v>29</v>
      </c>
      <c r="E77" s="20">
        <v>38</v>
      </c>
      <c r="F77" s="20">
        <v>17</v>
      </c>
      <c r="G77" s="20">
        <v>6</v>
      </c>
      <c r="H77" s="20">
        <v>0</v>
      </c>
      <c r="I77" s="20">
        <v>39</v>
      </c>
      <c r="J77" s="20">
        <v>150</v>
      </c>
      <c r="M77" t="s">
        <v>1250</v>
      </c>
      <c r="N77" t="s">
        <v>1251</v>
      </c>
      <c r="O77" t="str">
        <f t="shared" si="3"/>
        <v>Valtteri Filppula</v>
      </c>
      <c r="P77" s="20">
        <v>38</v>
      </c>
      <c r="R77" s="4" t="s">
        <v>323</v>
      </c>
      <c r="S77" s="4" t="s">
        <v>324</v>
      </c>
      <c r="T77" t="str">
        <f t="shared" si="4"/>
        <v>Jussi Jokinen</v>
      </c>
      <c r="U77">
        <f t="shared" si="5"/>
        <v>56</v>
      </c>
      <c r="V77">
        <v>56</v>
      </c>
    </row>
    <row r="78" spans="1:22" ht="45" x14ac:dyDescent="0.25">
      <c r="A78" s="17" t="s">
        <v>792</v>
      </c>
      <c r="B78" s="18">
        <v>78</v>
      </c>
      <c r="C78" s="18">
        <v>16</v>
      </c>
      <c r="D78" s="18">
        <v>16</v>
      </c>
      <c r="E78" s="18">
        <v>33</v>
      </c>
      <c r="F78" s="18">
        <v>32</v>
      </c>
      <c r="G78" s="18">
        <v>0</v>
      </c>
      <c r="H78" s="18">
        <v>0</v>
      </c>
      <c r="I78" s="18">
        <v>20</v>
      </c>
      <c r="J78" s="18">
        <v>149</v>
      </c>
      <c r="M78" t="s">
        <v>1252</v>
      </c>
      <c r="N78" t="s">
        <v>1253</v>
      </c>
      <c r="O78" t="str">
        <f t="shared" si="3"/>
        <v>Mattias Janmark</v>
      </c>
      <c r="P78" s="18">
        <v>33</v>
      </c>
      <c r="R78" s="3" t="s">
        <v>188</v>
      </c>
      <c r="S78" s="3" t="s">
        <v>241</v>
      </c>
      <c r="T78" t="str">
        <f t="shared" si="4"/>
        <v>Ryan O'Reilly</v>
      </c>
      <c r="U78">
        <f t="shared" si="5"/>
        <v>65</v>
      </c>
      <c r="V78">
        <v>65</v>
      </c>
    </row>
    <row r="79" spans="1:22" ht="45" x14ac:dyDescent="0.25">
      <c r="A79" s="19" t="s">
        <v>793</v>
      </c>
      <c r="B79" s="20">
        <v>78</v>
      </c>
      <c r="C79" s="20">
        <v>14</v>
      </c>
      <c r="D79" s="20">
        <v>22</v>
      </c>
      <c r="E79" s="20">
        <v>36</v>
      </c>
      <c r="F79" s="20">
        <v>24</v>
      </c>
      <c r="G79" s="20">
        <v>2</v>
      </c>
      <c r="H79" s="20">
        <v>0</v>
      </c>
      <c r="I79" s="20">
        <v>37</v>
      </c>
      <c r="J79" s="20">
        <v>146</v>
      </c>
      <c r="M79" t="s">
        <v>459</v>
      </c>
      <c r="N79" t="s">
        <v>1254</v>
      </c>
      <c r="O79" t="str">
        <f t="shared" si="3"/>
        <v>Vladislav Namestnikov</v>
      </c>
      <c r="P79" s="20">
        <v>36</v>
      </c>
      <c r="R79" s="4" t="s">
        <v>252</v>
      </c>
      <c r="S79" s="4" t="s">
        <v>253</v>
      </c>
      <c r="T79" t="str">
        <f t="shared" si="4"/>
        <v>Henrik Sedin</v>
      </c>
      <c r="U79">
        <f t="shared" si="5"/>
        <v>69</v>
      </c>
      <c r="V79">
        <v>69</v>
      </c>
    </row>
    <row r="80" spans="1:22" ht="45" x14ac:dyDescent="0.25">
      <c r="A80" s="17" t="s">
        <v>794</v>
      </c>
      <c r="B80" s="18">
        <v>78</v>
      </c>
      <c r="C80" s="18">
        <v>20</v>
      </c>
      <c r="D80" s="18">
        <v>24</v>
      </c>
      <c r="E80" s="18">
        <v>45</v>
      </c>
      <c r="F80" s="18">
        <v>-3</v>
      </c>
      <c r="G80" s="18">
        <v>3</v>
      </c>
      <c r="H80" s="18">
        <v>0</v>
      </c>
      <c r="I80" s="18">
        <v>33</v>
      </c>
      <c r="J80" s="18">
        <v>145</v>
      </c>
      <c r="M80" t="s">
        <v>168</v>
      </c>
      <c r="N80" t="s">
        <v>452</v>
      </c>
      <c r="O80" t="str">
        <f t="shared" si="3"/>
        <v>Joe Colborne</v>
      </c>
      <c r="P80" s="18">
        <v>45</v>
      </c>
      <c r="R80" s="3" t="s">
        <v>257</v>
      </c>
      <c r="S80" s="3" t="s">
        <v>710</v>
      </c>
      <c r="T80" t="str">
        <f t="shared" si="4"/>
        <v>James van Riemsdyk</v>
      </c>
      <c r="U80" t="e">
        <f t="shared" si="5"/>
        <v>#N/A</v>
      </c>
      <c r="V80" t="e">
        <v>#N/A</v>
      </c>
    </row>
    <row r="81" spans="1:22" ht="60" x14ac:dyDescent="0.25">
      <c r="A81" s="19" t="s">
        <v>795</v>
      </c>
      <c r="B81" s="20">
        <v>78</v>
      </c>
      <c r="C81" s="20">
        <v>18</v>
      </c>
      <c r="D81" s="20">
        <v>31</v>
      </c>
      <c r="E81" s="20">
        <v>50</v>
      </c>
      <c r="F81" s="20">
        <v>-29</v>
      </c>
      <c r="G81" s="20">
        <v>8</v>
      </c>
      <c r="H81" s="20">
        <v>0</v>
      </c>
      <c r="I81" s="20">
        <v>31</v>
      </c>
      <c r="J81" s="20">
        <v>143</v>
      </c>
      <c r="M81" t="s">
        <v>188</v>
      </c>
      <c r="N81" t="s">
        <v>1255</v>
      </c>
      <c r="O81" t="str">
        <f t="shared" si="3"/>
        <v>Ryan Nugent-Hopkins</v>
      </c>
      <c r="P81" s="20">
        <v>50</v>
      </c>
      <c r="R81" s="4" t="s">
        <v>438</v>
      </c>
      <c r="S81" s="4" t="s">
        <v>439</v>
      </c>
      <c r="T81" t="str">
        <f t="shared" si="4"/>
        <v>Nino Niederreiter</v>
      </c>
      <c r="U81">
        <f t="shared" si="5"/>
        <v>44</v>
      </c>
      <c r="V81">
        <v>44</v>
      </c>
    </row>
    <row r="82" spans="1:22" ht="45" x14ac:dyDescent="0.25">
      <c r="A82" s="17" t="s">
        <v>796</v>
      </c>
      <c r="B82" s="18">
        <v>78</v>
      </c>
      <c r="C82" s="18">
        <v>18</v>
      </c>
      <c r="D82" s="18">
        <v>26</v>
      </c>
      <c r="E82" s="18">
        <v>44</v>
      </c>
      <c r="F82" s="18">
        <v>-16</v>
      </c>
      <c r="G82" s="18">
        <v>7</v>
      </c>
      <c r="H82" s="18">
        <v>0</v>
      </c>
      <c r="I82" s="18">
        <v>19</v>
      </c>
      <c r="J82" s="18">
        <v>141</v>
      </c>
      <c r="M82" t="s">
        <v>411</v>
      </c>
      <c r="N82" t="s">
        <v>412</v>
      </c>
      <c r="O82" t="str">
        <f t="shared" si="3"/>
        <v>Bo Horvat</v>
      </c>
      <c r="P82" s="18">
        <v>44</v>
      </c>
      <c r="R82" s="3" t="s">
        <v>170</v>
      </c>
      <c r="S82" s="3" t="s">
        <v>171</v>
      </c>
      <c r="T82" t="str">
        <f t="shared" si="4"/>
        <v>John Tavares</v>
      </c>
      <c r="U82">
        <f t="shared" si="5"/>
        <v>76</v>
      </c>
      <c r="V82">
        <v>76</v>
      </c>
    </row>
    <row r="83" spans="1:22" ht="45" x14ac:dyDescent="0.25">
      <c r="A83" s="19" t="s">
        <v>797</v>
      </c>
      <c r="B83" s="20">
        <v>78</v>
      </c>
      <c r="C83" s="20">
        <v>20</v>
      </c>
      <c r="D83" s="20">
        <v>4</v>
      </c>
      <c r="E83" s="20">
        <v>24</v>
      </c>
      <c r="F83" s="20">
        <v>12</v>
      </c>
      <c r="G83" s="20">
        <v>0</v>
      </c>
      <c r="H83" s="20">
        <v>0</v>
      </c>
      <c r="I83" s="20">
        <v>24</v>
      </c>
      <c r="J83" s="20">
        <v>136</v>
      </c>
      <c r="M83" t="s">
        <v>1256</v>
      </c>
      <c r="N83" t="s">
        <v>1257</v>
      </c>
      <c r="O83" t="str">
        <f t="shared" si="3"/>
        <v>Frank Vatrano</v>
      </c>
      <c r="P83" s="20">
        <v>24</v>
      </c>
      <c r="R83" s="4" t="s">
        <v>188</v>
      </c>
      <c r="S83" s="4" t="s">
        <v>189</v>
      </c>
      <c r="T83" t="str">
        <f t="shared" si="4"/>
        <v>Ryan Getzlaf</v>
      </c>
      <c r="U83">
        <f t="shared" si="5"/>
        <v>75</v>
      </c>
      <c r="V83">
        <v>75</v>
      </c>
    </row>
    <row r="84" spans="1:22" ht="30" x14ac:dyDescent="0.25">
      <c r="A84" s="17" t="s">
        <v>798</v>
      </c>
      <c r="B84" s="18">
        <v>78</v>
      </c>
      <c r="C84" s="18">
        <v>12</v>
      </c>
      <c r="D84" s="18">
        <v>31</v>
      </c>
      <c r="E84" s="18">
        <v>43</v>
      </c>
      <c r="F84" s="18">
        <v>-34</v>
      </c>
      <c r="G84" s="18">
        <v>7</v>
      </c>
      <c r="H84" s="18">
        <v>0</v>
      </c>
      <c r="I84" s="18">
        <v>61</v>
      </c>
      <c r="J84" s="18">
        <v>133</v>
      </c>
      <c r="M84" t="s">
        <v>166</v>
      </c>
      <c r="N84" t="s">
        <v>1258</v>
      </c>
      <c r="O84" t="str">
        <f t="shared" si="3"/>
        <v>Tyler Ennis</v>
      </c>
      <c r="P84" s="18">
        <v>43</v>
      </c>
      <c r="R84" s="3" t="s">
        <v>442</v>
      </c>
      <c r="S84" s="3" t="s">
        <v>443</v>
      </c>
      <c r="T84" t="str">
        <f t="shared" si="4"/>
        <v>Jakob Silfverberg</v>
      </c>
      <c r="U84">
        <f t="shared" si="5"/>
        <v>45</v>
      </c>
      <c r="V84">
        <v>45</v>
      </c>
    </row>
    <row r="85" spans="1:22" ht="45" x14ac:dyDescent="0.25">
      <c r="A85" s="19" t="s">
        <v>799</v>
      </c>
      <c r="B85" s="20">
        <v>78</v>
      </c>
      <c r="C85" s="20">
        <v>9</v>
      </c>
      <c r="D85" s="20">
        <v>39</v>
      </c>
      <c r="E85" s="20">
        <v>49</v>
      </c>
      <c r="F85" s="20">
        <v>-14</v>
      </c>
      <c r="G85" s="20">
        <v>8</v>
      </c>
      <c r="H85" s="20">
        <v>0</v>
      </c>
      <c r="I85" s="20">
        <v>2</v>
      </c>
      <c r="J85" s="20">
        <v>133</v>
      </c>
      <c r="M85" t="s">
        <v>174</v>
      </c>
      <c r="N85" t="s">
        <v>370</v>
      </c>
      <c r="O85" t="str">
        <f t="shared" si="3"/>
        <v>Alexander Wennberg</v>
      </c>
      <c r="P85" s="20">
        <v>49</v>
      </c>
      <c r="R85" s="4" t="s">
        <v>233</v>
      </c>
      <c r="S85" s="4" t="s">
        <v>418</v>
      </c>
      <c r="T85" t="str">
        <f t="shared" si="4"/>
        <v>Alex Pietrangelo</v>
      </c>
      <c r="U85">
        <f t="shared" si="5"/>
        <v>41</v>
      </c>
      <c r="V85">
        <v>41</v>
      </c>
    </row>
    <row r="86" spans="1:22" ht="30" x14ac:dyDescent="0.25">
      <c r="A86" s="17" t="s">
        <v>800</v>
      </c>
      <c r="B86" s="18">
        <v>78</v>
      </c>
      <c r="C86" s="18">
        <v>18</v>
      </c>
      <c r="D86" s="18">
        <v>7</v>
      </c>
      <c r="E86" s="18">
        <v>25</v>
      </c>
      <c r="F86" s="18">
        <v>16</v>
      </c>
      <c r="G86" s="18">
        <v>1</v>
      </c>
      <c r="H86" s="18">
        <v>0</v>
      </c>
      <c r="I86" s="18">
        <v>66</v>
      </c>
      <c r="J86" s="18">
        <v>132</v>
      </c>
      <c r="M86" t="s">
        <v>1259</v>
      </c>
      <c r="N86" t="s">
        <v>1260</v>
      </c>
      <c r="O86" t="str">
        <f t="shared" si="3"/>
        <v>Brian Boyle</v>
      </c>
      <c r="P86" s="18">
        <v>25</v>
      </c>
      <c r="R86" s="3" t="s">
        <v>264</v>
      </c>
      <c r="S86" s="3" t="s">
        <v>253</v>
      </c>
      <c r="T86" t="str">
        <f t="shared" si="4"/>
        <v>Daniel Sedin</v>
      </c>
      <c r="U86">
        <f t="shared" si="5"/>
        <v>68</v>
      </c>
      <c r="V86">
        <v>68</v>
      </c>
    </row>
    <row r="87" spans="1:22" ht="45" x14ac:dyDescent="0.25">
      <c r="A87" s="19" t="s">
        <v>801</v>
      </c>
      <c r="B87" s="20">
        <v>78</v>
      </c>
      <c r="C87" s="20">
        <v>10</v>
      </c>
      <c r="D87" s="20">
        <v>26</v>
      </c>
      <c r="E87" s="20">
        <v>36</v>
      </c>
      <c r="F87" s="20">
        <v>12</v>
      </c>
      <c r="G87" s="20">
        <v>3</v>
      </c>
      <c r="H87" s="20">
        <v>0</v>
      </c>
      <c r="I87" s="20">
        <v>39</v>
      </c>
      <c r="J87" s="20">
        <v>132</v>
      </c>
      <c r="M87" t="s">
        <v>1261</v>
      </c>
      <c r="N87" t="s">
        <v>1262</v>
      </c>
      <c r="O87" t="str">
        <f t="shared" si="3"/>
        <v>Jori Lehtera</v>
      </c>
      <c r="P87" s="20">
        <v>36</v>
      </c>
      <c r="R87" s="4" t="s">
        <v>257</v>
      </c>
      <c r="S87" s="4" t="s">
        <v>272</v>
      </c>
      <c r="T87" t="str">
        <f t="shared" si="4"/>
        <v>James Neal</v>
      </c>
      <c r="U87">
        <f t="shared" si="5"/>
        <v>61</v>
      </c>
      <c r="V87">
        <v>61</v>
      </c>
    </row>
    <row r="88" spans="1:22" ht="30" x14ac:dyDescent="0.25">
      <c r="A88" s="17" t="s">
        <v>802</v>
      </c>
      <c r="B88" s="18">
        <v>78</v>
      </c>
      <c r="C88" s="18">
        <v>11</v>
      </c>
      <c r="D88" s="18">
        <v>11</v>
      </c>
      <c r="E88" s="18">
        <v>23</v>
      </c>
      <c r="F88" s="18">
        <v>38</v>
      </c>
      <c r="G88" s="18">
        <v>0</v>
      </c>
      <c r="H88" s="18">
        <v>0</v>
      </c>
      <c r="I88" s="18">
        <v>29</v>
      </c>
      <c r="J88" s="18">
        <v>132</v>
      </c>
      <c r="M88" t="s">
        <v>1263</v>
      </c>
      <c r="N88" t="s">
        <v>1264</v>
      </c>
      <c r="O88" t="str">
        <f t="shared" si="3"/>
        <v>Radek Faksa</v>
      </c>
      <c r="P88" s="18">
        <v>23</v>
      </c>
      <c r="R88" s="3" t="s">
        <v>280</v>
      </c>
      <c r="S88" s="3" t="s">
        <v>281</v>
      </c>
      <c r="T88" t="str">
        <f t="shared" si="4"/>
        <v>Bryan Little</v>
      </c>
      <c r="U88">
        <f t="shared" si="5"/>
        <v>63</v>
      </c>
      <c r="V88">
        <v>63</v>
      </c>
    </row>
    <row r="89" spans="1:22" ht="45" x14ac:dyDescent="0.25">
      <c r="A89" s="19" t="s">
        <v>803</v>
      </c>
      <c r="B89" s="20">
        <v>78</v>
      </c>
      <c r="C89" s="20">
        <v>18</v>
      </c>
      <c r="D89" s="20">
        <v>12</v>
      </c>
      <c r="E89" s="20">
        <v>31</v>
      </c>
      <c r="F89" s="20">
        <v>7</v>
      </c>
      <c r="G89" s="20">
        <v>2</v>
      </c>
      <c r="H89" s="20">
        <v>0</v>
      </c>
      <c r="I89" s="20">
        <v>24</v>
      </c>
      <c r="J89" s="20">
        <v>131</v>
      </c>
      <c r="M89" t="s">
        <v>268</v>
      </c>
      <c r="N89" t="s">
        <v>1265</v>
      </c>
      <c r="O89" t="str">
        <f t="shared" si="3"/>
        <v>Patrik Berglund</v>
      </c>
      <c r="P89" s="20">
        <v>31</v>
      </c>
      <c r="R89" s="4" t="s">
        <v>168</v>
      </c>
      <c r="S89" s="4" t="s">
        <v>169</v>
      </c>
      <c r="T89" t="str">
        <f t="shared" si="4"/>
        <v>Joe Pavelski</v>
      </c>
      <c r="U89">
        <f t="shared" si="5"/>
        <v>78</v>
      </c>
      <c r="V89">
        <v>78</v>
      </c>
    </row>
    <row r="90" spans="1:22" ht="30" x14ac:dyDescent="0.25">
      <c r="A90" s="17" t="s">
        <v>804</v>
      </c>
      <c r="B90" s="18">
        <v>78</v>
      </c>
      <c r="C90" s="18">
        <v>18</v>
      </c>
      <c r="D90" s="18">
        <v>12</v>
      </c>
      <c r="E90" s="18">
        <v>30</v>
      </c>
      <c r="F90" s="18">
        <v>9</v>
      </c>
      <c r="G90" s="18">
        <v>3</v>
      </c>
      <c r="H90" s="18">
        <v>0</v>
      </c>
      <c r="I90" s="18">
        <v>28</v>
      </c>
      <c r="J90" s="18">
        <v>131</v>
      </c>
      <c r="M90" t="s">
        <v>290</v>
      </c>
      <c r="N90" t="s">
        <v>1266</v>
      </c>
      <c r="O90" t="str">
        <f t="shared" si="3"/>
        <v>Mike Fisher</v>
      </c>
      <c r="P90" s="18">
        <v>30</v>
      </c>
      <c r="R90" s="3" t="s">
        <v>180</v>
      </c>
      <c r="S90" s="3" t="s">
        <v>181</v>
      </c>
      <c r="T90" t="str">
        <f t="shared" si="4"/>
        <v>Anze Kopitar</v>
      </c>
      <c r="U90">
        <f t="shared" si="5"/>
        <v>75</v>
      </c>
      <c r="V90">
        <v>75</v>
      </c>
    </row>
    <row r="91" spans="1:22" ht="30" x14ac:dyDescent="0.25">
      <c r="A91" s="19" t="s">
        <v>805</v>
      </c>
      <c r="B91" s="20">
        <v>78</v>
      </c>
      <c r="C91" s="20">
        <v>10</v>
      </c>
      <c r="D91" s="20">
        <v>27</v>
      </c>
      <c r="E91" s="20">
        <v>38</v>
      </c>
      <c r="F91" s="20">
        <v>6</v>
      </c>
      <c r="G91" s="20">
        <v>9</v>
      </c>
      <c r="H91" s="20">
        <v>0</v>
      </c>
      <c r="I91" s="20">
        <v>15</v>
      </c>
      <c r="J91" s="20">
        <v>129</v>
      </c>
      <c r="M91" t="s">
        <v>1267</v>
      </c>
      <c r="N91" t="s">
        <v>1268</v>
      </c>
      <c r="O91" t="str">
        <f t="shared" si="3"/>
        <v>Linden Vey</v>
      </c>
      <c r="P91" s="20">
        <v>38</v>
      </c>
      <c r="R91" s="4" t="s">
        <v>288</v>
      </c>
      <c r="S91" s="4" t="s">
        <v>289</v>
      </c>
      <c r="T91" t="str">
        <f t="shared" si="4"/>
        <v>Brayden Schenn</v>
      </c>
      <c r="U91">
        <f t="shared" si="5"/>
        <v>64</v>
      </c>
      <c r="V91">
        <v>64</v>
      </c>
    </row>
    <row r="92" spans="1:22" ht="30" x14ac:dyDescent="0.25">
      <c r="A92" s="17" t="s">
        <v>806</v>
      </c>
      <c r="B92" s="18">
        <v>78</v>
      </c>
      <c r="C92" s="18">
        <v>12</v>
      </c>
      <c r="D92" s="18">
        <v>24</v>
      </c>
      <c r="E92" s="18">
        <v>36</v>
      </c>
      <c r="F92" s="18">
        <v>-15</v>
      </c>
      <c r="G92" s="18">
        <v>3</v>
      </c>
      <c r="H92" s="18">
        <v>0</v>
      </c>
      <c r="I92" s="18">
        <v>43</v>
      </c>
      <c r="J92" s="18">
        <v>128</v>
      </c>
      <c r="M92" t="s">
        <v>378</v>
      </c>
      <c r="N92" t="s">
        <v>373</v>
      </c>
      <c r="O92" t="str">
        <f t="shared" si="3"/>
        <v>Eric Staal</v>
      </c>
      <c r="P92" s="18">
        <v>36</v>
      </c>
      <c r="R92" s="3" t="s">
        <v>383</v>
      </c>
      <c r="S92" s="3" t="s">
        <v>384</v>
      </c>
      <c r="T92" t="str">
        <f t="shared" si="4"/>
        <v>Nikolaj Ehlers</v>
      </c>
      <c r="U92">
        <f t="shared" si="5"/>
        <v>42</v>
      </c>
      <c r="V92">
        <v>42</v>
      </c>
    </row>
    <row r="93" spans="1:22" ht="45" x14ac:dyDescent="0.25">
      <c r="A93" s="19" t="s">
        <v>807</v>
      </c>
      <c r="B93" s="20">
        <v>78</v>
      </c>
      <c r="C93" s="20">
        <v>14</v>
      </c>
      <c r="D93" s="20">
        <v>22</v>
      </c>
      <c r="E93" s="20">
        <v>36</v>
      </c>
      <c r="F93" s="20">
        <v>1</v>
      </c>
      <c r="G93" s="20">
        <v>3</v>
      </c>
      <c r="H93" s="20">
        <v>0</v>
      </c>
      <c r="I93" s="20">
        <v>29</v>
      </c>
      <c r="J93" s="20">
        <v>128</v>
      </c>
      <c r="M93" t="s">
        <v>231</v>
      </c>
      <c r="N93" t="s">
        <v>1269</v>
      </c>
      <c r="O93" t="str">
        <f t="shared" si="3"/>
        <v>David Desharnais</v>
      </c>
      <c r="P93" s="20">
        <v>36</v>
      </c>
      <c r="R93" s="4" t="s">
        <v>413</v>
      </c>
      <c r="S93" s="4" t="s">
        <v>414</v>
      </c>
      <c r="T93" t="str">
        <f t="shared" si="4"/>
        <v>J.T. Miller</v>
      </c>
      <c r="U93">
        <f t="shared" si="5"/>
        <v>45</v>
      </c>
      <c r="V93">
        <v>45</v>
      </c>
    </row>
    <row r="94" spans="1:22" ht="45" x14ac:dyDescent="0.25">
      <c r="A94" s="17" t="s">
        <v>808</v>
      </c>
      <c r="B94" s="18">
        <v>78</v>
      </c>
      <c r="C94" s="18">
        <v>14</v>
      </c>
      <c r="D94" s="18">
        <v>11</v>
      </c>
      <c r="E94" s="18">
        <v>26</v>
      </c>
      <c r="F94" s="18">
        <v>24</v>
      </c>
      <c r="G94" s="18">
        <v>0</v>
      </c>
      <c r="H94" s="18">
        <v>0</v>
      </c>
      <c r="I94" s="18">
        <v>31</v>
      </c>
      <c r="J94" s="18">
        <v>124</v>
      </c>
      <c r="M94" t="s">
        <v>1270</v>
      </c>
      <c r="N94" t="s">
        <v>1271</v>
      </c>
      <c r="O94" t="str">
        <f t="shared" si="3"/>
        <v>Jay Beagle</v>
      </c>
      <c r="P94" s="18">
        <v>26</v>
      </c>
      <c r="R94" s="3" t="s">
        <v>265</v>
      </c>
      <c r="S94" s="3" t="s">
        <v>266</v>
      </c>
      <c r="T94" t="str">
        <f t="shared" si="4"/>
        <v>Derek Stepan</v>
      </c>
      <c r="U94">
        <f t="shared" si="5"/>
        <v>61</v>
      </c>
      <c r="V94">
        <v>61</v>
      </c>
    </row>
    <row r="95" spans="1:22" ht="45" x14ac:dyDescent="0.25">
      <c r="A95" s="19" t="s">
        <v>809</v>
      </c>
      <c r="B95" s="20">
        <v>78</v>
      </c>
      <c r="C95" s="20">
        <v>15</v>
      </c>
      <c r="D95" s="20">
        <v>13</v>
      </c>
      <c r="E95" s="20">
        <v>29</v>
      </c>
      <c r="F95" s="20">
        <v>15</v>
      </c>
      <c r="G95" s="20">
        <v>2</v>
      </c>
      <c r="H95" s="20">
        <v>0</v>
      </c>
      <c r="I95" s="20">
        <v>14</v>
      </c>
      <c r="J95" s="20">
        <v>122</v>
      </c>
      <c r="M95" t="s">
        <v>1272</v>
      </c>
      <c r="N95" t="s">
        <v>1273</v>
      </c>
      <c r="O95" t="str">
        <f t="shared" si="3"/>
        <v>Calle Jarnkrok</v>
      </c>
      <c r="P95" s="20">
        <v>29</v>
      </c>
      <c r="R95" s="4" t="s">
        <v>162</v>
      </c>
      <c r="S95" s="4" t="s">
        <v>306</v>
      </c>
      <c r="T95" t="str">
        <f t="shared" si="4"/>
        <v>Patrick Sharp</v>
      </c>
      <c r="U95">
        <f t="shared" si="5"/>
        <v>57</v>
      </c>
      <c r="V95">
        <v>57</v>
      </c>
    </row>
    <row r="96" spans="1:22" ht="45" x14ac:dyDescent="0.25">
      <c r="A96" s="17" t="s">
        <v>810</v>
      </c>
      <c r="B96" s="18">
        <v>78</v>
      </c>
      <c r="C96" s="18">
        <v>10</v>
      </c>
      <c r="D96" s="18">
        <v>4</v>
      </c>
      <c r="E96" s="18">
        <v>15</v>
      </c>
      <c r="F96" s="18">
        <v>47</v>
      </c>
      <c r="G96" s="18">
        <v>0</v>
      </c>
      <c r="H96" s="18">
        <v>0</v>
      </c>
      <c r="I96" s="18">
        <v>49</v>
      </c>
      <c r="J96" s="18">
        <v>120</v>
      </c>
      <c r="M96" t="s">
        <v>419</v>
      </c>
      <c r="N96" t="s">
        <v>1274</v>
      </c>
      <c r="O96" t="str">
        <f t="shared" si="3"/>
        <v>Chris Wagner</v>
      </c>
      <c r="P96" s="18">
        <v>15</v>
      </c>
      <c r="R96" s="3" t="s">
        <v>404</v>
      </c>
      <c r="S96" s="3" t="s">
        <v>405</v>
      </c>
      <c r="T96" t="str">
        <f t="shared" si="4"/>
        <v>Nazem Kadri</v>
      </c>
      <c r="U96">
        <f t="shared" si="5"/>
        <v>51</v>
      </c>
      <c r="V96">
        <v>51</v>
      </c>
    </row>
    <row r="97" spans="1:22" ht="45" x14ac:dyDescent="0.25">
      <c r="A97" s="19" t="s">
        <v>811</v>
      </c>
      <c r="B97" s="20">
        <v>78</v>
      </c>
      <c r="C97" s="20">
        <v>12</v>
      </c>
      <c r="D97" s="20">
        <v>29</v>
      </c>
      <c r="E97" s="20">
        <v>42</v>
      </c>
      <c r="F97" s="20">
        <v>-32</v>
      </c>
      <c r="G97" s="20">
        <v>5</v>
      </c>
      <c r="H97" s="20">
        <v>0</v>
      </c>
      <c r="I97" s="20">
        <v>24</v>
      </c>
      <c r="J97" s="20">
        <v>117</v>
      </c>
      <c r="M97" t="s">
        <v>386</v>
      </c>
      <c r="N97" t="s">
        <v>387</v>
      </c>
      <c r="O97" t="str">
        <f t="shared" si="3"/>
        <v>Mikael Granlund</v>
      </c>
      <c r="P97" s="20">
        <v>42</v>
      </c>
      <c r="R97" s="4" t="s">
        <v>337</v>
      </c>
      <c r="S97" s="4" t="s">
        <v>338</v>
      </c>
      <c r="T97" t="str">
        <f t="shared" si="4"/>
        <v>Leon Draisaitl</v>
      </c>
      <c r="U97">
        <f t="shared" si="5"/>
        <v>57</v>
      </c>
      <c r="V97">
        <v>57</v>
      </c>
    </row>
    <row r="98" spans="1:22" ht="30" x14ac:dyDescent="0.25">
      <c r="A98" s="17" t="s">
        <v>812</v>
      </c>
      <c r="B98" s="18">
        <v>78</v>
      </c>
      <c r="C98" s="18">
        <v>15</v>
      </c>
      <c r="D98" s="18">
        <v>13</v>
      </c>
      <c r="E98" s="18">
        <v>28</v>
      </c>
      <c r="F98" s="18">
        <v>-1</v>
      </c>
      <c r="G98" s="18">
        <v>0</v>
      </c>
      <c r="H98" s="18">
        <v>0</v>
      </c>
      <c r="I98" s="18">
        <v>35</v>
      </c>
      <c r="J98" s="18">
        <v>116</v>
      </c>
      <c r="M98" t="s">
        <v>1275</v>
      </c>
      <c r="N98" t="s">
        <v>1276</v>
      </c>
      <c r="O98" t="str">
        <f t="shared" si="3"/>
        <v>Darren Helm</v>
      </c>
      <c r="P98" s="18">
        <v>28</v>
      </c>
      <c r="R98" s="3" t="s">
        <v>178</v>
      </c>
      <c r="S98" s="3" t="s">
        <v>179</v>
      </c>
      <c r="T98" t="str">
        <f t="shared" si="4"/>
        <v>Vladimir Tarasenko</v>
      </c>
      <c r="U98">
        <f t="shared" si="5"/>
        <v>75</v>
      </c>
      <c r="V98">
        <v>75</v>
      </c>
    </row>
    <row r="99" spans="1:22" ht="30" x14ac:dyDescent="0.25">
      <c r="A99" s="19" t="s">
        <v>813</v>
      </c>
      <c r="B99" s="20">
        <v>78</v>
      </c>
      <c r="C99" s="20">
        <v>20</v>
      </c>
      <c r="D99" s="20">
        <v>19</v>
      </c>
      <c r="E99" s="20">
        <v>40</v>
      </c>
      <c r="F99" s="20">
        <v>-27</v>
      </c>
      <c r="G99" s="20">
        <v>3</v>
      </c>
      <c r="H99" s="20">
        <v>0</v>
      </c>
      <c r="I99" s="20">
        <v>27</v>
      </c>
      <c r="J99" s="20">
        <v>115</v>
      </c>
      <c r="M99" t="s">
        <v>407</v>
      </c>
      <c r="N99" t="s">
        <v>408</v>
      </c>
      <c r="O99" t="str">
        <f t="shared" si="3"/>
        <v>Charlie Coyle</v>
      </c>
      <c r="P99" s="20">
        <v>40</v>
      </c>
      <c r="R99" s="4" t="s">
        <v>317</v>
      </c>
      <c r="S99" s="4" t="s">
        <v>318</v>
      </c>
      <c r="T99" t="str">
        <f t="shared" si="4"/>
        <v>Roman Josi</v>
      </c>
      <c r="U99">
        <f t="shared" si="5"/>
        <v>65</v>
      </c>
      <c r="V99">
        <v>65</v>
      </c>
    </row>
    <row r="100" spans="1:22" ht="30" x14ac:dyDescent="0.25">
      <c r="A100" s="17" t="s">
        <v>814</v>
      </c>
      <c r="B100" s="18">
        <v>78</v>
      </c>
      <c r="C100" s="18">
        <v>20</v>
      </c>
      <c r="D100" s="18">
        <v>15</v>
      </c>
      <c r="E100" s="18">
        <v>35</v>
      </c>
      <c r="F100" s="18">
        <v>-27</v>
      </c>
      <c r="G100" s="18">
        <v>3</v>
      </c>
      <c r="H100" s="18">
        <v>1</v>
      </c>
      <c r="I100" s="18">
        <v>8</v>
      </c>
      <c r="J100" s="18">
        <v>113</v>
      </c>
      <c r="M100" t="s">
        <v>303</v>
      </c>
      <c r="N100" t="s">
        <v>1277</v>
      </c>
      <c r="O100" t="str">
        <f t="shared" si="3"/>
        <v>Brandon Sutter</v>
      </c>
      <c r="P100" s="18">
        <v>35</v>
      </c>
      <c r="R100" s="3" t="s">
        <v>386</v>
      </c>
      <c r="S100" s="3" t="s">
        <v>430</v>
      </c>
      <c r="T100" t="str">
        <f t="shared" si="4"/>
        <v>Mikael Backlund</v>
      </c>
      <c r="U100">
        <f t="shared" si="5"/>
        <v>44</v>
      </c>
      <c r="V100">
        <v>44</v>
      </c>
    </row>
    <row r="101" spans="1:22" ht="30" x14ac:dyDescent="0.25">
      <c r="A101" s="19" t="s">
        <v>815</v>
      </c>
      <c r="B101" s="20">
        <v>78</v>
      </c>
      <c r="C101" s="20">
        <v>15</v>
      </c>
      <c r="D101" s="20">
        <v>11</v>
      </c>
      <c r="E101" s="20">
        <v>26</v>
      </c>
      <c r="F101" s="20">
        <v>4</v>
      </c>
      <c r="G101" s="20">
        <v>2</v>
      </c>
      <c r="H101" s="20">
        <v>3</v>
      </c>
      <c r="I101" s="20">
        <v>21</v>
      </c>
      <c r="J101" s="20">
        <v>109</v>
      </c>
      <c r="M101" t="s">
        <v>419</v>
      </c>
      <c r="N101" t="s">
        <v>1278</v>
      </c>
      <c r="O101" t="str">
        <f t="shared" si="3"/>
        <v>Chris Kelly</v>
      </c>
      <c r="P101" s="20">
        <v>26</v>
      </c>
      <c r="R101" s="4" t="s">
        <v>436</v>
      </c>
      <c r="S101" s="4" t="s">
        <v>437</v>
      </c>
      <c r="T101" t="str">
        <f t="shared" si="4"/>
        <v>Aaron Ekblad</v>
      </c>
      <c r="U101">
        <f t="shared" si="5"/>
        <v>33</v>
      </c>
      <c r="V101">
        <v>33</v>
      </c>
    </row>
    <row r="102" spans="1:22" ht="30" x14ac:dyDescent="0.25">
      <c r="A102" s="17" t="s">
        <v>816</v>
      </c>
      <c r="B102" s="18">
        <v>78</v>
      </c>
      <c r="C102" s="18">
        <v>14</v>
      </c>
      <c r="D102" s="18">
        <v>11</v>
      </c>
      <c r="E102" s="18">
        <v>25</v>
      </c>
      <c r="F102" s="18">
        <v>9</v>
      </c>
      <c r="G102" s="18">
        <v>0</v>
      </c>
      <c r="H102" s="18">
        <v>0</v>
      </c>
      <c r="I102" s="18">
        <v>27</v>
      </c>
      <c r="J102" s="18">
        <v>108</v>
      </c>
      <c r="M102" t="s">
        <v>1279</v>
      </c>
      <c r="N102" t="s">
        <v>177</v>
      </c>
      <c r="O102" t="str">
        <f t="shared" si="3"/>
        <v>Melker Karlsson</v>
      </c>
      <c r="P102" s="18">
        <v>25</v>
      </c>
      <c r="R102" s="3" t="s">
        <v>292</v>
      </c>
      <c r="S102" s="3" t="s">
        <v>293</v>
      </c>
      <c r="T102" t="str">
        <f t="shared" si="4"/>
        <v>Derick Brassard</v>
      </c>
      <c r="U102">
        <f t="shared" si="5"/>
        <v>63</v>
      </c>
      <c r="V102">
        <v>63</v>
      </c>
    </row>
    <row r="103" spans="1:22" ht="45" x14ac:dyDescent="0.25">
      <c r="A103" s="19" t="s">
        <v>817</v>
      </c>
      <c r="B103" s="20">
        <v>78</v>
      </c>
      <c r="C103" s="20">
        <v>16</v>
      </c>
      <c r="D103" s="20">
        <v>9</v>
      </c>
      <c r="E103" s="20">
        <v>26</v>
      </c>
      <c r="F103" s="20">
        <v>18</v>
      </c>
      <c r="G103" s="20">
        <v>0</v>
      </c>
      <c r="H103" s="20">
        <v>3</v>
      </c>
      <c r="I103" s="20">
        <v>15</v>
      </c>
      <c r="J103" s="20">
        <v>108</v>
      </c>
      <c r="M103" t="s">
        <v>341</v>
      </c>
      <c r="N103" t="s">
        <v>1280</v>
      </c>
      <c r="O103" t="str">
        <f t="shared" si="3"/>
        <v>Paul Byron</v>
      </c>
      <c r="P103" s="20">
        <v>26</v>
      </c>
      <c r="R103" s="4" t="s">
        <v>226</v>
      </c>
      <c r="S103" s="4" t="s">
        <v>373</v>
      </c>
      <c r="T103" t="str">
        <f t="shared" si="4"/>
        <v>Jordan Staal</v>
      </c>
      <c r="U103">
        <f t="shared" si="5"/>
        <v>48</v>
      </c>
      <c r="V103">
        <v>48</v>
      </c>
    </row>
    <row r="104" spans="1:22" ht="30" x14ac:dyDescent="0.25">
      <c r="A104" s="17" t="s">
        <v>818</v>
      </c>
      <c r="B104" s="18">
        <v>78</v>
      </c>
      <c r="C104" s="18">
        <v>13</v>
      </c>
      <c r="D104" s="18">
        <v>23</v>
      </c>
      <c r="E104" s="18">
        <v>37</v>
      </c>
      <c r="F104" s="18">
        <v>-28</v>
      </c>
      <c r="G104" s="18">
        <v>4</v>
      </c>
      <c r="H104" s="18">
        <v>0</v>
      </c>
      <c r="I104" s="18">
        <v>29</v>
      </c>
      <c r="J104" s="18">
        <v>105</v>
      </c>
      <c r="M104" t="s">
        <v>440</v>
      </c>
      <c r="N104" t="s">
        <v>441</v>
      </c>
      <c r="O104" t="str">
        <f t="shared" si="3"/>
        <v>Pavel Zacha</v>
      </c>
      <c r="P104" s="18">
        <v>37</v>
      </c>
      <c r="R104" s="3" t="s">
        <v>431</v>
      </c>
      <c r="S104" s="3" t="s">
        <v>448</v>
      </c>
      <c r="T104" t="str">
        <f t="shared" si="4"/>
        <v>Nick Foligno</v>
      </c>
      <c r="U104">
        <f t="shared" si="5"/>
        <v>41</v>
      </c>
      <c r="V104">
        <v>41</v>
      </c>
    </row>
    <row r="105" spans="1:22" ht="45" x14ac:dyDescent="0.25">
      <c r="A105" s="19" t="s">
        <v>819</v>
      </c>
      <c r="B105" s="20">
        <v>78</v>
      </c>
      <c r="C105" s="20">
        <v>22</v>
      </c>
      <c r="D105" s="20">
        <v>18</v>
      </c>
      <c r="E105" s="20">
        <v>41</v>
      </c>
      <c r="F105" s="20">
        <v>-44</v>
      </c>
      <c r="G105" s="20">
        <v>4</v>
      </c>
      <c r="H105" s="20">
        <v>0</v>
      </c>
      <c r="I105" s="20">
        <v>9</v>
      </c>
      <c r="J105" s="20">
        <v>105</v>
      </c>
      <c r="M105" t="s">
        <v>397</v>
      </c>
      <c r="N105" t="s">
        <v>398</v>
      </c>
      <c r="O105" t="str">
        <f t="shared" si="3"/>
        <v>Sam Reinhart</v>
      </c>
      <c r="P105" s="20">
        <v>41</v>
      </c>
      <c r="R105" s="4" t="s">
        <v>204</v>
      </c>
      <c r="S105" s="4" t="s">
        <v>205</v>
      </c>
      <c r="T105" t="str">
        <f t="shared" si="4"/>
        <v>Corey Perry</v>
      </c>
      <c r="U105">
        <f t="shared" si="5"/>
        <v>68</v>
      </c>
      <c r="V105">
        <v>68</v>
      </c>
    </row>
    <row r="106" spans="1:22" ht="45" x14ac:dyDescent="0.25">
      <c r="A106" s="17" t="s">
        <v>820</v>
      </c>
      <c r="B106" s="18">
        <v>78</v>
      </c>
      <c r="C106" s="18">
        <v>12</v>
      </c>
      <c r="D106" s="18">
        <v>11</v>
      </c>
      <c r="E106" s="18">
        <v>23</v>
      </c>
      <c r="F106" s="18">
        <v>8</v>
      </c>
      <c r="G106" s="18">
        <v>2</v>
      </c>
      <c r="H106" s="18">
        <v>0</v>
      </c>
      <c r="I106" s="18">
        <v>37</v>
      </c>
      <c r="J106" s="18">
        <v>105</v>
      </c>
      <c r="M106" t="s">
        <v>1281</v>
      </c>
      <c r="N106" t="s">
        <v>1282</v>
      </c>
      <c r="O106" t="str">
        <f t="shared" si="3"/>
        <v>Jared McCann</v>
      </c>
      <c r="P106" s="18">
        <v>23</v>
      </c>
      <c r="R106" s="3" t="s">
        <v>314</v>
      </c>
      <c r="S106" s="3" t="s">
        <v>315</v>
      </c>
      <c r="T106" t="str">
        <f t="shared" si="4"/>
        <v>Gustav Nyquist</v>
      </c>
      <c r="U106">
        <f t="shared" si="5"/>
        <v>44</v>
      </c>
      <c r="V106">
        <v>44</v>
      </c>
    </row>
    <row r="107" spans="1:22" ht="45" x14ac:dyDescent="0.25">
      <c r="A107" s="19" t="s">
        <v>821</v>
      </c>
      <c r="B107" s="20">
        <v>78</v>
      </c>
      <c r="C107" s="20">
        <v>16</v>
      </c>
      <c r="D107" s="20">
        <v>19</v>
      </c>
      <c r="E107" s="20">
        <v>35</v>
      </c>
      <c r="F107" s="20">
        <v>-10</v>
      </c>
      <c r="G107" s="20">
        <v>0</v>
      </c>
      <c r="H107" s="20">
        <v>0</v>
      </c>
      <c r="I107" s="20">
        <v>28</v>
      </c>
      <c r="J107" s="20">
        <v>105</v>
      </c>
      <c r="M107" t="s">
        <v>1283</v>
      </c>
      <c r="N107" t="s">
        <v>1284</v>
      </c>
      <c r="O107" t="str">
        <f t="shared" si="3"/>
        <v>Shawn Matthias</v>
      </c>
      <c r="P107" s="20">
        <v>35</v>
      </c>
      <c r="R107" s="4" t="s">
        <v>208</v>
      </c>
      <c r="S107" s="4" t="s">
        <v>209</v>
      </c>
      <c r="T107" t="str">
        <f t="shared" si="4"/>
        <v>Nikita Kucherov</v>
      </c>
      <c r="U107">
        <f t="shared" si="5"/>
        <v>85</v>
      </c>
      <c r="V107">
        <v>85</v>
      </c>
    </row>
    <row r="108" spans="1:22" ht="45" x14ac:dyDescent="0.25">
      <c r="A108" s="17" t="s">
        <v>822</v>
      </c>
      <c r="B108" s="18">
        <v>78</v>
      </c>
      <c r="C108" s="18">
        <v>15</v>
      </c>
      <c r="D108" s="18">
        <v>22</v>
      </c>
      <c r="E108" s="18">
        <v>37</v>
      </c>
      <c r="F108" s="18">
        <v>-32</v>
      </c>
      <c r="G108" s="18">
        <v>5</v>
      </c>
      <c r="H108" s="18">
        <v>0</v>
      </c>
      <c r="I108" s="18">
        <v>33</v>
      </c>
      <c r="J108" s="18">
        <v>104</v>
      </c>
      <c r="M108" t="s">
        <v>220</v>
      </c>
      <c r="N108" t="s">
        <v>221</v>
      </c>
      <c r="O108" t="str">
        <f t="shared" si="3"/>
        <v>Auston Matthews</v>
      </c>
      <c r="P108" s="18">
        <v>37</v>
      </c>
      <c r="R108" s="3" t="s">
        <v>365</v>
      </c>
      <c r="S108" s="3" t="s">
        <v>366</v>
      </c>
      <c r="T108" t="str">
        <f t="shared" si="4"/>
        <v>Tomas Plekanec</v>
      </c>
      <c r="U108">
        <f t="shared" si="5"/>
        <v>55</v>
      </c>
      <c r="V108">
        <v>55</v>
      </c>
    </row>
    <row r="109" spans="1:22" ht="45" x14ac:dyDescent="0.25">
      <c r="A109" s="19" t="s">
        <v>823</v>
      </c>
      <c r="B109" s="20">
        <v>78</v>
      </c>
      <c r="C109" s="20">
        <v>16</v>
      </c>
      <c r="D109" s="20">
        <v>20</v>
      </c>
      <c r="E109" s="20">
        <v>36</v>
      </c>
      <c r="F109" s="20">
        <v>-33</v>
      </c>
      <c r="G109" s="20">
        <v>4</v>
      </c>
      <c r="H109" s="20">
        <v>0</v>
      </c>
      <c r="I109" s="20">
        <v>39</v>
      </c>
      <c r="J109" s="20">
        <v>102</v>
      </c>
      <c r="M109" t="s">
        <v>1285</v>
      </c>
      <c r="N109" t="s">
        <v>1286</v>
      </c>
      <c r="O109" t="str">
        <f t="shared" si="3"/>
        <v>Mitchell Marner</v>
      </c>
      <c r="P109" s="20">
        <v>36</v>
      </c>
      <c r="R109" s="4" t="s">
        <v>397</v>
      </c>
      <c r="S109" s="4" t="s">
        <v>421</v>
      </c>
      <c r="T109" t="str">
        <f t="shared" si="4"/>
        <v>Sam Bennett</v>
      </c>
      <c r="U109">
        <f t="shared" si="5"/>
        <v>36</v>
      </c>
      <c r="V109">
        <v>36</v>
      </c>
    </row>
    <row r="110" spans="1:22" ht="30" x14ac:dyDescent="0.25">
      <c r="A110" s="17" t="s">
        <v>824</v>
      </c>
      <c r="B110" s="18">
        <v>78</v>
      </c>
      <c r="C110" s="18">
        <v>9</v>
      </c>
      <c r="D110" s="18">
        <v>26</v>
      </c>
      <c r="E110" s="18">
        <v>36</v>
      </c>
      <c r="F110" s="18">
        <v>-21</v>
      </c>
      <c r="G110" s="18">
        <v>4</v>
      </c>
      <c r="H110" s="18">
        <v>0</v>
      </c>
      <c r="I110" s="18">
        <v>66</v>
      </c>
      <c r="J110" s="18">
        <v>101</v>
      </c>
      <c r="M110" t="s">
        <v>1287</v>
      </c>
      <c r="N110" t="s">
        <v>1288</v>
      </c>
      <c r="O110" t="str">
        <f t="shared" si="3"/>
        <v>Joseph Blandisi</v>
      </c>
      <c r="P110" s="18">
        <v>36</v>
      </c>
      <c r="R110" s="3" t="s">
        <v>298</v>
      </c>
      <c r="S110" s="3" t="s">
        <v>299</v>
      </c>
      <c r="T110" t="str">
        <f t="shared" si="4"/>
        <v>Loui Eriksson</v>
      </c>
      <c r="U110">
        <f t="shared" si="5"/>
        <v>56</v>
      </c>
      <c r="V110">
        <v>56</v>
      </c>
    </row>
    <row r="111" spans="1:22" ht="30" x14ac:dyDescent="0.25">
      <c r="A111" s="19" t="s">
        <v>825</v>
      </c>
      <c r="B111" s="20">
        <v>78</v>
      </c>
      <c r="C111" s="20">
        <v>14</v>
      </c>
      <c r="D111" s="20">
        <v>22</v>
      </c>
      <c r="E111" s="20">
        <v>36</v>
      </c>
      <c r="F111" s="20">
        <v>-21</v>
      </c>
      <c r="G111" s="20">
        <v>0</v>
      </c>
      <c r="H111" s="20">
        <v>1</v>
      </c>
      <c r="I111" s="20">
        <v>35</v>
      </c>
      <c r="J111" s="20">
        <v>101</v>
      </c>
      <c r="M111" t="s">
        <v>176</v>
      </c>
      <c r="N111" t="s">
        <v>1289</v>
      </c>
      <c r="O111" t="str">
        <f t="shared" si="3"/>
        <v>Erik Haula</v>
      </c>
      <c r="P111" s="20">
        <v>36</v>
      </c>
      <c r="R111" s="4" t="s">
        <v>222</v>
      </c>
      <c r="S111" s="4" t="s">
        <v>223</v>
      </c>
      <c r="T111" t="str">
        <f t="shared" si="4"/>
        <v>Brent Burns</v>
      </c>
      <c r="U111">
        <f t="shared" si="5"/>
        <v>77</v>
      </c>
      <c r="V111">
        <v>77</v>
      </c>
    </row>
    <row r="112" spans="1:22" ht="45" x14ac:dyDescent="0.25">
      <c r="A112" s="17" t="s">
        <v>826</v>
      </c>
      <c r="B112" s="18">
        <v>78</v>
      </c>
      <c r="C112" s="18">
        <v>11</v>
      </c>
      <c r="D112" s="18">
        <v>20</v>
      </c>
      <c r="E112" s="18">
        <v>32</v>
      </c>
      <c r="F112" s="18">
        <v>-27</v>
      </c>
      <c r="G112" s="18">
        <v>6</v>
      </c>
      <c r="H112" s="18">
        <v>0</v>
      </c>
      <c r="I112" s="18">
        <v>33</v>
      </c>
      <c r="J112" s="18">
        <v>100</v>
      </c>
      <c r="M112" t="s">
        <v>218</v>
      </c>
      <c r="N112" t="s">
        <v>1290</v>
      </c>
      <c r="O112" t="str">
        <f t="shared" si="3"/>
        <v>Jonathan Marchessault</v>
      </c>
      <c r="P112" s="18">
        <v>32</v>
      </c>
      <c r="R112" s="3" t="s">
        <v>218</v>
      </c>
      <c r="S112" s="3" t="s">
        <v>219</v>
      </c>
      <c r="T112" t="str">
        <f t="shared" si="4"/>
        <v>Jonathan Huberdeau</v>
      </c>
      <c r="U112">
        <f t="shared" si="5"/>
        <v>59</v>
      </c>
      <c r="V112">
        <v>59</v>
      </c>
    </row>
    <row r="113" spans="1:22" ht="45" x14ac:dyDescent="0.25">
      <c r="A113" s="19" t="s">
        <v>827</v>
      </c>
      <c r="B113" s="20">
        <v>78</v>
      </c>
      <c r="C113" s="20">
        <v>13</v>
      </c>
      <c r="D113" s="20">
        <v>19</v>
      </c>
      <c r="E113" s="20">
        <v>33</v>
      </c>
      <c r="F113" s="20">
        <v>-23</v>
      </c>
      <c r="G113" s="20">
        <v>4</v>
      </c>
      <c r="H113" s="20">
        <v>0</v>
      </c>
      <c r="I113" s="20">
        <v>25</v>
      </c>
      <c r="J113" s="20">
        <v>100</v>
      </c>
      <c r="M113" t="s">
        <v>166</v>
      </c>
      <c r="N113" t="s">
        <v>1291</v>
      </c>
      <c r="O113" t="str">
        <f t="shared" si="3"/>
        <v>Tyler Graovac</v>
      </c>
      <c r="P113" s="20">
        <v>33</v>
      </c>
      <c r="R113" s="4" t="s">
        <v>351</v>
      </c>
      <c r="S113" s="4" t="s">
        <v>352</v>
      </c>
      <c r="T113" t="str">
        <f t="shared" si="4"/>
        <v>Patric Hornqvist</v>
      </c>
      <c r="U113">
        <f t="shared" si="5"/>
        <v>55</v>
      </c>
      <c r="V113">
        <v>55</v>
      </c>
    </row>
    <row r="114" spans="1:22" ht="30" x14ac:dyDescent="0.25">
      <c r="A114" s="17" t="s">
        <v>828</v>
      </c>
      <c r="B114" s="18">
        <v>78</v>
      </c>
      <c r="C114" s="18">
        <v>14</v>
      </c>
      <c r="D114" s="18">
        <v>21</v>
      </c>
      <c r="E114" s="18">
        <v>35</v>
      </c>
      <c r="F114" s="18">
        <v>-33</v>
      </c>
      <c r="G114" s="18">
        <v>5</v>
      </c>
      <c r="H114" s="18">
        <v>0</v>
      </c>
      <c r="I114" s="18">
        <v>33</v>
      </c>
      <c r="J114" s="18">
        <v>99</v>
      </c>
      <c r="M114" t="s">
        <v>286</v>
      </c>
      <c r="N114" t="s">
        <v>395</v>
      </c>
      <c r="O114" t="str">
        <f t="shared" si="3"/>
        <v>Dylan Strome</v>
      </c>
      <c r="P114" s="18">
        <v>35</v>
      </c>
      <c r="R114" s="3" t="s">
        <v>333</v>
      </c>
      <c r="S114" s="3" t="s">
        <v>334</v>
      </c>
      <c r="T114" t="str">
        <f t="shared" si="4"/>
        <v>Carl Soderberg</v>
      </c>
      <c r="U114">
        <f t="shared" si="5"/>
        <v>51</v>
      </c>
      <c r="V114">
        <v>51</v>
      </c>
    </row>
    <row r="115" spans="1:22" ht="30" x14ac:dyDescent="0.25">
      <c r="A115" s="19" t="s">
        <v>829</v>
      </c>
      <c r="B115" s="20">
        <v>78</v>
      </c>
      <c r="C115" s="20">
        <v>10</v>
      </c>
      <c r="D115" s="20">
        <v>7</v>
      </c>
      <c r="E115" s="20">
        <v>18</v>
      </c>
      <c r="F115" s="20">
        <v>1</v>
      </c>
      <c r="G115" s="20">
        <v>0</v>
      </c>
      <c r="H115" s="20">
        <v>1</v>
      </c>
      <c r="I115" s="20">
        <v>23</v>
      </c>
      <c r="J115" s="20">
        <v>98</v>
      </c>
      <c r="M115" t="s">
        <v>1292</v>
      </c>
      <c r="N115" t="s">
        <v>1293</v>
      </c>
      <c r="O115" t="str">
        <f t="shared" si="3"/>
        <v>Trevor Lewis</v>
      </c>
      <c r="P115" s="20">
        <v>18</v>
      </c>
      <c r="R115" s="4" t="s">
        <v>349</v>
      </c>
      <c r="S115" s="4" t="s">
        <v>350</v>
      </c>
      <c r="T115" t="str">
        <f t="shared" si="4"/>
        <v>Drew Doughty</v>
      </c>
      <c r="U115">
        <f t="shared" si="5"/>
        <v>49</v>
      </c>
      <c r="V115">
        <v>49</v>
      </c>
    </row>
    <row r="116" spans="1:22" ht="45" x14ac:dyDescent="0.25">
      <c r="A116" s="17" t="s">
        <v>830</v>
      </c>
      <c r="B116" s="18">
        <v>78</v>
      </c>
      <c r="C116" s="18">
        <v>12</v>
      </c>
      <c r="D116" s="18">
        <v>12</v>
      </c>
      <c r="E116" s="18">
        <v>25</v>
      </c>
      <c r="F116" s="18">
        <v>-6</v>
      </c>
      <c r="G116" s="18">
        <v>0</v>
      </c>
      <c r="H116" s="18">
        <v>0</v>
      </c>
      <c r="I116" s="18">
        <v>63</v>
      </c>
      <c r="J116" s="18">
        <v>95</v>
      </c>
      <c r="M116" t="s">
        <v>170</v>
      </c>
      <c r="N116" t="s">
        <v>1285</v>
      </c>
      <c r="O116" t="str">
        <f t="shared" si="3"/>
        <v>John Mitchell</v>
      </c>
      <c r="P116" s="18">
        <v>25</v>
      </c>
      <c r="R116" s="3" t="s">
        <v>248</v>
      </c>
      <c r="S116" s="3" t="s">
        <v>249</v>
      </c>
      <c r="T116" t="str">
        <f t="shared" si="4"/>
        <v>Phil Kessel</v>
      </c>
      <c r="U116">
        <f t="shared" si="5"/>
        <v>68</v>
      </c>
      <c r="V116">
        <v>68</v>
      </c>
    </row>
    <row r="117" spans="1:22" ht="45" x14ac:dyDescent="0.25">
      <c r="A117" s="19" t="s">
        <v>831</v>
      </c>
      <c r="B117" s="20">
        <v>78</v>
      </c>
      <c r="C117" s="20">
        <v>13</v>
      </c>
      <c r="D117" s="20">
        <v>12</v>
      </c>
      <c r="E117" s="20">
        <v>26</v>
      </c>
      <c r="F117" s="20">
        <v>-7</v>
      </c>
      <c r="G117" s="20">
        <v>2</v>
      </c>
      <c r="H117" s="20">
        <v>0</v>
      </c>
      <c r="I117" s="20">
        <v>14</v>
      </c>
      <c r="J117" s="20">
        <v>93</v>
      </c>
      <c r="M117" t="s">
        <v>1243</v>
      </c>
      <c r="N117" t="s">
        <v>1294</v>
      </c>
      <c r="O117" t="str">
        <f t="shared" si="3"/>
        <v>Riley Sheahan</v>
      </c>
      <c r="P117" s="20">
        <v>26</v>
      </c>
      <c r="R117" s="4" t="s">
        <v>188</v>
      </c>
      <c r="S117" s="4" t="s">
        <v>389</v>
      </c>
      <c r="T117" t="str">
        <f t="shared" si="4"/>
        <v>Ryan Suter</v>
      </c>
      <c r="U117">
        <f t="shared" si="5"/>
        <v>47</v>
      </c>
      <c r="V117">
        <v>47</v>
      </c>
    </row>
    <row r="118" spans="1:22" ht="45" x14ac:dyDescent="0.25">
      <c r="A118" s="17" t="s">
        <v>832</v>
      </c>
      <c r="B118" s="18">
        <v>78</v>
      </c>
      <c r="C118" s="18">
        <v>8</v>
      </c>
      <c r="D118" s="18">
        <v>15</v>
      </c>
      <c r="E118" s="18">
        <v>24</v>
      </c>
      <c r="F118" s="18">
        <v>2</v>
      </c>
      <c r="G118" s="18">
        <v>0</v>
      </c>
      <c r="H118" s="18">
        <v>0</v>
      </c>
      <c r="I118" s="18">
        <v>38</v>
      </c>
      <c r="J118" s="18">
        <v>91</v>
      </c>
      <c r="M118" t="s">
        <v>392</v>
      </c>
      <c r="N118" t="s">
        <v>1295</v>
      </c>
      <c r="O118" t="str">
        <f t="shared" si="3"/>
        <v>Scott Laughton</v>
      </c>
      <c r="P118" s="18">
        <v>24</v>
      </c>
      <c r="R118" s="3" t="s">
        <v>303</v>
      </c>
      <c r="S118" s="3" t="s">
        <v>406</v>
      </c>
      <c r="T118" t="str">
        <f t="shared" si="4"/>
        <v>Brandon Dubinsky</v>
      </c>
      <c r="U118">
        <f t="shared" si="5"/>
        <v>52</v>
      </c>
      <c r="V118">
        <v>52</v>
      </c>
    </row>
    <row r="119" spans="1:22" ht="30" x14ac:dyDescent="0.25">
      <c r="A119" s="19" t="s">
        <v>833</v>
      </c>
      <c r="B119" s="20">
        <v>78</v>
      </c>
      <c r="C119" s="20">
        <v>9</v>
      </c>
      <c r="D119" s="20">
        <v>12</v>
      </c>
      <c r="E119" s="20">
        <v>22</v>
      </c>
      <c r="F119" s="20">
        <v>8</v>
      </c>
      <c r="G119" s="20">
        <v>0</v>
      </c>
      <c r="H119" s="20">
        <v>0</v>
      </c>
      <c r="I119" s="20">
        <v>22</v>
      </c>
      <c r="J119" s="20">
        <v>90</v>
      </c>
      <c r="M119" t="s">
        <v>419</v>
      </c>
      <c r="N119" t="s">
        <v>1296</v>
      </c>
      <c r="O119" t="str">
        <f t="shared" si="3"/>
        <v>Chris Tierney</v>
      </c>
      <c r="P119" s="20">
        <v>22</v>
      </c>
      <c r="R119" s="4" t="s">
        <v>243</v>
      </c>
      <c r="S119" s="4" t="s">
        <v>444</v>
      </c>
      <c r="T119" t="str">
        <f t="shared" si="4"/>
        <v>Jason Pominville</v>
      </c>
      <c r="U119">
        <f t="shared" si="5"/>
        <v>42</v>
      </c>
      <c r="V119">
        <v>42</v>
      </c>
    </row>
    <row r="120" spans="1:22" ht="45" x14ac:dyDescent="0.25">
      <c r="A120" s="17" t="s">
        <v>834</v>
      </c>
      <c r="B120" s="18">
        <v>78</v>
      </c>
      <c r="C120" s="18">
        <v>7</v>
      </c>
      <c r="D120" s="18">
        <v>23</v>
      </c>
      <c r="E120" s="18">
        <v>30</v>
      </c>
      <c r="F120" s="18">
        <v>-1</v>
      </c>
      <c r="G120" s="18">
        <v>2</v>
      </c>
      <c r="H120" s="18">
        <v>0</v>
      </c>
      <c r="I120" s="18">
        <v>9</v>
      </c>
      <c r="J120" s="18">
        <v>90</v>
      </c>
      <c r="M120" t="s">
        <v>1297</v>
      </c>
      <c r="N120" t="s">
        <v>1298</v>
      </c>
      <c r="O120" t="str">
        <f t="shared" si="3"/>
        <v>Mikhail Grigorenko</v>
      </c>
      <c r="P120" s="18">
        <v>30</v>
      </c>
      <c r="R120" s="3" t="s">
        <v>252</v>
      </c>
      <c r="S120" s="3" t="s">
        <v>364</v>
      </c>
      <c r="T120" t="str">
        <f t="shared" si="4"/>
        <v>Henrik Zetterberg</v>
      </c>
      <c r="U120">
        <f t="shared" si="5"/>
        <v>51</v>
      </c>
      <c r="V120">
        <v>51</v>
      </c>
    </row>
    <row r="121" spans="1:22" ht="45" x14ac:dyDescent="0.25">
      <c r="A121" s="19" t="s">
        <v>835</v>
      </c>
      <c r="B121" s="20">
        <v>78</v>
      </c>
      <c r="C121" s="20">
        <v>10</v>
      </c>
      <c r="D121" s="20">
        <v>19</v>
      </c>
      <c r="E121" s="20">
        <v>30</v>
      </c>
      <c r="F121" s="20">
        <v>-13</v>
      </c>
      <c r="G121" s="20">
        <v>0</v>
      </c>
      <c r="H121" s="20">
        <v>0</v>
      </c>
      <c r="I121" s="20">
        <v>38</v>
      </c>
      <c r="J121" s="20">
        <v>89</v>
      </c>
      <c r="M121" t="s">
        <v>307</v>
      </c>
      <c r="N121" t="s">
        <v>1299</v>
      </c>
      <c r="O121" t="str">
        <f t="shared" si="3"/>
        <v>Brad Richardson</v>
      </c>
      <c r="P121" s="20">
        <v>30</v>
      </c>
      <c r="R121" s="4" t="s">
        <v>290</v>
      </c>
      <c r="S121" s="4" t="s">
        <v>435</v>
      </c>
      <c r="T121" t="str">
        <f t="shared" si="4"/>
        <v>Mike Ribeiro</v>
      </c>
      <c r="U121">
        <f t="shared" si="5"/>
        <v>50</v>
      </c>
      <c r="V121">
        <v>50</v>
      </c>
    </row>
    <row r="122" spans="1:22" ht="45" x14ac:dyDescent="0.25">
      <c r="A122" s="17" t="s">
        <v>836</v>
      </c>
      <c r="B122" s="18">
        <v>78</v>
      </c>
      <c r="C122" s="18">
        <v>8</v>
      </c>
      <c r="D122" s="18">
        <v>9</v>
      </c>
      <c r="E122" s="18">
        <v>17</v>
      </c>
      <c r="F122" s="18">
        <v>27</v>
      </c>
      <c r="G122" s="18">
        <v>0</v>
      </c>
      <c r="H122" s="18">
        <v>0</v>
      </c>
      <c r="I122" s="18">
        <v>9</v>
      </c>
      <c r="J122" s="18">
        <v>89</v>
      </c>
      <c r="M122" t="s">
        <v>1300</v>
      </c>
      <c r="N122" t="s">
        <v>1301</v>
      </c>
      <c r="O122" t="str">
        <f t="shared" si="3"/>
        <v>Dennis Rasmussen</v>
      </c>
      <c r="P122" s="18">
        <v>17</v>
      </c>
      <c r="R122" s="3" t="s">
        <v>186</v>
      </c>
      <c r="S122" s="3" t="s">
        <v>187</v>
      </c>
      <c r="T122" t="str">
        <f t="shared" si="4"/>
        <v>Steven Stamkos</v>
      </c>
      <c r="U122">
        <f t="shared" si="5"/>
        <v>78</v>
      </c>
      <c r="V122">
        <v>78</v>
      </c>
    </row>
    <row r="123" spans="1:22" ht="45" x14ac:dyDescent="0.25">
      <c r="A123" s="19" t="s">
        <v>837</v>
      </c>
      <c r="B123" s="20">
        <v>78</v>
      </c>
      <c r="C123" s="20">
        <v>7</v>
      </c>
      <c r="D123" s="20">
        <v>7</v>
      </c>
      <c r="E123" s="20">
        <v>14</v>
      </c>
      <c r="F123" s="20">
        <v>16</v>
      </c>
      <c r="G123" s="20">
        <v>0</v>
      </c>
      <c r="H123" s="20">
        <v>0</v>
      </c>
      <c r="I123" s="20">
        <v>77</v>
      </c>
      <c r="J123" s="20">
        <v>88</v>
      </c>
      <c r="M123" t="s">
        <v>1302</v>
      </c>
      <c r="N123" t="s">
        <v>1303</v>
      </c>
      <c r="O123" t="str">
        <f t="shared" si="3"/>
        <v>Cedric Paquette</v>
      </c>
      <c r="P123" s="20">
        <v>14</v>
      </c>
      <c r="R123" s="4" t="s">
        <v>216</v>
      </c>
      <c r="S123" s="4" t="s">
        <v>217</v>
      </c>
      <c r="T123" t="str">
        <f t="shared" si="4"/>
        <v>Max Pacioretty</v>
      </c>
      <c r="U123">
        <f t="shared" si="5"/>
        <v>66</v>
      </c>
      <c r="V123">
        <v>66</v>
      </c>
    </row>
    <row r="124" spans="1:22" ht="45" x14ac:dyDescent="0.25">
      <c r="A124" s="17" t="s">
        <v>838</v>
      </c>
      <c r="B124" s="18">
        <v>78</v>
      </c>
      <c r="C124" s="18">
        <v>8</v>
      </c>
      <c r="D124" s="18">
        <v>5</v>
      </c>
      <c r="E124" s="18">
        <v>14</v>
      </c>
      <c r="F124" s="18">
        <v>22</v>
      </c>
      <c r="G124" s="18">
        <v>0</v>
      </c>
      <c r="H124" s="18">
        <v>0</v>
      </c>
      <c r="I124" s="18">
        <v>32</v>
      </c>
      <c r="J124" s="18">
        <v>88</v>
      </c>
      <c r="M124" t="s">
        <v>310</v>
      </c>
      <c r="N124" t="s">
        <v>1304</v>
      </c>
      <c r="O124" t="str">
        <f t="shared" si="3"/>
        <v>Andrew Desjardins</v>
      </c>
      <c r="P124" s="18">
        <v>14</v>
      </c>
      <c r="R124" s="3" t="s">
        <v>184</v>
      </c>
      <c r="S124" s="3" t="s">
        <v>185</v>
      </c>
      <c r="T124" t="str">
        <f t="shared" si="4"/>
        <v>Claude Giroux</v>
      </c>
      <c r="U124">
        <f t="shared" si="5"/>
        <v>73</v>
      </c>
      <c r="V124">
        <v>73</v>
      </c>
    </row>
    <row r="125" spans="1:22" ht="45" x14ac:dyDescent="0.25">
      <c r="A125" s="19" t="s">
        <v>839</v>
      </c>
      <c r="B125" s="20">
        <v>78</v>
      </c>
      <c r="C125" s="20">
        <v>8</v>
      </c>
      <c r="D125" s="20">
        <v>3</v>
      </c>
      <c r="E125" s="20">
        <v>12</v>
      </c>
      <c r="F125" s="20">
        <v>29</v>
      </c>
      <c r="G125" s="20">
        <v>0</v>
      </c>
      <c r="H125" s="20">
        <v>0</v>
      </c>
      <c r="I125" s="20">
        <v>30</v>
      </c>
      <c r="J125" s="20">
        <v>82</v>
      </c>
      <c r="M125" t="s">
        <v>1305</v>
      </c>
      <c r="N125" t="s">
        <v>1306</v>
      </c>
      <c r="O125" t="str">
        <f t="shared" si="3"/>
        <v>Colton Sissons</v>
      </c>
      <c r="P125" s="20">
        <v>12</v>
      </c>
      <c r="R125" s="4" t="s">
        <v>245</v>
      </c>
      <c r="S125" s="4" t="s">
        <v>246</v>
      </c>
      <c r="T125" t="str">
        <f t="shared" si="4"/>
        <v>Matt Duchene</v>
      </c>
      <c r="U125">
        <f t="shared" si="5"/>
        <v>64</v>
      </c>
      <c r="V125">
        <v>64</v>
      </c>
    </row>
    <row r="126" spans="1:22" ht="30" x14ac:dyDescent="0.25">
      <c r="A126" s="17" t="s">
        <v>840</v>
      </c>
      <c r="B126" s="18">
        <v>78</v>
      </c>
      <c r="C126" s="18">
        <v>11</v>
      </c>
      <c r="D126" s="18">
        <v>13</v>
      </c>
      <c r="E126" s="18">
        <v>25</v>
      </c>
      <c r="F126" s="18">
        <v>-23</v>
      </c>
      <c r="G126" s="18">
        <v>1</v>
      </c>
      <c r="H126" s="18">
        <v>0</v>
      </c>
      <c r="I126" s="18">
        <v>43</v>
      </c>
      <c r="J126" s="18">
        <v>81</v>
      </c>
      <c r="M126" t="s">
        <v>397</v>
      </c>
      <c r="N126" t="s">
        <v>1307</v>
      </c>
      <c r="O126" t="str">
        <f t="shared" si="3"/>
        <v>Sam Gagner</v>
      </c>
      <c r="P126" s="18">
        <v>25</v>
      </c>
      <c r="R126" s="3" t="s">
        <v>307</v>
      </c>
      <c r="S126" s="3" t="s">
        <v>308</v>
      </c>
      <c r="T126" t="str">
        <f t="shared" si="4"/>
        <v>Brad Marchand</v>
      </c>
      <c r="U126">
        <f t="shared" si="5"/>
        <v>67</v>
      </c>
      <c r="V126">
        <v>67</v>
      </c>
    </row>
    <row r="127" spans="1:22" ht="45" x14ac:dyDescent="0.25">
      <c r="A127" s="19" t="s">
        <v>841</v>
      </c>
      <c r="B127" s="20">
        <v>78</v>
      </c>
      <c r="C127" s="20">
        <v>8</v>
      </c>
      <c r="D127" s="20">
        <v>12</v>
      </c>
      <c r="E127" s="20">
        <v>21</v>
      </c>
      <c r="F127" s="20">
        <v>-3</v>
      </c>
      <c r="G127" s="20">
        <v>0</v>
      </c>
      <c r="H127" s="20">
        <v>0</v>
      </c>
      <c r="I127" s="20">
        <v>41</v>
      </c>
      <c r="J127" s="20">
        <v>75</v>
      </c>
      <c r="M127" t="s">
        <v>1308</v>
      </c>
      <c r="N127" t="s">
        <v>1309</v>
      </c>
      <c r="O127" t="str">
        <f t="shared" si="3"/>
        <v>Luke Glendening</v>
      </c>
      <c r="P127" s="20">
        <v>21</v>
      </c>
      <c r="R127" s="4" t="s">
        <v>170</v>
      </c>
      <c r="S127" s="4" t="s">
        <v>279</v>
      </c>
      <c r="T127" t="str">
        <f t="shared" si="4"/>
        <v>John Klingberg</v>
      </c>
      <c r="U127">
        <f t="shared" si="5"/>
        <v>57</v>
      </c>
      <c r="V127">
        <v>57</v>
      </c>
    </row>
    <row r="128" spans="1:22" ht="45" x14ac:dyDescent="0.25">
      <c r="A128" s="17" t="s">
        <v>842</v>
      </c>
      <c r="B128" s="18">
        <v>78</v>
      </c>
      <c r="C128" s="18">
        <v>11</v>
      </c>
      <c r="D128" s="18">
        <v>2</v>
      </c>
      <c r="E128" s="18">
        <v>14</v>
      </c>
      <c r="F128" s="18">
        <v>0</v>
      </c>
      <c r="G128" s="18">
        <v>0</v>
      </c>
      <c r="H128" s="18">
        <v>0</v>
      </c>
      <c r="I128" s="18">
        <v>83</v>
      </c>
      <c r="J128" s="18">
        <v>75</v>
      </c>
      <c r="M128" t="s">
        <v>1310</v>
      </c>
      <c r="N128" t="s">
        <v>1311</v>
      </c>
      <c r="O128" t="str">
        <f t="shared" si="3"/>
        <v>Andy Andreoff</v>
      </c>
      <c r="P128" s="18">
        <v>14</v>
      </c>
      <c r="R128" s="3" t="s">
        <v>300</v>
      </c>
      <c r="S128" s="3" t="s">
        <v>301</v>
      </c>
      <c r="T128" t="str">
        <f t="shared" si="4"/>
        <v>Dustin Byfuglien</v>
      </c>
      <c r="U128">
        <f t="shared" si="5"/>
        <v>56</v>
      </c>
      <c r="V128">
        <v>56</v>
      </c>
    </row>
    <row r="129" spans="1:22" ht="30" x14ac:dyDescent="0.25">
      <c r="A129" s="19" t="s">
        <v>843</v>
      </c>
      <c r="B129" s="20">
        <v>78</v>
      </c>
      <c r="C129" s="20">
        <v>0</v>
      </c>
      <c r="D129" s="20">
        <v>8</v>
      </c>
      <c r="E129" s="20">
        <v>8</v>
      </c>
      <c r="F129" s="20">
        <v>18</v>
      </c>
      <c r="G129" s="20">
        <v>0</v>
      </c>
      <c r="H129" s="20">
        <v>0</v>
      </c>
      <c r="I129" s="20">
        <v>41</v>
      </c>
      <c r="J129" s="20">
        <v>69</v>
      </c>
      <c r="M129" t="s">
        <v>335</v>
      </c>
      <c r="N129" t="s">
        <v>1312</v>
      </c>
      <c r="O129" t="str">
        <f t="shared" si="3"/>
        <v>Marcus Kruger</v>
      </c>
      <c r="P129" s="20">
        <v>8</v>
      </c>
      <c r="R129" s="4" t="s">
        <v>174</v>
      </c>
      <c r="S129" s="4" t="s">
        <v>175</v>
      </c>
      <c r="T129" t="str">
        <f t="shared" si="4"/>
        <v>Alexander Ovechkin</v>
      </c>
      <c r="U129" t="e">
        <f t="shared" si="5"/>
        <v>#N/A</v>
      </c>
      <c r="V129" t="e">
        <v>#N/A</v>
      </c>
    </row>
    <row r="130" spans="1:22" ht="45" x14ac:dyDescent="0.25">
      <c r="A130" s="17" t="s">
        <v>844</v>
      </c>
      <c r="B130" s="18">
        <v>78</v>
      </c>
      <c r="C130" s="18">
        <v>11</v>
      </c>
      <c r="D130" s="18">
        <v>16</v>
      </c>
      <c r="E130" s="18">
        <v>28</v>
      </c>
      <c r="F130" s="18">
        <v>-25</v>
      </c>
      <c r="G130" s="18">
        <v>0</v>
      </c>
      <c r="H130" s="18">
        <v>0</v>
      </c>
      <c r="I130" s="18">
        <v>16</v>
      </c>
      <c r="J130" s="18">
        <v>68</v>
      </c>
      <c r="M130" t="s">
        <v>1313</v>
      </c>
      <c r="N130" t="s">
        <v>1314</v>
      </c>
      <c r="O130" t="str">
        <f t="shared" ref="O130:O193" si="6">M130&amp;" "&amp;N130</f>
        <v>Joakim Nordstrom</v>
      </c>
      <c r="P130" s="18">
        <v>28</v>
      </c>
      <c r="R130" s="3" t="s">
        <v>321</v>
      </c>
      <c r="S130" s="3" t="s">
        <v>322</v>
      </c>
      <c r="T130" t="str">
        <f t="shared" ref="T130:T175" si="7">R130&amp;" "&amp;S130</f>
        <v>Jaromir Jagr</v>
      </c>
      <c r="U130">
        <f t="shared" ref="U130:U175" si="8">VLOOKUP(T130,$O$1:$P$511,2,0)</f>
        <v>60</v>
      </c>
      <c r="V130">
        <v>60</v>
      </c>
    </row>
    <row r="131" spans="1:22" ht="45" x14ac:dyDescent="0.25">
      <c r="A131" s="19" t="s">
        <v>845</v>
      </c>
      <c r="B131" s="20">
        <v>78</v>
      </c>
      <c r="C131" s="20">
        <v>6</v>
      </c>
      <c r="D131" s="20">
        <v>9</v>
      </c>
      <c r="E131" s="20">
        <v>15</v>
      </c>
      <c r="F131" s="20">
        <v>0</v>
      </c>
      <c r="G131" s="20">
        <v>0</v>
      </c>
      <c r="H131" s="20">
        <v>0</v>
      </c>
      <c r="I131" s="20">
        <v>26</v>
      </c>
      <c r="J131" s="20">
        <v>67</v>
      </c>
      <c r="M131" t="s">
        <v>1315</v>
      </c>
      <c r="N131" t="s">
        <v>1316</v>
      </c>
      <c r="O131" t="str">
        <f t="shared" si="6"/>
        <v>Phillip Danault</v>
      </c>
      <c r="P131" s="20">
        <v>15</v>
      </c>
      <c r="R131" s="4" t="s">
        <v>174</v>
      </c>
      <c r="S131" s="4" t="s">
        <v>276</v>
      </c>
      <c r="T131" t="str">
        <f t="shared" si="7"/>
        <v>Alexander Steen</v>
      </c>
      <c r="U131">
        <f t="shared" si="8"/>
        <v>62</v>
      </c>
      <c r="V131">
        <v>62</v>
      </c>
    </row>
    <row r="132" spans="1:22" ht="45" x14ac:dyDescent="0.25">
      <c r="A132" s="17" t="s">
        <v>846</v>
      </c>
      <c r="B132" s="18">
        <v>78</v>
      </c>
      <c r="C132" s="18">
        <v>12</v>
      </c>
      <c r="D132" s="18">
        <v>12</v>
      </c>
      <c r="E132" s="18">
        <v>25</v>
      </c>
      <c r="F132" s="18">
        <v>-33</v>
      </c>
      <c r="G132" s="18">
        <v>3</v>
      </c>
      <c r="H132" s="18">
        <v>0</v>
      </c>
      <c r="I132" s="18">
        <v>31</v>
      </c>
      <c r="J132" s="18">
        <v>66</v>
      </c>
      <c r="M132" t="s">
        <v>1317</v>
      </c>
      <c r="N132" t="s">
        <v>1318</v>
      </c>
      <c r="O132" t="str">
        <f t="shared" si="6"/>
        <v>Laurent Dauphin</v>
      </c>
      <c r="P132" s="18">
        <v>25</v>
      </c>
      <c r="R132" s="3" t="s">
        <v>415</v>
      </c>
      <c r="S132" s="3" t="s">
        <v>416</v>
      </c>
      <c r="T132" t="str">
        <f t="shared" si="7"/>
        <v>Robby Fabbri</v>
      </c>
      <c r="U132">
        <f t="shared" si="8"/>
        <v>50</v>
      </c>
      <c r="V132">
        <v>50</v>
      </c>
    </row>
    <row r="133" spans="1:22" ht="45" x14ac:dyDescent="0.25">
      <c r="A133" s="19" t="s">
        <v>847</v>
      </c>
      <c r="B133" s="20">
        <v>78</v>
      </c>
      <c r="C133" s="20">
        <v>10</v>
      </c>
      <c r="D133" s="20">
        <v>14</v>
      </c>
      <c r="E133" s="20">
        <v>25</v>
      </c>
      <c r="F133" s="20">
        <v>-32</v>
      </c>
      <c r="G133" s="20">
        <v>6</v>
      </c>
      <c r="H133" s="20">
        <v>1</v>
      </c>
      <c r="I133" s="20">
        <v>10</v>
      </c>
      <c r="J133" s="20">
        <v>65</v>
      </c>
      <c r="M133" t="s">
        <v>196</v>
      </c>
      <c r="N133" t="s">
        <v>1319</v>
      </c>
      <c r="O133" t="str">
        <f t="shared" si="6"/>
        <v>Mark Letestu</v>
      </c>
      <c r="P133" s="20">
        <v>25</v>
      </c>
      <c r="R133" s="4" t="s">
        <v>341</v>
      </c>
      <c r="S133" s="4" t="s">
        <v>342</v>
      </c>
      <c r="T133" t="str">
        <f t="shared" si="7"/>
        <v>Paul Stastny</v>
      </c>
      <c r="U133">
        <f t="shared" si="8"/>
        <v>60</v>
      </c>
      <c r="V133">
        <v>60</v>
      </c>
    </row>
    <row r="134" spans="1:22" ht="30" x14ac:dyDescent="0.25">
      <c r="A134" s="17" t="s">
        <v>848</v>
      </c>
      <c r="B134" s="18">
        <v>78</v>
      </c>
      <c r="C134" s="18">
        <v>1</v>
      </c>
      <c r="D134" s="18">
        <v>13</v>
      </c>
      <c r="E134" s="18">
        <v>14</v>
      </c>
      <c r="F134" s="18">
        <v>8</v>
      </c>
      <c r="G134" s="18">
        <v>0</v>
      </c>
      <c r="H134" s="18">
        <v>0</v>
      </c>
      <c r="I134" s="18">
        <v>42</v>
      </c>
      <c r="J134" s="18">
        <v>62</v>
      </c>
      <c r="M134" t="s">
        <v>1320</v>
      </c>
      <c r="N134" t="s">
        <v>1321</v>
      </c>
      <c r="O134" t="str">
        <f t="shared" si="6"/>
        <v>Stephen Gionta</v>
      </c>
      <c r="P134" s="18">
        <v>14</v>
      </c>
      <c r="R134" s="3" t="s">
        <v>218</v>
      </c>
      <c r="S134" s="3" t="s">
        <v>242</v>
      </c>
      <c r="T134" t="str">
        <f t="shared" si="7"/>
        <v>Jonathan Toews</v>
      </c>
      <c r="U134">
        <f t="shared" si="8"/>
        <v>64</v>
      </c>
      <c r="V134">
        <v>64</v>
      </c>
    </row>
    <row r="135" spans="1:22" ht="30" x14ac:dyDescent="0.25">
      <c r="A135" s="19" t="s">
        <v>849</v>
      </c>
      <c r="B135" s="20">
        <v>78</v>
      </c>
      <c r="C135" s="20">
        <v>3</v>
      </c>
      <c r="D135" s="20">
        <v>8</v>
      </c>
      <c r="E135" s="20">
        <v>12</v>
      </c>
      <c r="F135" s="20">
        <v>-3</v>
      </c>
      <c r="G135" s="20">
        <v>1</v>
      </c>
      <c r="H135" s="20">
        <v>0</v>
      </c>
      <c r="I135" s="20">
        <v>39</v>
      </c>
      <c r="J135" s="20">
        <v>62</v>
      </c>
      <c r="M135" t="s">
        <v>431</v>
      </c>
      <c r="N135" t="s">
        <v>1322</v>
      </c>
      <c r="O135" t="str">
        <f t="shared" si="6"/>
        <v>Nick Shore</v>
      </c>
      <c r="P135" s="20">
        <v>12</v>
      </c>
      <c r="R135" s="4" t="s">
        <v>216</v>
      </c>
      <c r="S135" s="4" t="s">
        <v>259</v>
      </c>
      <c r="T135" t="str">
        <f t="shared" si="7"/>
        <v>Max Domi</v>
      </c>
      <c r="U135">
        <f t="shared" si="8"/>
        <v>51</v>
      </c>
      <c r="V135">
        <v>51</v>
      </c>
    </row>
    <row r="136" spans="1:22" ht="30" x14ac:dyDescent="0.25">
      <c r="A136" s="17" t="s">
        <v>850</v>
      </c>
      <c r="B136" s="18">
        <v>78</v>
      </c>
      <c r="C136" s="18">
        <v>6</v>
      </c>
      <c r="D136" s="18">
        <v>8</v>
      </c>
      <c r="E136" s="18">
        <v>14</v>
      </c>
      <c r="F136" s="18">
        <v>-2</v>
      </c>
      <c r="G136" s="18">
        <v>0</v>
      </c>
      <c r="H136" s="18">
        <v>1</v>
      </c>
      <c r="I136" s="18">
        <v>10</v>
      </c>
      <c r="J136" s="18">
        <v>60</v>
      </c>
      <c r="M136" t="s">
        <v>1259</v>
      </c>
      <c r="N136" t="s">
        <v>1323</v>
      </c>
      <c r="O136" t="str">
        <f t="shared" si="6"/>
        <v>Brian Flynn</v>
      </c>
      <c r="P136" s="18">
        <v>14</v>
      </c>
      <c r="R136" s="3" t="s">
        <v>168</v>
      </c>
      <c r="S136" s="3" t="s">
        <v>200</v>
      </c>
      <c r="T136" t="str">
        <f t="shared" si="7"/>
        <v>Joe Thornton</v>
      </c>
      <c r="U136">
        <f t="shared" si="8"/>
        <v>77</v>
      </c>
      <c r="V136">
        <v>77</v>
      </c>
    </row>
    <row r="137" spans="1:22" ht="30" x14ac:dyDescent="0.25">
      <c r="A137" s="19" t="s">
        <v>851</v>
      </c>
      <c r="B137" s="20">
        <v>78</v>
      </c>
      <c r="C137" s="20">
        <v>11</v>
      </c>
      <c r="D137" s="20">
        <v>10</v>
      </c>
      <c r="E137" s="20">
        <v>22</v>
      </c>
      <c r="F137" s="20">
        <v>-34</v>
      </c>
      <c r="G137" s="20">
        <v>1</v>
      </c>
      <c r="H137" s="20">
        <v>0</v>
      </c>
      <c r="I137" s="20">
        <v>33</v>
      </c>
      <c r="J137" s="20">
        <v>59</v>
      </c>
      <c r="M137" t="s">
        <v>1324</v>
      </c>
      <c r="N137" t="s">
        <v>1325</v>
      </c>
      <c r="O137" t="str">
        <f t="shared" si="6"/>
        <v>Marko Dano</v>
      </c>
      <c r="P137" s="20">
        <v>22</v>
      </c>
      <c r="R137" s="4" t="s">
        <v>449</v>
      </c>
      <c r="S137" s="4" t="s">
        <v>450</v>
      </c>
      <c r="T137" t="str">
        <f t="shared" si="7"/>
        <v>Jarome Iginla</v>
      </c>
      <c r="U137">
        <f t="shared" si="8"/>
        <v>47</v>
      </c>
      <c r="V137">
        <v>47</v>
      </c>
    </row>
    <row r="138" spans="1:22" ht="45" x14ac:dyDescent="0.25">
      <c r="A138" s="17" t="s">
        <v>852</v>
      </c>
      <c r="B138" s="18">
        <v>78</v>
      </c>
      <c r="C138" s="18">
        <v>8</v>
      </c>
      <c r="D138" s="18">
        <v>3</v>
      </c>
      <c r="E138" s="18">
        <v>11</v>
      </c>
      <c r="F138" s="18">
        <v>5</v>
      </c>
      <c r="G138" s="18">
        <v>0</v>
      </c>
      <c r="H138" s="18">
        <v>1</v>
      </c>
      <c r="I138" s="18">
        <v>36</v>
      </c>
      <c r="J138" s="18">
        <v>58</v>
      </c>
      <c r="M138" t="s">
        <v>254</v>
      </c>
      <c r="N138" t="s">
        <v>1326</v>
      </c>
      <c r="O138" t="str">
        <f t="shared" si="6"/>
        <v>Kyle Brodziak</v>
      </c>
      <c r="P138" s="18">
        <v>11</v>
      </c>
      <c r="R138" s="3" t="s">
        <v>374</v>
      </c>
      <c r="S138" s="3" t="s">
        <v>375</v>
      </c>
      <c r="T138" t="str">
        <f t="shared" si="7"/>
        <v>Justin Faulk</v>
      </c>
      <c r="U138">
        <f t="shared" si="8"/>
        <v>48</v>
      </c>
      <c r="V138">
        <v>48</v>
      </c>
    </row>
    <row r="139" spans="1:22" ht="45" x14ac:dyDescent="0.25">
      <c r="A139" s="19" t="s">
        <v>853</v>
      </c>
      <c r="B139" s="20">
        <v>78</v>
      </c>
      <c r="C139" s="20">
        <v>6</v>
      </c>
      <c r="D139" s="20">
        <v>14</v>
      </c>
      <c r="E139" s="20">
        <v>20</v>
      </c>
      <c r="F139" s="20">
        <v>-34</v>
      </c>
      <c r="G139" s="20">
        <v>5</v>
      </c>
      <c r="H139" s="20">
        <v>0</v>
      </c>
      <c r="I139" s="20">
        <v>27</v>
      </c>
      <c r="J139" s="20">
        <v>56</v>
      </c>
      <c r="M139" t="s">
        <v>1327</v>
      </c>
      <c r="N139" t="s">
        <v>1328</v>
      </c>
      <c r="O139" t="str">
        <f t="shared" si="6"/>
        <v>Jacob Josefson</v>
      </c>
      <c r="P139" s="20">
        <v>20</v>
      </c>
      <c r="R139" s="4" t="s">
        <v>188</v>
      </c>
      <c r="S139" s="4" t="s">
        <v>388</v>
      </c>
      <c r="T139" t="str">
        <f t="shared" si="7"/>
        <v>Ryan Spooner</v>
      </c>
      <c r="U139">
        <f t="shared" si="8"/>
        <v>52</v>
      </c>
      <c r="V139">
        <v>52</v>
      </c>
    </row>
    <row r="140" spans="1:22" ht="45" x14ac:dyDescent="0.25">
      <c r="A140" s="17" t="s">
        <v>854</v>
      </c>
      <c r="B140" s="18">
        <v>78</v>
      </c>
      <c r="C140" s="18">
        <v>10</v>
      </c>
      <c r="D140" s="18">
        <v>18</v>
      </c>
      <c r="E140" s="18">
        <v>29</v>
      </c>
      <c r="F140" s="18">
        <v>-54</v>
      </c>
      <c r="G140" s="18">
        <v>3</v>
      </c>
      <c r="H140" s="18">
        <v>0</v>
      </c>
      <c r="I140" s="18">
        <v>20</v>
      </c>
      <c r="J140" s="18">
        <v>56</v>
      </c>
      <c r="M140" t="s">
        <v>433</v>
      </c>
      <c r="N140" t="s">
        <v>434</v>
      </c>
      <c r="O140" t="str">
        <f t="shared" si="6"/>
        <v>Teuvo Teravainen</v>
      </c>
      <c r="P140" s="18">
        <v>29</v>
      </c>
      <c r="R140" s="3" t="s">
        <v>192</v>
      </c>
      <c r="S140" s="3" t="s">
        <v>193</v>
      </c>
      <c r="T140" t="str">
        <f t="shared" si="7"/>
        <v>Blake Wheeler</v>
      </c>
      <c r="U140">
        <f t="shared" si="8"/>
        <v>80</v>
      </c>
      <c r="V140">
        <v>80</v>
      </c>
    </row>
    <row r="141" spans="1:22" ht="45" x14ac:dyDescent="0.25">
      <c r="A141" s="19" t="s">
        <v>855</v>
      </c>
      <c r="B141" s="20">
        <v>78</v>
      </c>
      <c r="C141" s="20">
        <v>3</v>
      </c>
      <c r="D141" s="20">
        <v>12</v>
      </c>
      <c r="E141" s="20">
        <v>15</v>
      </c>
      <c r="F141" s="20">
        <v>0</v>
      </c>
      <c r="G141" s="20">
        <v>0</v>
      </c>
      <c r="H141" s="20">
        <v>0</v>
      </c>
      <c r="I141" s="20">
        <v>24</v>
      </c>
      <c r="J141" s="20">
        <v>55</v>
      </c>
      <c r="M141" t="s">
        <v>419</v>
      </c>
      <c r="N141" t="s">
        <v>1329</v>
      </c>
      <c r="O141" t="str">
        <f t="shared" si="6"/>
        <v>Chris VandeVelde</v>
      </c>
      <c r="P141" s="20">
        <v>15</v>
      </c>
      <c r="R141" s="4" t="s">
        <v>162</v>
      </c>
      <c r="S141" s="4" t="s">
        <v>163</v>
      </c>
      <c r="T141" t="str">
        <f t="shared" si="7"/>
        <v>Patrick Kane</v>
      </c>
      <c r="U141">
        <f t="shared" si="8"/>
        <v>112</v>
      </c>
      <c r="V141">
        <v>112</v>
      </c>
    </row>
    <row r="142" spans="1:22" ht="45" x14ac:dyDescent="0.25">
      <c r="A142" s="17" t="s">
        <v>856</v>
      </c>
      <c r="B142" s="18">
        <v>78</v>
      </c>
      <c r="C142" s="18">
        <v>9</v>
      </c>
      <c r="D142" s="18">
        <v>10</v>
      </c>
      <c r="E142" s="18">
        <v>20</v>
      </c>
      <c r="F142" s="18">
        <v>-18</v>
      </c>
      <c r="G142" s="18">
        <v>0</v>
      </c>
      <c r="H142" s="18">
        <v>0</v>
      </c>
      <c r="I142" s="18">
        <v>5</v>
      </c>
      <c r="J142" s="18">
        <v>53</v>
      </c>
      <c r="M142" t="s">
        <v>1239</v>
      </c>
      <c r="N142" t="s">
        <v>177</v>
      </c>
      <c r="O142" t="str">
        <f t="shared" si="6"/>
        <v>William Karlsson</v>
      </c>
      <c r="P142" s="18">
        <v>20</v>
      </c>
      <c r="R142" s="3" t="s">
        <v>286</v>
      </c>
      <c r="S142" s="3" t="s">
        <v>287</v>
      </c>
      <c r="T142" t="str">
        <f t="shared" si="7"/>
        <v>Dylan Larkin</v>
      </c>
      <c r="U142">
        <f t="shared" si="8"/>
        <v>47</v>
      </c>
      <c r="V142">
        <v>47</v>
      </c>
    </row>
    <row r="143" spans="1:22" ht="30" x14ac:dyDescent="0.25">
      <c r="A143" s="19" t="s">
        <v>857</v>
      </c>
      <c r="B143" s="20">
        <v>78</v>
      </c>
      <c r="C143" s="20">
        <v>9</v>
      </c>
      <c r="D143" s="20">
        <v>8</v>
      </c>
      <c r="E143" s="20">
        <v>17</v>
      </c>
      <c r="F143" s="20">
        <v>-20</v>
      </c>
      <c r="G143" s="20">
        <v>1</v>
      </c>
      <c r="H143" s="20">
        <v>0</v>
      </c>
      <c r="I143" s="20">
        <v>33</v>
      </c>
      <c r="J143" s="20">
        <v>48</v>
      </c>
      <c r="M143" t="s">
        <v>1330</v>
      </c>
      <c r="N143" t="s">
        <v>1331</v>
      </c>
      <c r="O143" t="str">
        <f t="shared" si="6"/>
        <v>Sergey Kalinin</v>
      </c>
      <c r="P143" s="20">
        <v>17</v>
      </c>
      <c r="R143" s="4" t="s">
        <v>290</v>
      </c>
      <c r="S143" s="4" t="s">
        <v>291</v>
      </c>
      <c r="T143" t="str">
        <f t="shared" si="7"/>
        <v>Mike Hoffman</v>
      </c>
      <c r="U143">
        <f t="shared" si="8"/>
        <v>67</v>
      </c>
      <c r="V143">
        <v>67</v>
      </c>
    </row>
    <row r="144" spans="1:22" ht="45" x14ac:dyDescent="0.25">
      <c r="A144" s="17" t="s">
        <v>858</v>
      </c>
      <c r="B144" s="18">
        <v>78</v>
      </c>
      <c r="C144" s="18">
        <v>9</v>
      </c>
      <c r="D144" s="18">
        <v>6</v>
      </c>
      <c r="E144" s="18">
        <v>15</v>
      </c>
      <c r="F144" s="18">
        <v>-23</v>
      </c>
      <c r="G144" s="18">
        <v>0</v>
      </c>
      <c r="H144" s="18">
        <v>1</v>
      </c>
      <c r="I144" s="18">
        <v>33</v>
      </c>
      <c r="J144" s="18">
        <v>47</v>
      </c>
      <c r="M144" t="s">
        <v>1332</v>
      </c>
      <c r="N144" t="s">
        <v>387</v>
      </c>
      <c r="O144" t="str">
        <f t="shared" si="6"/>
        <v>Markus Granlund</v>
      </c>
      <c r="P144" s="18">
        <v>15</v>
      </c>
      <c r="R144" s="3" t="s">
        <v>262</v>
      </c>
      <c r="S144" s="3" t="s">
        <v>263</v>
      </c>
      <c r="T144" t="str">
        <f t="shared" si="7"/>
        <v>Gabriel Landeskog</v>
      </c>
      <c r="U144">
        <f t="shared" si="8"/>
        <v>59</v>
      </c>
      <c r="V144">
        <v>59</v>
      </c>
    </row>
    <row r="145" spans="1:22" ht="45" x14ac:dyDescent="0.25">
      <c r="A145" s="19" t="s">
        <v>859</v>
      </c>
      <c r="B145" s="20">
        <v>78</v>
      </c>
      <c r="C145" s="20">
        <v>6</v>
      </c>
      <c r="D145" s="20">
        <v>8</v>
      </c>
      <c r="E145" s="20">
        <v>15</v>
      </c>
      <c r="F145" s="20">
        <v>-23</v>
      </c>
      <c r="G145" s="20">
        <v>0</v>
      </c>
      <c r="H145" s="20">
        <v>0</v>
      </c>
      <c r="I145" s="20">
        <v>45</v>
      </c>
      <c r="J145" s="20">
        <v>47</v>
      </c>
      <c r="M145" t="s">
        <v>265</v>
      </c>
      <c r="N145" t="s">
        <v>1333</v>
      </c>
      <c r="O145" t="str">
        <f t="shared" si="6"/>
        <v>Derek MacKenzie</v>
      </c>
      <c r="P145" s="20">
        <v>15</v>
      </c>
      <c r="R145" s="4" t="s">
        <v>339</v>
      </c>
      <c r="S145" s="4" t="s">
        <v>340</v>
      </c>
      <c r="T145" t="str">
        <f t="shared" si="7"/>
        <v>Adam Henrique</v>
      </c>
      <c r="U145">
        <f t="shared" si="8"/>
        <v>56</v>
      </c>
      <c r="V145">
        <v>56</v>
      </c>
    </row>
    <row r="146" spans="1:22" ht="30" x14ac:dyDescent="0.25">
      <c r="A146" s="17" t="s">
        <v>860</v>
      </c>
      <c r="B146" s="18">
        <v>78</v>
      </c>
      <c r="C146" s="18">
        <v>8</v>
      </c>
      <c r="D146" s="18">
        <v>6</v>
      </c>
      <c r="E146" s="18">
        <v>15</v>
      </c>
      <c r="F146" s="18">
        <v>-34</v>
      </c>
      <c r="G146" s="18">
        <v>0</v>
      </c>
      <c r="H146" s="18">
        <v>0</v>
      </c>
      <c r="I146" s="18">
        <v>93</v>
      </c>
      <c r="J146" s="18">
        <v>45</v>
      </c>
      <c r="M146" t="s">
        <v>188</v>
      </c>
      <c r="N146" t="s">
        <v>278</v>
      </c>
      <c r="O146" t="str">
        <f t="shared" si="6"/>
        <v>Ryan Carter</v>
      </c>
      <c r="P146" s="18">
        <v>15</v>
      </c>
      <c r="R146" s="3" t="s">
        <v>453</v>
      </c>
      <c r="S146" s="3" t="s">
        <v>454</v>
      </c>
      <c r="T146" t="str">
        <f t="shared" si="7"/>
        <v>Rasmus Ristolainen</v>
      </c>
      <c r="U146">
        <f t="shared" si="8"/>
        <v>39</v>
      </c>
      <c r="V146">
        <v>39</v>
      </c>
    </row>
    <row r="147" spans="1:22" ht="30" x14ac:dyDescent="0.25">
      <c r="A147" s="19" t="s">
        <v>861</v>
      </c>
      <c r="B147" s="20">
        <v>78</v>
      </c>
      <c r="C147" s="20">
        <v>0</v>
      </c>
      <c r="D147" s="20">
        <v>8</v>
      </c>
      <c r="E147" s="20">
        <v>8</v>
      </c>
      <c r="F147" s="20">
        <v>-15</v>
      </c>
      <c r="G147" s="20">
        <v>0</v>
      </c>
      <c r="H147" s="20">
        <v>0</v>
      </c>
      <c r="I147" s="20">
        <v>93</v>
      </c>
      <c r="J147" s="20">
        <v>39</v>
      </c>
      <c r="M147" t="s">
        <v>1334</v>
      </c>
      <c r="N147" t="s">
        <v>1335</v>
      </c>
      <c r="O147" t="str">
        <f t="shared" si="6"/>
        <v>Steve Ott</v>
      </c>
      <c r="P147" s="20">
        <v>8</v>
      </c>
      <c r="R147" s="4" t="s">
        <v>277</v>
      </c>
      <c r="S147" s="4" t="s">
        <v>278</v>
      </c>
      <c r="T147" t="str">
        <f t="shared" si="7"/>
        <v>Jeff Carter</v>
      </c>
      <c r="U147">
        <f t="shared" si="8"/>
        <v>67</v>
      </c>
      <c r="V147">
        <v>67</v>
      </c>
    </row>
    <row r="148" spans="1:22" ht="45" x14ac:dyDescent="0.25">
      <c r="A148" s="17" t="s">
        <v>862</v>
      </c>
      <c r="B148" s="18">
        <v>78</v>
      </c>
      <c r="C148" s="18">
        <v>2</v>
      </c>
      <c r="D148" s="18">
        <v>2</v>
      </c>
      <c r="E148" s="18">
        <v>5</v>
      </c>
      <c r="F148" s="18">
        <v>6</v>
      </c>
      <c r="G148" s="18">
        <v>0</v>
      </c>
      <c r="H148" s="18">
        <v>0</v>
      </c>
      <c r="I148" s="18">
        <v>12</v>
      </c>
      <c r="J148" s="18">
        <v>38</v>
      </c>
      <c r="M148" t="s">
        <v>1336</v>
      </c>
      <c r="N148" t="s">
        <v>1337</v>
      </c>
      <c r="O148" t="str">
        <f t="shared" si="6"/>
        <v>Boyd Gordon</v>
      </c>
      <c r="P148" s="18">
        <v>5</v>
      </c>
      <c r="R148" s="3" t="s">
        <v>188</v>
      </c>
      <c r="S148" s="3" t="s">
        <v>363</v>
      </c>
      <c r="T148" t="str">
        <f t="shared" si="7"/>
        <v>Ryan Kesler</v>
      </c>
      <c r="U148">
        <f t="shared" si="8"/>
        <v>62</v>
      </c>
      <c r="V148">
        <v>62</v>
      </c>
    </row>
    <row r="149" spans="1:22" ht="45" x14ac:dyDescent="0.25">
      <c r="A149" s="19" t="s">
        <v>863</v>
      </c>
      <c r="B149" s="20">
        <v>78</v>
      </c>
      <c r="C149" s="20">
        <v>7</v>
      </c>
      <c r="D149" s="20">
        <v>11</v>
      </c>
      <c r="E149" s="20">
        <v>19</v>
      </c>
      <c r="F149" s="20">
        <v>-43</v>
      </c>
      <c r="G149" s="20">
        <v>1</v>
      </c>
      <c r="H149" s="20">
        <v>0</v>
      </c>
      <c r="I149" s="20">
        <v>28</v>
      </c>
      <c r="J149" s="20">
        <v>36</v>
      </c>
      <c r="M149" t="s">
        <v>1338</v>
      </c>
      <c r="N149" t="s">
        <v>1339</v>
      </c>
      <c r="O149" t="str">
        <f t="shared" si="6"/>
        <v>Zemgus Girgensons</v>
      </c>
      <c r="P149" s="20">
        <v>19</v>
      </c>
      <c r="R149" s="4" t="s">
        <v>327</v>
      </c>
      <c r="S149" s="4" t="s">
        <v>362</v>
      </c>
      <c r="T149" t="str">
        <f t="shared" si="7"/>
        <v>Victor Rask</v>
      </c>
      <c r="U149">
        <f t="shared" si="8"/>
        <v>51</v>
      </c>
      <c r="V149">
        <v>51</v>
      </c>
    </row>
    <row r="150" spans="1:22" ht="45" x14ac:dyDescent="0.25">
      <c r="A150" s="17" t="s">
        <v>864</v>
      </c>
      <c r="B150" s="18">
        <v>78</v>
      </c>
      <c r="C150" s="18">
        <v>3</v>
      </c>
      <c r="D150" s="18">
        <v>11</v>
      </c>
      <c r="E150" s="18">
        <v>15</v>
      </c>
      <c r="F150" s="18">
        <v>-50</v>
      </c>
      <c r="G150" s="18">
        <v>4</v>
      </c>
      <c r="H150" s="18">
        <v>0</v>
      </c>
      <c r="I150" s="18">
        <v>55</v>
      </c>
      <c r="J150" s="18">
        <v>21</v>
      </c>
      <c r="M150" t="s">
        <v>1340</v>
      </c>
      <c r="N150" t="s">
        <v>1341</v>
      </c>
      <c r="O150" t="str">
        <f t="shared" si="6"/>
        <v>Dave Bolland</v>
      </c>
      <c r="P150" s="18">
        <v>15</v>
      </c>
      <c r="R150" s="3" t="s">
        <v>356</v>
      </c>
      <c r="S150" s="3" t="s">
        <v>357</v>
      </c>
      <c r="T150" t="str">
        <f t="shared" si="7"/>
        <v>Ondrej Palat</v>
      </c>
      <c r="U150">
        <f t="shared" si="8"/>
        <v>56</v>
      </c>
      <c r="V150">
        <v>56</v>
      </c>
    </row>
    <row r="151" spans="1:22" ht="45" x14ac:dyDescent="0.25">
      <c r="A151" s="19" t="s">
        <v>865</v>
      </c>
      <c r="B151" s="20">
        <v>78</v>
      </c>
      <c r="C151" s="20">
        <v>3</v>
      </c>
      <c r="D151" s="20">
        <v>8</v>
      </c>
      <c r="E151" s="20">
        <v>11</v>
      </c>
      <c r="F151" s="20">
        <v>-38</v>
      </c>
      <c r="G151" s="20">
        <v>0</v>
      </c>
      <c r="H151" s="20">
        <v>0</v>
      </c>
      <c r="I151" s="20">
        <v>32</v>
      </c>
      <c r="J151" s="20">
        <v>12</v>
      </c>
      <c r="M151" t="s">
        <v>1270</v>
      </c>
      <c r="N151" t="s">
        <v>1342</v>
      </c>
      <c r="O151" t="str">
        <f t="shared" si="6"/>
        <v>Jay McClement</v>
      </c>
      <c r="P151" s="20">
        <v>11</v>
      </c>
      <c r="R151" s="4" t="s">
        <v>347</v>
      </c>
      <c r="S151" s="4" t="s">
        <v>348</v>
      </c>
      <c r="T151" t="str">
        <f t="shared" si="7"/>
        <v>Tyson Barrie</v>
      </c>
      <c r="U151">
        <f t="shared" si="8"/>
        <v>50</v>
      </c>
      <c r="V151">
        <v>50</v>
      </c>
    </row>
    <row r="152" spans="1:22" ht="30.75" thickBot="1" x14ac:dyDescent="0.3">
      <c r="A152" s="17" t="s">
        <v>866</v>
      </c>
      <c r="B152" s="18">
        <v>78</v>
      </c>
      <c r="C152" s="18">
        <v>1</v>
      </c>
      <c r="D152" s="18">
        <v>9</v>
      </c>
      <c r="E152" s="18">
        <v>11</v>
      </c>
      <c r="F152" s="18">
        <v>-53</v>
      </c>
      <c r="G152" s="18">
        <v>0</v>
      </c>
      <c r="H152" s="18">
        <v>0</v>
      </c>
      <c r="I152" s="18">
        <v>22</v>
      </c>
      <c r="J152" s="18">
        <v>-1</v>
      </c>
      <c r="M152" t="s">
        <v>1343</v>
      </c>
      <c r="N152" t="s">
        <v>1344</v>
      </c>
      <c r="O152" t="str">
        <f t="shared" si="6"/>
        <v>Brooks Laich</v>
      </c>
      <c r="P152" s="18">
        <v>11</v>
      </c>
      <c r="R152" s="3" t="s">
        <v>399</v>
      </c>
      <c r="S152" s="3" t="s">
        <v>400</v>
      </c>
      <c r="T152" t="str">
        <f t="shared" si="7"/>
        <v>Rickard Rakell</v>
      </c>
      <c r="U152">
        <f t="shared" si="8"/>
        <v>53</v>
      </c>
      <c r="V152">
        <v>53</v>
      </c>
    </row>
    <row r="153" spans="1:22" ht="30.75" thickTop="1" x14ac:dyDescent="0.25">
      <c r="A153" s="15" t="s">
        <v>867</v>
      </c>
      <c r="B153" s="16">
        <v>78</v>
      </c>
      <c r="C153" s="16">
        <v>48</v>
      </c>
      <c r="D153" s="16">
        <v>63</v>
      </c>
      <c r="E153" s="16">
        <v>112</v>
      </c>
      <c r="F153" s="16">
        <v>33</v>
      </c>
      <c r="G153" s="16">
        <v>19</v>
      </c>
      <c r="H153" s="16">
        <v>0</v>
      </c>
      <c r="I153" s="16">
        <v>44</v>
      </c>
      <c r="J153" s="16">
        <v>418</v>
      </c>
      <c r="M153" t="s">
        <v>162</v>
      </c>
      <c r="N153" t="s">
        <v>163</v>
      </c>
      <c r="O153" t="str">
        <f t="shared" si="6"/>
        <v>Patrick Kane</v>
      </c>
      <c r="P153" s="16">
        <v>112</v>
      </c>
      <c r="R153" s="4" t="s">
        <v>224</v>
      </c>
      <c r="S153" s="4" t="s">
        <v>225</v>
      </c>
      <c r="T153" t="str">
        <f t="shared" si="7"/>
        <v>Taylor Hall</v>
      </c>
      <c r="U153">
        <f t="shared" si="8"/>
        <v>64</v>
      </c>
      <c r="V153">
        <v>64</v>
      </c>
    </row>
    <row r="154" spans="1:22" ht="45" x14ac:dyDescent="0.25">
      <c r="A154" s="17" t="s">
        <v>868</v>
      </c>
      <c r="B154" s="18">
        <v>78</v>
      </c>
      <c r="C154" s="18">
        <v>40</v>
      </c>
      <c r="D154" s="18">
        <v>44</v>
      </c>
      <c r="E154" s="18">
        <v>85</v>
      </c>
      <c r="F154" s="18">
        <v>26</v>
      </c>
      <c r="G154" s="18">
        <v>17</v>
      </c>
      <c r="H154" s="18">
        <v>0</v>
      </c>
      <c r="I154" s="18">
        <v>32</v>
      </c>
      <c r="J154" s="18">
        <v>327</v>
      </c>
      <c r="M154" t="s">
        <v>208</v>
      </c>
      <c r="N154" t="s">
        <v>209</v>
      </c>
      <c r="O154" t="str">
        <f t="shared" si="6"/>
        <v>Nikita Kucherov</v>
      </c>
      <c r="P154" s="18">
        <v>85</v>
      </c>
      <c r="R154" s="3" t="s">
        <v>237</v>
      </c>
      <c r="S154" s="3" t="s">
        <v>238</v>
      </c>
      <c r="T154" t="str">
        <f t="shared" si="7"/>
        <v>Patrice Bergeron</v>
      </c>
      <c r="U154">
        <f t="shared" si="8"/>
        <v>71</v>
      </c>
      <c r="V154">
        <v>71</v>
      </c>
    </row>
    <row r="155" spans="1:22" ht="30" x14ac:dyDescent="0.25">
      <c r="A155" s="19" t="s">
        <v>869</v>
      </c>
      <c r="B155" s="20">
        <v>78</v>
      </c>
      <c r="C155" s="20">
        <v>31</v>
      </c>
      <c r="D155" s="20">
        <v>37</v>
      </c>
      <c r="E155" s="20">
        <v>68</v>
      </c>
      <c r="F155" s="20">
        <v>36</v>
      </c>
      <c r="G155" s="20">
        <v>13</v>
      </c>
      <c r="H155" s="20">
        <v>0</v>
      </c>
      <c r="I155" s="20">
        <v>20</v>
      </c>
      <c r="J155" s="20">
        <v>304</v>
      </c>
      <c r="M155" t="s">
        <v>248</v>
      </c>
      <c r="N155" t="s">
        <v>249</v>
      </c>
      <c r="O155" t="str">
        <f t="shared" si="6"/>
        <v>Phil Kessel</v>
      </c>
      <c r="P155" s="20">
        <v>68</v>
      </c>
      <c r="R155" s="4" t="s">
        <v>166</v>
      </c>
      <c r="S155" s="4" t="s">
        <v>256</v>
      </c>
      <c r="T155" t="str">
        <f t="shared" si="7"/>
        <v>Tyler Toffoli</v>
      </c>
      <c r="U155">
        <f t="shared" si="8"/>
        <v>57</v>
      </c>
      <c r="V155">
        <v>57</v>
      </c>
    </row>
    <row r="156" spans="1:22" ht="45" x14ac:dyDescent="0.25">
      <c r="A156" s="17" t="s">
        <v>870</v>
      </c>
      <c r="B156" s="18">
        <v>78</v>
      </c>
      <c r="C156" s="18">
        <v>42</v>
      </c>
      <c r="D156" s="18">
        <v>32</v>
      </c>
      <c r="E156" s="18">
        <v>75</v>
      </c>
      <c r="F156" s="18">
        <v>8</v>
      </c>
      <c r="G156" s="18">
        <v>12</v>
      </c>
      <c r="H156" s="18">
        <v>0</v>
      </c>
      <c r="I156" s="18">
        <v>31</v>
      </c>
      <c r="J156" s="18">
        <v>294</v>
      </c>
      <c r="M156" t="s">
        <v>178</v>
      </c>
      <c r="N156" t="s">
        <v>179</v>
      </c>
      <c r="O156" t="str">
        <f t="shared" si="6"/>
        <v>Vladimir Tarasenko</v>
      </c>
      <c r="P156" s="18">
        <v>75</v>
      </c>
      <c r="R156" s="3" t="s">
        <v>176</v>
      </c>
      <c r="S156" s="3" t="s">
        <v>177</v>
      </c>
      <c r="T156" t="str">
        <f t="shared" si="7"/>
        <v>Erik Karlsson</v>
      </c>
      <c r="U156">
        <f t="shared" si="8"/>
        <v>88</v>
      </c>
      <c r="V156">
        <v>88</v>
      </c>
    </row>
    <row r="157" spans="1:22" ht="30" x14ac:dyDescent="0.25">
      <c r="A157" s="19" t="s">
        <v>871</v>
      </c>
      <c r="B157" s="20">
        <v>78</v>
      </c>
      <c r="C157" s="20">
        <v>36</v>
      </c>
      <c r="D157" s="20">
        <v>32</v>
      </c>
      <c r="E157" s="20">
        <v>68</v>
      </c>
      <c r="F157" s="20">
        <v>11</v>
      </c>
      <c r="G157" s="20">
        <v>13</v>
      </c>
      <c r="H157" s="20">
        <v>0</v>
      </c>
      <c r="I157" s="20">
        <v>60</v>
      </c>
      <c r="J157" s="20">
        <v>275</v>
      </c>
      <c r="M157" t="s">
        <v>204</v>
      </c>
      <c r="N157" t="s">
        <v>205</v>
      </c>
      <c r="O157" t="str">
        <f t="shared" si="6"/>
        <v>Corey Perry</v>
      </c>
      <c r="P157" s="20">
        <v>68</v>
      </c>
      <c r="R157" s="4" t="s">
        <v>250</v>
      </c>
      <c r="S157" s="4" t="s">
        <v>251</v>
      </c>
      <c r="T157" t="str">
        <f t="shared" si="7"/>
        <v>Wayne Simmonds</v>
      </c>
      <c r="U157">
        <f t="shared" si="8"/>
        <v>65</v>
      </c>
      <c r="V157">
        <v>65</v>
      </c>
    </row>
    <row r="158" spans="1:22" ht="30" x14ac:dyDescent="0.25">
      <c r="A158" s="17" t="s">
        <v>872</v>
      </c>
      <c r="B158" s="18">
        <v>78</v>
      </c>
      <c r="C158" s="18">
        <v>32</v>
      </c>
      <c r="D158" s="18">
        <v>28</v>
      </c>
      <c r="E158" s="18">
        <v>61</v>
      </c>
      <c r="F158" s="18">
        <v>29</v>
      </c>
      <c r="G158" s="18">
        <v>7</v>
      </c>
      <c r="H158" s="18">
        <v>0</v>
      </c>
      <c r="I158" s="18">
        <v>58</v>
      </c>
      <c r="J158" s="18">
        <v>275</v>
      </c>
      <c r="M158" t="s">
        <v>257</v>
      </c>
      <c r="N158" t="s">
        <v>272</v>
      </c>
      <c r="O158" t="str">
        <f t="shared" si="6"/>
        <v>James Neal</v>
      </c>
      <c r="P158" s="18">
        <v>61</v>
      </c>
      <c r="R158" s="3" t="s">
        <v>296</v>
      </c>
      <c r="S158" s="3" t="s">
        <v>297</v>
      </c>
      <c r="T158" t="str">
        <f t="shared" si="7"/>
        <v>Oliver Ekman-Lars…</v>
      </c>
      <c r="U158" t="e">
        <f t="shared" si="8"/>
        <v>#N/A</v>
      </c>
      <c r="V158" t="e">
        <v>#N/A</v>
      </c>
    </row>
    <row r="159" spans="1:22" ht="45" x14ac:dyDescent="0.25">
      <c r="A159" s="19" t="s">
        <v>873</v>
      </c>
      <c r="B159" s="20">
        <v>78</v>
      </c>
      <c r="C159" s="20">
        <v>34</v>
      </c>
      <c r="D159" s="20">
        <v>30</v>
      </c>
      <c r="E159" s="20">
        <v>65</v>
      </c>
      <c r="F159" s="20">
        <v>0</v>
      </c>
      <c r="G159" s="20">
        <v>11</v>
      </c>
      <c r="H159" s="20">
        <v>0</v>
      </c>
      <c r="I159" s="20">
        <v>143</v>
      </c>
      <c r="J159" s="20">
        <v>271</v>
      </c>
      <c r="M159" t="s">
        <v>250</v>
      </c>
      <c r="N159" t="s">
        <v>251</v>
      </c>
      <c r="O159" t="str">
        <f t="shared" si="6"/>
        <v>Wayne Simmonds</v>
      </c>
      <c r="P159" s="20">
        <v>65</v>
      </c>
      <c r="R159" s="4" t="s">
        <v>214</v>
      </c>
      <c r="S159" s="4" t="s">
        <v>215</v>
      </c>
      <c r="T159" t="str">
        <f t="shared" si="7"/>
        <v>Jack Eichel</v>
      </c>
      <c r="U159">
        <f t="shared" si="8"/>
        <v>54</v>
      </c>
      <c r="V159">
        <v>54</v>
      </c>
    </row>
    <row r="160" spans="1:22" ht="45" x14ac:dyDescent="0.25">
      <c r="A160" s="17" t="s">
        <v>874</v>
      </c>
      <c r="B160" s="18">
        <v>78</v>
      </c>
      <c r="C160" s="18">
        <v>27</v>
      </c>
      <c r="D160" s="18">
        <v>53</v>
      </c>
      <c r="E160" s="18">
        <v>80</v>
      </c>
      <c r="F160" s="18">
        <v>-6</v>
      </c>
      <c r="G160" s="18">
        <v>11</v>
      </c>
      <c r="H160" s="18">
        <v>2</v>
      </c>
      <c r="I160" s="18">
        <v>46</v>
      </c>
      <c r="J160" s="18">
        <v>270</v>
      </c>
      <c r="M160" t="s">
        <v>192</v>
      </c>
      <c r="N160" t="s">
        <v>193</v>
      </c>
      <c r="O160" t="str">
        <f t="shared" si="6"/>
        <v>Blake Wheeler</v>
      </c>
      <c r="P160" s="18">
        <v>80</v>
      </c>
      <c r="R160" s="3" t="s">
        <v>196</v>
      </c>
      <c r="S160" s="3" t="s">
        <v>309</v>
      </c>
      <c r="T160" t="str">
        <f t="shared" si="7"/>
        <v>Mark Giordano</v>
      </c>
      <c r="U160">
        <f t="shared" si="8"/>
        <v>52</v>
      </c>
      <c r="V160">
        <v>52</v>
      </c>
    </row>
    <row r="161" spans="1:22" ht="45" x14ac:dyDescent="0.25">
      <c r="A161" s="19" t="s">
        <v>875</v>
      </c>
      <c r="B161" s="20">
        <v>78</v>
      </c>
      <c r="C161" s="20">
        <v>27</v>
      </c>
      <c r="D161" s="20">
        <v>27</v>
      </c>
      <c r="E161" s="20">
        <v>55</v>
      </c>
      <c r="F161" s="20">
        <v>35</v>
      </c>
      <c r="G161" s="20">
        <v>9</v>
      </c>
      <c r="H161" s="20">
        <v>0</v>
      </c>
      <c r="I161" s="20">
        <v>43</v>
      </c>
      <c r="J161" s="20">
        <v>263</v>
      </c>
      <c r="M161" t="s">
        <v>351</v>
      </c>
      <c r="N161" t="s">
        <v>352</v>
      </c>
      <c r="O161" t="str">
        <f t="shared" si="6"/>
        <v>Patric Hornqvist</v>
      </c>
      <c r="P161" s="20">
        <v>55</v>
      </c>
      <c r="R161" s="4" t="s">
        <v>365</v>
      </c>
      <c r="S161" s="4" t="s">
        <v>417</v>
      </c>
      <c r="T161" t="str">
        <f t="shared" si="7"/>
        <v>Tomas Tatar</v>
      </c>
      <c r="U161">
        <f t="shared" si="8"/>
        <v>48</v>
      </c>
      <c r="V161">
        <v>48</v>
      </c>
    </row>
    <row r="162" spans="1:22" ht="30" x14ac:dyDescent="0.25">
      <c r="A162" s="17" t="s">
        <v>876</v>
      </c>
      <c r="B162" s="18">
        <v>78</v>
      </c>
      <c r="C162" s="18">
        <v>26</v>
      </c>
      <c r="D162" s="18">
        <v>44</v>
      </c>
      <c r="E162" s="18">
        <v>71</v>
      </c>
      <c r="F162" s="18">
        <v>12</v>
      </c>
      <c r="G162" s="18">
        <v>11</v>
      </c>
      <c r="H162" s="18">
        <v>1</v>
      </c>
      <c r="I162" s="18">
        <v>41</v>
      </c>
      <c r="J162" s="18">
        <v>249</v>
      </c>
      <c r="M162" t="s">
        <v>196</v>
      </c>
      <c r="N162" t="s">
        <v>247</v>
      </c>
      <c r="O162" t="str">
        <f t="shared" si="6"/>
        <v>Mark Stone</v>
      </c>
      <c r="P162" s="18">
        <v>71</v>
      </c>
      <c r="R162" s="3" t="s">
        <v>319</v>
      </c>
      <c r="S162" s="3" t="s">
        <v>320</v>
      </c>
      <c r="T162" t="str">
        <f t="shared" si="7"/>
        <v>T.J. Oshie</v>
      </c>
      <c r="U162">
        <f t="shared" si="8"/>
        <v>56</v>
      </c>
      <c r="V162">
        <v>56</v>
      </c>
    </row>
    <row r="163" spans="1:22" ht="45" x14ac:dyDescent="0.25">
      <c r="A163" s="19" t="s">
        <v>877</v>
      </c>
      <c r="B163" s="20">
        <v>78</v>
      </c>
      <c r="C163" s="20">
        <v>15</v>
      </c>
      <c r="D163" s="20">
        <v>50</v>
      </c>
      <c r="E163" s="20">
        <v>66</v>
      </c>
      <c r="F163" s="20">
        <v>6</v>
      </c>
      <c r="G163" s="20">
        <v>13</v>
      </c>
      <c r="H163" s="20">
        <v>0</v>
      </c>
      <c r="I163" s="20">
        <v>40</v>
      </c>
      <c r="J163" s="20">
        <v>237</v>
      </c>
      <c r="M163" t="s">
        <v>212</v>
      </c>
      <c r="N163" t="s">
        <v>213</v>
      </c>
      <c r="O163" t="str">
        <f t="shared" si="6"/>
        <v>Jakub Voracek</v>
      </c>
      <c r="P163" s="20">
        <v>66</v>
      </c>
      <c r="R163" s="4" t="s">
        <v>358</v>
      </c>
      <c r="S163" s="4" t="s">
        <v>359</v>
      </c>
      <c r="T163" t="str">
        <f t="shared" si="7"/>
        <v>Mikkel Boedker</v>
      </c>
      <c r="U163">
        <f t="shared" si="8"/>
        <v>58</v>
      </c>
      <c r="V163">
        <v>58</v>
      </c>
    </row>
    <row r="164" spans="1:22" ht="45" x14ac:dyDescent="0.25">
      <c r="A164" s="17" t="s">
        <v>878</v>
      </c>
      <c r="B164" s="18">
        <v>78</v>
      </c>
      <c r="C164" s="18">
        <v>28</v>
      </c>
      <c r="D164" s="18">
        <v>29</v>
      </c>
      <c r="E164" s="18">
        <v>57</v>
      </c>
      <c r="F164" s="18">
        <v>7</v>
      </c>
      <c r="G164" s="18">
        <v>8</v>
      </c>
      <c r="H164" s="18">
        <v>0</v>
      </c>
      <c r="I164" s="18">
        <v>46</v>
      </c>
      <c r="J164" s="18">
        <v>236</v>
      </c>
      <c r="M164" t="s">
        <v>312</v>
      </c>
      <c r="N164" t="s">
        <v>313</v>
      </c>
      <c r="O164" t="str">
        <f t="shared" si="6"/>
        <v>Brendan Gallagher</v>
      </c>
      <c r="P164" s="18">
        <v>57</v>
      </c>
      <c r="R164" s="3" t="s">
        <v>303</v>
      </c>
      <c r="S164" s="3" t="s">
        <v>304</v>
      </c>
      <c r="T164" t="str">
        <f t="shared" si="7"/>
        <v>Brandon Saad</v>
      </c>
      <c r="U164">
        <f t="shared" si="8"/>
        <v>54</v>
      </c>
      <c r="V164">
        <v>54</v>
      </c>
    </row>
    <row r="165" spans="1:22" ht="30" x14ac:dyDescent="0.25">
      <c r="A165" s="19" t="s">
        <v>879</v>
      </c>
      <c r="B165" s="20">
        <v>78</v>
      </c>
      <c r="C165" s="20">
        <v>29</v>
      </c>
      <c r="D165" s="20">
        <v>27</v>
      </c>
      <c r="E165" s="20">
        <v>56</v>
      </c>
      <c r="F165" s="20">
        <v>24</v>
      </c>
      <c r="G165" s="20">
        <v>9</v>
      </c>
      <c r="H165" s="20">
        <v>0</v>
      </c>
      <c r="I165" s="20">
        <v>41</v>
      </c>
      <c r="J165" s="20">
        <v>236</v>
      </c>
      <c r="M165" t="s">
        <v>319</v>
      </c>
      <c r="N165" t="s">
        <v>320</v>
      </c>
      <c r="O165" t="str">
        <f t="shared" si="6"/>
        <v>T.J. Oshie</v>
      </c>
      <c r="P165" s="20">
        <v>56</v>
      </c>
      <c r="R165" s="4" t="s">
        <v>196</v>
      </c>
      <c r="S165" s="4" t="s">
        <v>247</v>
      </c>
      <c r="T165" t="str">
        <f t="shared" si="7"/>
        <v>Mark Stone</v>
      </c>
      <c r="U165">
        <f t="shared" si="8"/>
        <v>71</v>
      </c>
      <c r="V165">
        <v>71</v>
      </c>
    </row>
    <row r="166" spans="1:22" ht="45" x14ac:dyDescent="0.25">
      <c r="A166" s="17" t="s">
        <v>880</v>
      </c>
      <c r="B166" s="18">
        <v>78</v>
      </c>
      <c r="C166" s="18">
        <v>27</v>
      </c>
      <c r="D166" s="18">
        <v>34</v>
      </c>
      <c r="E166" s="18">
        <v>62</v>
      </c>
      <c r="F166" s="18">
        <v>15</v>
      </c>
      <c r="G166" s="18">
        <v>11</v>
      </c>
      <c r="H166" s="18">
        <v>0</v>
      </c>
      <c r="I166" s="18">
        <v>39</v>
      </c>
      <c r="J166" s="18">
        <v>234</v>
      </c>
      <c r="M166" t="s">
        <v>274</v>
      </c>
      <c r="N166" t="s">
        <v>275</v>
      </c>
      <c r="O166" t="str">
        <f t="shared" si="6"/>
        <v>Mats Zuccarello</v>
      </c>
      <c r="P166" s="18">
        <v>62</v>
      </c>
      <c r="R166" s="3" t="s">
        <v>182</v>
      </c>
      <c r="S166" s="3" t="s">
        <v>183</v>
      </c>
      <c r="T166" t="str">
        <f t="shared" si="7"/>
        <v>Nicklas Backstrom</v>
      </c>
      <c r="U166">
        <f t="shared" si="8"/>
        <v>78</v>
      </c>
      <c r="V166">
        <v>78</v>
      </c>
    </row>
    <row r="167" spans="1:22" ht="30" x14ac:dyDescent="0.25">
      <c r="A167" s="19" t="s">
        <v>881</v>
      </c>
      <c r="B167" s="20">
        <v>78</v>
      </c>
      <c r="C167" s="20">
        <v>21</v>
      </c>
      <c r="D167" s="20">
        <v>28</v>
      </c>
      <c r="E167" s="20">
        <v>49</v>
      </c>
      <c r="F167" s="20">
        <v>31</v>
      </c>
      <c r="G167" s="20">
        <v>7</v>
      </c>
      <c r="H167" s="20">
        <v>3</v>
      </c>
      <c r="I167" s="20">
        <v>30</v>
      </c>
      <c r="J167" s="20">
        <v>233</v>
      </c>
      <c r="M167" t="s">
        <v>1345</v>
      </c>
      <c r="N167" t="s">
        <v>1346</v>
      </c>
      <c r="O167" t="str">
        <f t="shared" si="6"/>
        <v>Marian Hossa</v>
      </c>
      <c r="P167" s="20">
        <v>49</v>
      </c>
      <c r="R167" s="4" t="s">
        <v>401</v>
      </c>
      <c r="S167" s="4" t="s">
        <v>402</v>
      </c>
      <c r="T167" t="str">
        <f t="shared" si="7"/>
        <v>Duncan Keith</v>
      </c>
      <c r="U167">
        <f t="shared" si="8"/>
        <v>58</v>
      </c>
      <c r="V167">
        <v>58</v>
      </c>
    </row>
    <row r="168" spans="1:22" ht="30" x14ac:dyDescent="0.25">
      <c r="A168" s="17" t="s">
        <v>882</v>
      </c>
      <c r="B168" s="18">
        <v>78</v>
      </c>
      <c r="C168" s="18">
        <v>30</v>
      </c>
      <c r="D168" s="18">
        <v>26</v>
      </c>
      <c r="E168" s="18">
        <v>57</v>
      </c>
      <c r="F168" s="18">
        <v>19</v>
      </c>
      <c r="G168" s="18">
        <v>5</v>
      </c>
      <c r="H168" s="18">
        <v>0</v>
      </c>
      <c r="I168" s="18">
        <v>20</v>
      </c>
      <c r="J168" s="18">
        <v>230</v>
      </c>
      <c r="M168" t="s">
        <v>166</v>
      </c>
      <c r="N168" t="s">
        <v>256</v>
      </c>
      <c r="O168" t="str">
        <f t="shared" si="6"/>
        <v>Tyler Toffoli</v>
      </c>
      <c r="P168" s="18">
        <v>57</v>
      </c>
      <c r="R168" s="3" t="s">
        <v>419</v>
      </c>
      <c r="S168" s="3" t="s">
        <v>420</v>
      </c>
      <c r="T168" t="str">
        <f t="shared" si="7"/>
        <v>Chris Kreider</v>
      </c>
      <c r="U168">
        <f t="shared" si="8"/>
        <v>46</v>
      </c>
      <c r="V168">
        <v>46</v>
      </c>
    </row>
    <row r="169" spans="1:22" ht="45" x14ac:dyDescent="0.25">
      <c r="A169" s="19" t="s">
        <v>883</v>
      </c>
      <c r="B169" s="20">
        <v>78</v>
      </c>
      <c r="C169" s="20">
        <v>25</v>
      </c>
      <c r="D169" s="20">
        <v>24</v>
      </c>
      <c r="E169" s="20">
        <v>50</v>
      </c>
      <c r="F169" s="20">
        <v>25</v>
      </c>
      <c r="G169" s="20">
        <v>7</v>
      </c>
      <c r="H169" s="20">
        <v>0</v>
      </c>
      <c r="I169" s="20">
        <v>76</v>
      </c>
      <c r="J169" s="20">
        <v>223</v>
      </c>
      <c r="M169" t="s">
        <v>1347</v>
      </c>
      <c r="N169" t="s">
        <v>423</v>
      </c>
      <c r="O169" t="str">
        <f t="shared" si="6"/>
        <v>P.A. Parenteau</v>
      </c>
      <c r="P169" s="20">
        <v>50</v>
      </c>
      <c r="R169" s="4" t="s">
        <v>374</v>
      </c>
      <c r="S169" s="4" t="s">
        <v>385</v>
      </c>
      <c r="T169" t="str">
        <f t="shared" si="7"/>
        <v>Justin Williams</v>
      </c>
      <c r="U169">
        <f t="shared" si="8"/>
        <v>53</v>
      </c>
      <c r="V169">
        <v>53</v>
      </c>
    </row>
    <row r="170" spans="1:22" ht="30" x14ac:dyDescent="0.25">
      <c r="A170" s="17" t="s">
        <v>884</v>
      </c>
      <c r="B170" s="18">
        <v>78</v>
      </c>
      <c r="C170" s="18">
        <v>19</v>
      </c>
      <c r="D170" s="18">
        <v>34</v>
      </c>
      <c r="E170" s="18">
        <v>54</v>
      </c>
      <c r="F170" s="18">
        <v>44</v>
      </c>
      <c r="G170" s="18">
        <v>8</v>
      </c>
      <c r="H170" s="18">
        <v>0</v>
      </c>
      <c r="I170" s="18">
        <v>36</v>
      </c>
      <c r="J170" s="18">
        <v>222</v>
      </c>
      <c r="M170" t="s">
        <v>381</v>
      </c>
      <c r="N170" t="s">
        <v>382</v>
      </c>
      <c r="O170" t="str">
        <f t="shared" si="6"/>
        <v>Jiri Hudler</v>
      </c>
      <c r="P170" s="18">
        <v>54</v>
      </c>
      <c r="R170" s="3" t="s">
        <v>274</v>
      </c>
      <c r="S170" s="3" t="s">
        <v>275</v>
      </c>
      <c r="T170" t="str">
        <f t="shared" si="7"/>
        <v>Mats Zuccarello</v>
      </c>
      <c r="U170">
        <f t="shared" si="8"/>
        <v>62</v>
      </c>
      <c r="V170">
        <v>62</v>
      </c>
    </row>
    <row r="171" spans="1:22" ht="45" x14ac:dyDescent="0.25">
      <c r="A171" s="19" t="s">
        <v>885</v>
      </c>
      <c r="B171" s="20">
        <v>78</v>
      </c>
      <c r="C171" s="20">
        <v>23</v>
      </c>
      <c r="D171" s="20">
        <v>29</v>
      </c>
      <c r="E171" s="20">
        <v>53</v>
      </c>
      <c r="F171" s="20">
        <v>24</v>
      </c>
      <c r="G171" s="20">
        <v>5</v>
      </c>
      <c r="H171" s="20">
        <v>0</v>
      </c>
      <c r="I171" s="20">
        <v>45</v>
      </c>
      <c r="J171" s="20">
        <v>220</v>
      </c>
      <c r="M171" t="s">
        <v>374</v>
      </c>
      <c r="N171" t="s">
        <v>385</v>
      </c>
      <c r="O171" t="str">
        <f t="shared" si="6"/>
        <v>Justin Williams</v>
      </c>
      <c r="P171" s="20">
        <v>53</v>
      </c>
      <c r="R171" s="4" t="s">
        <v>360</v>
      </c>
      <c r="S171" s="4" t="s">
        <v>361</v>
      </c>
      <c r="T171" t="str">
        <f t="shared" si="7"/>
        <v>Mikko Koivu</v>
      </c>
      <c r="U171">
        <f t="shared" si="8"/>
        <v>55</v>
      </c>
      <c r="V171">
        <v>55</v>
      </c>
    </row>
    <row r="172" spans="1:22" ht="45" x14ac:dyDescent="0.25">
      <c r="A172" s="17" t="s">
        <v>886</v>
      </c>
      <c r="B172" s="18">
        <v>78</v>
      </c>
      <c r="C172" s="18">
        <v>26</v>
      </c>
      <c r="D172" s="18">
        <v>27</v>
      </c>
      <c r="E172" s="18">
        <v>53</v>
      </c>
      <c r="F172" s="18">
        <v>14</v>
      </c>
      <c r="G172" s="18">
        <v>7</v>
      </c>
      <c r="H172" s="18">
        <v>0</v>
      </c>
      <c r="I172" s="18">
        <v>74</v>
      </c>
      <c r="J172" s="18">
        <v>218</v>
      </c>
      <c r="M172" t="s">
        <v>231</v>
      </c>
      <c r="N172" t="s">
        <v>1348</v>
      </c>
      <c r="O172" t="str">
        <f t="shared" si="6"/>
        <v>David Backes</v>
      </c>
      <c r="P172" s="18">
        <v>53</v>
      </c>
      <c r="R172" s="3" t="s">
        <v>277</v>
      </c>
      <c r="S172" s="3" t="s">
        <v>305</v>
      </c>
      <c r="T172" t="str">
        <f t="shared" si="7"/>
        <v>Jeff Skinner</v>
      </c>
      <c r="U172">
        <f t="shared" si="8"/>
        <v>52</v>
      </c>
      <c r="V172">
        <v>52</v>
      </c>
    </row>
    <row r="173" spans="1:22" ht="45" x14ac:dyDescent="0.25">
      <c r="A173" s="19" t="s">
        <v>887</v>
      </c>
      <c r="B173" s="20">
        <v>78</v>
      </c>
      <c r="C173" s="20">
        <v>33</v>
      </c>
      <c r="D173" s="20">
        <v>30</v>
      </c>
      <c r="E173" s="20">
        <v>63</v>
      </c>
      <c r="F173" s="20">
        <v>-16</v>
      </c>
      <c r="G173" s="20">
        <v>11</v>
      </c>
      <c r="H173" s="20">
        <v>0</v>
      </c>
      <c r="I173" s="20">
        <v>38</v>
      </c>
      <c r="J173" s="20">
        <v>217</v>
      </c>
      <c r="M173" t="s">
        <v>254</v>
      </c>
      <c r="N173" t="s">
        <v>273</v>
      </c>
      <c r="O173" t="str">
        <f t="shared" si="6"/>
        <v>Kyle Palmieri</v>
      </c>
      <c r="P173" s="20">
        <v>63</v>
      </c>
      <c r="R173" s="4" t="s">
        <v>365</v>
      </c>
      <c r="S173" s="4" t="s">
        <v>369</v>
      </c>
      <c r="T173" t="str">
        <f t="shared" si="7"/>
        <v>Tomas Hertl</v>
      </c>
      <c r="U173">
        <f t="shared" si="8"/>
        <v>46</v>
      </c>
      <c r="V173">
        <v>46</v>
      </c>
    </row>
    <row r="174" spans="1:22" ht="30" x14ac:dyDescent="0.25">
      <c r="A174" s="17" t="s">
        <v>888</v>
      </c>
      <c r="B174" s="18">
        <v>78</v>
      </c>
      <c r="C174" s="18">
        <v>23</v>
      </c>
      <c r="D174" s="18">
        <v>36</v>
      </c>
      <c r="E174" s="18">
        <v>60</v>
      </c>
      <c r="F174" s="18">
        <v>5</v>
      </c>
      <c r="G174" s="18">
        <v>12</v>
      </c>
      <c r="H174" s="18">
        <v>0</v>
      </c>
      <c r="I174" s="18">
        <v>29</v>
      </c>
      <c r="J174" s="18">
        <v>217</v>
      </c>
      <c r="M174" t="s">
        <v>302</v>
      </c>
      <c r="N174" t="s">
        <v>188</v>
      </c>
      <c r="O174" t="str">
        <f t="shared" si="6"/>
        <v>Bobby Ryan</v>
      </c>
      <c r="P174" s="18">
        <v>60</v>
      </c>
      <c r="R174" s="3" t="s">
        <v>210</v>
      </c>
      <c r="S174" s="3" t="s">
        <v>211</v>
      </c>
      <c r="T174" t="str">
        <f t="shared" si="7"/>
        <v>Sean Monahan</v>
      </c>
      <c r="U174">
        <f t="shared" si="8"/>
        <v>60</v>
      </c>
      <c r="V174">
        <v>60</v>
      </c>
    </row>
    <row r="175" spans="1:22" ht="45" x14ac:dyDescent="0.25">
      <c r="A175" s="19" t="s">
        <v>889</v>
      </c>
      <c r="B175" s="20">
        <v>78</v>
      </c>
      <c r="C175" s="20">
        <v>18</v>
      </c>
      <c r="D175" s="20">
        <v>26</v>
      </c>
      <c r="E175" s="20">
        <v>45</v>
      </c>
      <c r="F175" s="20">
        <v>40</v>
      </c>
      <c r="G175" s="20">
        <v>6</v>
      </c>
      <c r="H175" s="20">
        <v>0</v>
      </c>
      <c r="I175" s="20">
        <v>27</v>
      </c>
      <c r="J175" s="20">
        <v>200</v>
      </c>
      <c r="M175" t="s">
        <v>431</v>
      </c>
      <c r="N175" t="s">
        <v>1349</v>
      </c>
      <c r="O175" t="str">
        <f t="shared" si="6"/>
        <v>Nick Schmaltz</v>
      </c>
      <c r="P175" s="20">
        <v>45</v>
      </c>
      <c r="R175" s="4" t="s">
        <v>243</v>
      </c>
      <c r="S175" s="4" t="s">
        <v>244</v>
      </c>
      <c r="T175" t="str">
        <f t="shared" si="7"/>
        <v>Jason Spezza</v>
      </c>
      <c r="U175">
        <f t="shared" si="8"/>
        <v>72</v>
      </c>
      <c r="V175">
        <v>72</v>
      </c>
    </row>
    <row r="176" spans="1:22" ht="30" x14ac:dyDescent="0.25">
      <c r="A176" s="17" t="s">
        <v>890</v>
      </c>
      <c r="B176" s="18">
        <v>78</v>
      </c>
      <c r="C176" s="18">
        <v>31</v>
      </c>
      <c r="D176" s="18">
        <v>20</v>
      </c>
      <c r="E176" s="18">
        <v>51</v>
      </c>
      <c r="F176" s="18">
        <v>-17</v>
      </c>
      <c r="G176" s="18">
        <v>8</v>
      </c>
      <c r="H176" s="18">
        <v>0</v>
      </c>
      <c r="I176" s="18">
        <v>90</v>
      </c>
      <c r="J176" s="18">
        <v>194</v>
      </c>
      <c r="M176" t="s">
        <v>1350</v>
      </c>
      <c r="N176" t="s">
        <v>1351</v>
      </c>
      <c r="O176" t="str">
        <f t="shared" si="6"/>
        <v>Shane Doan</v>
      </c>
      <c r="P176" s="18">
        <v>51</v>
      </c>
      <c r="R176" t="s">
        <v>1345</v>
      </c>
      <c r="S176" t="s">
        <v>1346</v>
      </c>
      <c r="T176" t="str">
        <f t="shared" ref="T176:T200" si="9">R176&amp;" "&amp;S176</f>
        <v>Marian Hossa</v>
      </c>
      <c r="U176">
        <f t="shared" ref="U176:U200" si="10">VLOOKUP(T176,$O$1:$P$511,2,0)</f>
        <v>49</v>
      </c>
      <c r="V176">
        <v>49</v>
      </c>
    </row>
    <row r="177" spans="1:22" ht="45" x14ac:dyDescent="0.25">
      <c r="A177" s="19" t="s">
        <v>891</v>
      </c>
      <c r="B177" s="20">
        <v>78</v>
      </c>
      <c r="C177" s="20">
        <v>21</v>
      </c>
      <c r="D177" s="20">
        <v>24</v>
      </c>
      <c r="E177" s="20">
        <v>45</v>
      </c>
      <c r="F177" s="20">
        <v>18</v>
      </c>
      <c r="G177" s="20">
        <v>2</v>
      </c>
      <c r="H177" s="20">
        <v>0</v>
      </c>
      <c r="I177" s="20">
        <v>31</v>
      </c>
      <c r="J177" s="20">
        <v>191</v>
      </c>
      <c r="M177" t="s">
        <v>442</v>
      </c>
      <c r="N177" t="s">
        <v>443</v>
      </c>
      <c r="O177" t="str">
        <f t="shared" si="6"/>
        <v>Jakob Silfverberg</v>
      </c>
      <c r="P177" s="20">
        <v>45</v>
      </c>
      <c r="R177" t="s">
        <v>1685</v>
      </c>
      <c r="S177" t="s">
        <v>1683</v>
      </c>
      <c r="T177" t="str">
        <f t="shared" si="9"/>
        <v>Tobias Rieder</v>
      </c>
      <c r="U177" t="e">
        <f t="shared" si="10"/>
        <v>#N/A</v>
      </c>
      <c r="V177" t="e">
        <v>#N/A</v>
      </c>
    </row>
    <row r="178" spans="1:22" ht="30" x14ac:dyDescent="0.25">
      <c r="A178" s="17" t="s">
        <v>892</v>
      </c>
      <c r="B178" s="18">
        <v>78</v>
      </c>
      <c r="C178" s="18">
        <v>24</v>
      </c>
      <c r="D178" s="18">
        <v>36</v>
      </c>
      <c r="E178" s="18">
        <v>60</v>
      </c>
      <c r="F178" s="18">
        <v>-15</v>
      </c>
      <c r="G178" s="18">
        <v>6</v>
      </c>
      <c r="H178" s="18">
        <v>0</v>
      </c>
      <c r="I178" s="18">
        <v>48</v>
      </c>
      <c r="J178" s="18">
        <v>187</v>
      </c>
      <c r="M178" t="s">
        <v>321</v>
      </c>
      <c r="N178" t="s">
        <v>322</v>
      </c>
      <c r="O178" t="str">
        <f t="shared" si="6"/>
        <v>Jaromir Jagr</v>
      </c>
      <c r="P178" s="18">
        <v>60</v>
      </c>
      <c r="R178" t="s">
        <v>1370</v>
      </c>
      <c r="S178" t="s">
        <v>1371</v>
      </c>
      <c r="T178" t="str">
        <f t="shared" si="9"/>
        <v>Troy Brouwer</v>
      </c>
      <c r="U178">
        <f t="shared" si="10"/>
        <v>41</v>
      </c>
      <c r="V178">
        <v>41</v>
      </c>
    </row>
    <row r="179" spans="1:22" ht="30" x14ac:dyDescent="0.25">
      <c r="A179" s="19" t="s">
        <v>893</v>
      </c>
      <c r="B179" s="20">
        <v>78</v>
      </c>
      <c r="C179" s="20">
        <v>17</v>
      </c>
      <c r="D179" s="20">
        <v>29</v>
      </c>
      <c r="E179" s="20">
        <v>47</v>
      </c>
      <c r="F179" s="20">
        <v>24</v>
      </c>
      <c r="G179" s="20">
        <v>7</v>
      </c>
      <c r="H179" s="20">
        <v>0</v>
      </c>
      <c r="I179" s="20">
        <v>13</v>
      </c>
      <c r="J179" s="20">
        <v>187</v>
      </c>
      <c r="M179" t="s">
        <v>445</v>
      </c>
      <c r="N179" t="s">
        <v>446</v>
      </c>
      <c r="O179" t="str">
        <f t="shared" si="6"/>
        <v>Teddy Purcell</v>
      </c>
      <c r="P179" s="20">
        <v>47</v>
      </c>
      <c r="R179" t="s">
        <v>1261</v>
      </c>
      <c r="S179" t="s">
        <v>1262</v>
      </c>
      <c r="T179" t="str">
        <f t="shared" si="9"/>
        <v>Jori Lehtera</v>
      </c>
      <c r="U179">
        <f t="shared" si="10"/>
        <v>36</v>
      </c>
      <c r="V179">
        <v>36</v>
      </c>
    </row>
    <row r="180" spans="1:22" ht="45" x14ac:dyDescent="0.25">
      <c r="A180" s="17" t="s">
        <v>894</v>
      </c>
      <c r="B180" s="18">
        <v>78</v>
      </c>
      <c r="C180" s="18">
        <v>16</v>
      </c>
      <c r="D180" s="18">
        <v>24</v>
      </c>
      <c r="E180" s="18">
        <v>40</v>
      </c>
      <c r="F180" s="18">
        <v>38</v>
      </c>
      <c r="G180" s="18">
        <v>4</v>
      </c>
      <c r="H180" s="18">
        <v>0</v>
      </c>
      <c r="I180" s="18">
        <v>27</v>
      </c>
      <c r="J180" s="18">
        <v>183</v>
      </c>
      <c r="M180" t="s">
        <v>188</v>
      </c>
      <c r="N180" t="s">
        <v>1352</v>
      </c>
      <c r="O180" t="str">
        <f t="shared" si="6"/>
        <v>Ryan Hartman</v>
      </c>
      <c r="P180" s="18">
        <v>40</v>
      </c>
      <c r="R180" t="s">
        <v>1239</v>
      </c>
      <c r="S180" t="s">
        <v>1240</v>
      </c>
      <c r="T180" t="str">
        <f t="shared" si="9"/>
        <v>William Nylander</v>
      </c>
      <c r="U180">
        <f t="shared" si="10"/>
        <v>52</v>
      </c>
      <c r="V180">
        <v>52</v>
      </c>
    </row>
    <row r="181" spans="1:22" ht="45" x14ac:dyDescent="0.25">
      <c r="A181" s="19" t="s">
        <v>895</v>
      </c>
      <c r="B181" s="20">
        <v>78</v>
      </c>
      <c r="C181" s="20">
        <v>25</v>
      </c>
      <c r="D181" s="20">
        <v>17</v>
      </c>
      <c r="E181" s="20">
        <v>42</v>
      </c>
      <c r="F181" s="20">
        <v>22</v>
      </c>
      <c r="G181" s="20">
        <v>1</v>
      </c>
      <c r="H181" s="20">
        <v>0</v>
      </c>
      <c r="I181" s="20">
        <v>32</v>
      </c>
      <c r="J181" s="20">
        <v>180</v>
      </c>
      <c r="M181" t="s">
        <v>231</v>
      </c>
      <c r="N181" t="s">
        <v>1353</v>
      </c>
      <c r="O181" t="str">
        <f t="shared" si="6"/>
        <v>David Pastrnak</v>
      </c>
      <c r="P181" s="20">
        <v>42</v>
      </c>
      <c r="R181" t="s">
        <v>349</v>
      </c>
      <c r="S181" t="s">
        <v>1367</v>
      </c>
      <c r="T181" t="str">
        <f t="shared" si="9"/>
        <v>Drew Stafford</v>
      </c>
      <c r="U181">
        <f t="shared" si="10"/>
        <v>40</v>
      </c>
      <c r="V181">
        <v>40</v>
      </c>
    </row>
    <row r="182" spans="1:22" ht="45" x14ac:dyDescent="0.25">
      <c r="A182" s="17" t="s">
        <v>896</v>
      </c>
      <c r="B182" s="18">
        <v>78</v>
      </c>
      <c r="C182" s="18">
        <v>31</v>
      </c>
      <c r="D182" s="18">
        <v>27</v>
      </c>
      <c r="E182" s="18">
        <v>59</v>
      </c>
      <c r="F182" s="18">
        <v>-28</v>
      </c>
      <c r="G182" s="18">
        <v>8</v>
      </c>
      <c r="H182" s="18">
        <v>0</v>
      </c>
      <c r="I182" s="18">
        <v>16</v>
      </c>
      <c r="J182" s="18">
        <v>179</v>
      </c>
      <c r="M182" t="s">
        <v>226</v>
      </c>
      <c r="N182" t="s">
        <v>227</v>
      </c>
      <c r="O182" t="str">
        <f t="shared" si="6"/>
        <v>Jordan Eberle</v>
      </c>
      <c r="P182" s="18">
        <v>59</v>
      </c>
      <c r="R182" t="s">
        <v>1407</v>
      </c>
      <c r="S182" t="s">
        <v>1523</v>
      </c>
      <c r="T182" t="str">
        <f t="shared" si="9"/>
        <v>Jake Muzzin</v>
      </c>
      <c r="U182">
        <f t="shared" si="10"/>
        <v>41</v>
      </c>
      <c r="V182">
        <v>41</v>
      </c>
    </row>
    <row r="183" spans="1:22" ht="45" x14ac:dyDescent="0.25">
      <c r="A183" s="19" t="s">
        <v>897</v>
      </c>
      <c r="B183" s="20">
        <v>78</v>
      </c>
      <c r="C183" s="20">
        <v>27</v>
      </c>
      <c r="D183" s="20">
        <v>25</v>
      </c>
      <c r="E183" s="20">
        <v>53</v>
      </c>
      <c r="F183" s="20">
        <v>-18</v>
      </c>
      <c r="G183" s="20">
        <v>6</v>
      </c>
      <c r="H183" s="20">
        <v>0</v>
      </c>
      <c r="I183" s="20">
        <v>20</v>
      </c>
      <c r="J183" s="20">
        <v>177</v>
      </c>
      <c r="M183" t="s">
        <v>329</v>
      </c>
      <c r="N183" t="s">
        <v>330</v>
      </c>
      <c r="O183" t="str">
        <f t="shared" si="6"/>
        <v>Cam Atkinson</v>
      </c>
      <c r="P183" s="20">
        <v>53</v>
      </c>
      <c r="R183" t="s">
        <v>222</v>
      </c>
      <c r="S183" t="s">
        <v>1514</v>
      </c>
      <c r="T183" t="str">
        <f t="shared" si="9"/>
        <v>Brent Seabrook</v>
      </c>
      <c r="U183">
        <f t="shared" si="10"/>
        <v>50</v>
      </c>
      <c r="V183">
        <v>50</v>
      </c>
    </row>
    <row r="184" spans="1:22" ht="30" x14ac:dyDescent="0.25">
      <c r="A184" s="17" t="s">
        <v>898</v>
      </c>
      <c r="B184" s="18">
        <v>78</v>
      </c>
      <c r="C184" s="18">
        <v>23</v>
      </c>
      <c r="D184" s="18">
        <v>22</v>
      </c>
      <c r="E184" s="18">
        <v>45</v>
      </c>
      <c r="F184" s="18">
        <v>8</v>
      </c>
      <c r="G184" s="18">
        <v>5</v>
      </c>
      <c r="H184" s="18">
        <v>0</v>
      </c>
      <c r="I184" s="18">
        <v>37</v>
      </c>
      <c r="J184" s="18">
        <v>177</v>
      </c>
      <c r="M184" t="s">
        <v>1354</v>
      </c>
      <c r="N184" t="s">
        <v>1355</v>
      </c>
      <c r="O184" t="str">
        <f t="shared" si="6"/>
        <v>Joel Ward</v>
      </c>
      <c r="P184" s="18">
        <v>45</v>
      </c>
      <c r="R184" t="s">
        <v>233</v>
      </c>
      <c r="S184" t="s">
        <v>1433</v>
      </c>
      <c r="T184" t="str">
        <f t="shared" si="9"/>
        <v>Alex Killorn</v>
      </c>
      <c r="U184">
        <f t="shared" si="10"/>
        <v>49</v>
      </c>
      <c r="V184">
        <v>49</v>
      </c>
    </row>
    <row r="185" spans="1:22" ht="45" x14ac:dyDescent="0.25">
      <c r="A185" s="19" t="s">
        <v>899</v>
      </c>
      <c r="B185" s="20">
        <v>78</v>
      </c>
      <c r="C185" s="20">
        <v>13</v>
      </c>
      <c r="D185" s="20">
        <v>27</v>
      </c>
      <c r="E185" s="20">
        <v>41</v>
      </c>
      <c r="F185" s="20">
        <v>27</v>
      </c>
      <c r="G185" s="20">
        <v>3</v>
      </c>
      <c r="H185" s="20">
        <v>0</v>
      </c>
      <c r="I185" s="20">
        <v>24</v>
      </c>
      <c r="J185" s="20">
        <v>176</v>
      </c>
      <c r="M185" t="s">
        <v>1356</v>
      </c>
      <c r="N185" t="s">
        <v>1357</v>
      </c>
      <c r="O185" t="str">
        <f t="shared" si="6"/>
        <v>Ales Hemsky</v>
      </c>
      <c r="P185" s="20">
        <v>41</v>
      </c>
      <c r="R185" t="s">
        <v>333</v>
      </c>
      <c r="S185" t="s">
        <v>1431</v>
      </c>
      <c r="T185" t="str">
        <f t="shared" si="9"/>
        <v>Carl Hagelin</v>
      </c>
      <c r="U185">
        <f t="shared" si="10"/>
        <v>49</v>
      </c>
      <c r="V185">
        <v>49</v>
      </c>
    </row>
    <row r="186" spans="1:22" ht="30" x14ac:dyDescent="0.25">
      <c r="A186" s="17" t="s">
        <v>900</v>
      </c>
      <c r="B186" s="18">
        <v>78</v>
      </c>
      <c r="C186" s="18">
        <v>26</v>
      </c>
      <c r="D186" s="18">
        <v>25</v>
      </c>
      <c r="E186" s="18">
        <v>51</v>
      </c>
      <c r="F186" s="18">
        <v>-13</v>
      </c>
      <c r="G186" s="18">
        <v>6</v>
      </c>
      <c r="H186" s="18">
        <v>0</v>
      </c>
      <c r="I186" s="18">
        <v>27</v>
      </c>
      <c r="J186" s="18">
        <v>172</v>
      </c>
      <c r="M186" t="s">
        <v>428</v>
      </c>
      <c r="N186" t="s">
        <v>429</v>
      </c>
      <c r="O186" t="str">
        <f t="shared" si="6"/>
        <v>Reilly Smith</v>
      </c>
      <c r="P186" s="18">
        <v>51</v>
      </c>
      <c r="R186" t="s">
        <v>1368</v>
      </c>
      <c r="S186" t="s">
        <v>1369</v>
      </c>
      <c r="T186" t="str">
        <f t="shared" si="9"/>
        <v>Joonas Donskoi</v>
      </c>
      <c r="U186">
        <f t="shared" si="10"/>
        <v>38</v>
      </c>
      <c r="V186">
        <v>38</v>
      </c>
    </row>
    <row r="187" spans="1:22" ht="30" x14ac:dyDescent="0.25">
      <c r="A187" s="19" t="s">
        <v>901</v>
      </c>
      <c r="B187" s="20">
        <v>78</v>
      </c>
      <c r="C187" s="20">
        <v>23</v>
      </c>
      <c r="D187" s="20">
        <v>24</v>
      </c>
      <c r="E187" s="20">
        <v>47</v>
      </c>
      <c r="F187" s="20">
        <v>-12</v>
      </c>
      <c r="G187" s="20">
        <v>10</v>
      </c>
      <c r="H187" s="20">
        <v>0</v>
      </c>
      <c r="I187" s="20">
        <v>43</v>
      </c>
      <c r="J187" s="20">
        <v>171</v>
      </c>
      <c r="M187" t="s">
        <v>449</v>
      </c>
      <c r="N187" t="s">
        <v>450</v>
      </c>
      <c r="O187" t="str">
        <f t="shared" si="6"/>
        <v>Jarome Iginla</v>
      </c>
      <c r="P187" s="20">
        <v>47</v>
      </c>
      <c r="R187" t="s">
        <v>1228</v>
      </c>
      <c r="S187" t="s">
        <v>1229</v>
      </c>
      <c r="T187" t="str">
        <f t="shared" si="9"/>
        <v>Antoine Vermette</v>
      </c>
      <c r="U187">
        <f t="shared" si="10"/>
        <v>48</v>
      </c>
      <c r="V187">
        <v>48</v>
      </c>
    </row>
    <row r="188" spans="1:22" ht="45" x14ac:dyDescent="0.25">
      <c r="A188" s="17" t="s">
        <v>902</v>
      </c>
      <c r="B188" s="18">
        <v>78</v>
      </c>
      <c r="C188" s="18">
        <v>27</v>
      </c>
      <c r="D188" s="18">
        <v>28</v>
      </c>
      <c r="E188" s="18">
        <v>56</v>
      </c>
      <c r="F188" s="18">
        <v>-25</v>
      </c>
      <c r="G188" s="18">
        <v>8</v>
      </c>
      <c r="H188" s="18">
        <v>1</v>
      </c>
      <c r="I188" s="18">
        <v>11</v>
      </c>
      <c r="J188" s="18">
        <v>171</v>
      </c>
      <c r="M188" t="s">
        <v>298</v>
      </c>
      <c r="N188" t="s">
        <v>299</v>
      </c>
      <c r="O188" t="str">
        <f t="shared" si="6"/>
        <v>Loui Eriksson</v>
      </c>
      <c r="P188" s="18">
        <v>56</v>
      </c>
      <c r="R188" t="s">
        <v>1450</v>
      </c>
      <c r="S188" t="s">
        <v>1451</v>
      </c>
      <c r="T188" t="str">
        <f t="shared" si="9"/>
        <v>Andre Burakovsky</v>
      </c>
      <c r="U188">
        <f t="shared" si="10"/>
        <v>37</v>
      </c>
      <c r="V188">
        <v>37</v>
      </c>
    </row>
    <row r="189" spans="1:22" ht="30" x14ac:dyDescent="0.25">
      <c r="A189" s="19" t="s">
        <v>903</v>
      </c>
      <c r="B189" s="20">
        <v>78</v>
      </c>
      <c r="C189" s="20">
        <v>19</v>
      </c>
      <c r="D189" s="20">
        <v>20</v>
      </c>
      <c r="E189" s="20">
        <v>39</v>
      </c>
      <c r="F189" s="20">
        <v>0</v>
      </c>
      <c r="G189" s="20">
        <v>5</v>
      </c>
      <c r="H189" s="20">
        <v>0</v>
      </c>
      <c r="I189" s="20">
        <v>113</v>
      </c>
      <c r="J189" s="20">
        <v>171</v>
      </c>
      <c r="M189" t="s">
        <v>310</v>
      </c>
      <c r="N189" t="s">
        <v>1358</v>
      </c>
      <c r="O189" t="str">
        <f t="shared" si="6"/>
        <v>Andrew Shaw</v>
      </c>
      <c r="P189" s="20">
        <v>39</v>
      </c>
      <c r="R189" t="s">
        <v>1350</v>
      </c>
      <c r="S189" t="s">
        <v>1351</v>
      </c>
      <c r="T189" t="str">
        <f t="shared" si="9"/>
        <v>Shane Doan</v>
      </c>
      <c r="U189">
        <f t="shared" si="10"/>
        <v>51</v>
      </c>
      <c r="V189">
        <v>51</v>
      </c>
    </row>
    <row r="190" spans="1:22" ht="30" x14ac:dyDescent="0.25">
      <c r="A190" s="17" t="s">
        <v>904</v>
      </c>
      <c r="B190" s="18">
        <v>78</v>
      </c>
      <c r="C190" s="18">
        <v>21</v>
      </c>
      <c r="D190" s="18">
        <v>16</v>
      </c>
      <c r="E190" s="18">
        <v>37</v>
      </c>
      <c r="F190" s="18">
        <v>15</v>
      </c>
      <c r="G190" s="18">
        <v>2</v>
      </c>
      <c r="H190" s="18">
        <v>0</v>
      </c>
      <c r="I190" s="18">
        <v>37</v>
      </c>
      <c r="J190" s="18">
        <v>170</v>
      </c>
      <c r="M190" t="s">
        <v>1359</v>
      </c>
      <c r="N190" t="s">
        <v>429</v>
      </c>
      <c r="O190" t="str">
        <f t="shared" si="6"/>
        <v>Craig Smith</v>
      </c>
      <c r="P190" s="18">
        <v>37</v>
      </c>
      <c r="R190" t="s">
        <v>166</v>
      </c>
      <c r="S190" t="s">
        <v>1258</v>
      </c>
      <c r="T190" t="str">
        <f t="shared" si="9"/>
        <v>Tyler Ennis</v>
      </c>
      <c r="U190">
        <f t="shared" si="10"/>
        <v>43</v>
      </c>
      <c r="V190">
        <v>43</v>
      </c>
    </row>
    <row r="191" spans="1:22" ht="45" x14ac:dyDescent="0.25">
      <c r="A191" s="19" t="s">
        <v>905</v>
      </c>
      <c r="B191" s="20">
        <v>78</v>
      </c>
      <c r="C191" s="20">
        <v>29</v>
      </c>
      <c r="D191" s="20">
        <v>20</v>
      </c>
      <c r="E191" s="20">
        <v>50</v>
      </c>
      <c r="F191" s="20">
        <v>-6</v>
      </c>
      <c r="G191" s="20">
        <v>0</v>
      </c>
      <c r="H191" s="20">
        <v>0</v>
      </c>
      <c r="I191" s="20">
        <v>40</v>
      </c>
      <c r="J191" s="20">
        <v>163</v>
      </c>
      <c r="M191" t="s">
        <v>1360</v>
      </c>
      <c r="N191" t="s">
        <v>1361</v>
      </c>
      <c r="O191" t="str">
        <f t="shared" si="6"/>
        <v>Jannik Hansen</v>
      </c>
      <c r="P191" s="20">
        <v>50</v>
      </c>
      <c r="R191" t="s">
        <v>442</v>
      </c>
      <c r="S191" t="s">
        <v>1684</v>
      </c>
      <c r="T191" t="str">
        <f t="shared" si="9"/>
        <v>Jakob Sifverberg</v>
      </c>
      <c r="U191" t="e">
        <f t="shared" si="10"/>
        <v>#N/A</v>
      </c>
      <c r="V191" t="e">
        <v>#N/A</v>
      </c>
    </row>
    <row r="192" spans="1:22" ht="45" x14ac:dyDescent="0.25">
      <c r="A192" s="17" t="s">
        <v>906</v>
      </c>
      <c r="B192" s="18">
        <v>78</v>
      </c>
      <c r="C192" s="18">
        <v>21</v>
      </c>
      <c r="D192" s="18">
        <v>34</v>
      </c>
      <c r="E192" s="18">
        <v>55</v>
      </c>
      <c r="F192" s="18">
        <v>-25</v>
      </c>
      <c r="G192" s="18">
        <v>5</v>
      </c>
      <c r="H192" s="18">
        <v>0</v>
      </c>
      <c r="I192" s="18">
        <v>31</v>
      </c>
      <c r="J192" s="18">
        <v>159</v>
      </c>
      <c r="M192" t="s">
        <v>1362</v>
      </c>
      <c r="N192" t="s">
        <v>1363</v>
      </c>
      <c r="O192" t="str">
        <f t="shared" si="6"/>
        <v>Lee Stempniak</v>
      </c>
      <c r="P192" s="18">
        <v>55</v>
      </c>
      <c r="R192" t="s">
        <v>402</v>
      </c>
      <c r="S192" t="s">
        <v>1547</v>
      </c>
      <c r="T192" t="str">
        <f t="shared" si="9"/>
        <v>Keith Yandle</v>
      </c>
      <c r="U192">
        <f t="shared" si="10"/>
        <v>42</v>
      </c>
      <c r="V192">
        <v>42</v>
      </c>
    </row>
    <row r="193" spans="1:22" ht="45" x14ac:dyDescent="0.25">
      <c r="A193" s="19" t="s">
        <v>907</v>
      </c>
      <c r="B193" s="20">
        <v>78</v>
      </c>
      <c r="C193" s="20">
        <v>19</v>
      </c>
      <c r="D193" s="20">
        <v>24</v>
      </c>
      <c r="E193" s="20">
        <v>44</v>
      </c>
      <c r="F193" s="20">
        <v>-3</v>
      </c>
      <c r="G193" s="20">
        <v>6</v>
      </c>
      <c r="H193" s="20">
        <v>0</v>
      </c>
      <c r="I193" s="20">
        <v>35</v>
      </c>
      <c r="J193" s="20">
        <v>158</v>
      </c>
      <c r="M193" t="s">
        <v>314</v>
      </c>
      <c r="N193" t="s">
        <v>315</v>
      </c>
      <c r="O193" t="str">
        <f t="shared" si="6"/>
        <v>Gustav Nyquist</v>
      </c>
      <c r="P193" s="20">
        <v>44</v>
      </c>
      <c r="R193" t="s">
        <v>431</v>
      </c>
      <c r="S193" t="s">
        <v>1550</v>
      </c>
      <c r="T193" t="str">
        <f t="shared" si="9"/>
        <v>Nick Leddy</v>
      </c>
      <c r="U193">
        <f t="shared" si="10"/>
        <v>40</v>
      </c>
      <c r="V193">
        <v>40</v>
      </c>
    </row>
    <row r="194" spans="1:22" ht="45" x14ac:dyDescent="0.25">
      <c r="A194" s="17" t="s">
        <v>908</v>
      </c>
      <c r="B194" s="18">
        <v>78</v>
      </c>
      <c r="C194" s="18">
        <v>17</v>
      </c>
      <c r="D194" s="18">
        <v>21</v>
      </c>
      <c r="E194" s="18">
        <v>39</v>
      </c>
      <c r="F194" s="18">
        <v>4</v>
      </c>
      <c r="G194" s="18">
        <v>5</v>
      </c>
      <c r="H194" s="18">
        <v>0</v>
      </c>
      <c r="I194" s="18">
        <v>40</v>
      </c>
      <c r="J194" s="18">
        <v>151</v>
      </c>
      <c r="M194" t="s">
        <v>174</v>
      </c>
      <c r="N194" t="s">
        <v>230</v>
      </c>
      <c r="O194" t="str">
        <f t="shared" ref="O194:O257" si="11">M194&amp;" "&amp;N194</f>
        <v>Alexander Radulov</v>
      </c>
      <c r="P194" s="18">
        <v>39</v>
      </c>
      <c r="R194" t="s">
        <v>1533</v>
      </c>
      <c r="S194" t="s">
        <v>1534</v>
      </c>
      <c r="T194" t="str">
        <f t="shared" si="9"/>
        <v>Dougie Hamilton</v>
      </c>
      <c r="U194">
        <f t="shared" si="10"/>
        <v>39</v>
      </c>
      <c r="V194">
        <v>39</v>
      </c>
    </row>
    <row r="195" spans="1:22" ht="45" x14ac:dyDescent="0.25">
      <c r="A195" s="19" t="s">
        <v>909</v>
      </c>
      <c r="B195" s="20">
        <v>78</v>
      </c>
      <c r="C195" s="20">
        <v>18</v>
      </c>
      <c r="D195" s="20">
        <v>35</v>
      </c>
      <c r="E195" s="20">
        <v>54</v>
      </c>
      <c r="F195" s="20">
        <v>-56</v>
      </c>
      <c r="G195" s="20">
        <v>11</v>
      </c>
      <c r="H195" s="20">
        <v>0</v>
      </c>
      <c r="I195" s="20">
        <v>58</v>
      </c>
      <c r="J195" s="20">
        <v>148</v>
      </c>
      <c r="M195" t="s">
        <v>254</v>
      </c>
      <c r="N195" t="s">
        <v>258</v>
      </c>
      <c r="O195" t="str">
        <f t="shared" si="11"/>
        <v>Kyle Okposo</v>
      </c>
      <c r="P195" s="20">
        <v>54</v>
      </c>
      <c r="R195" t="s">
        <v>1452</v>
      </c>
      <c r="S195" t="s">
        <v>1453</v>
      </c>
      <c r="T195" t="str">
        <f t="shared" si="9"/>
        <v>Tanner Pearson</v>
      </c>
      <c r="U195">
        <f t="shared" si="10"/>
        <v>39</v>
      </c>
      <c r="V195">
        <v>39</v>
      </c>
    </row>
    <row r="196" spans="1:22" ht="30" x14ac:dyDescent="0.25">
      <c r="A196" s="17" t="s">
        <v>910</v>
      </c>
      <c r="B196" s="18">
        <v>78</v>
      </c>
      <c r="C196" s="18">
        <v>14</v>
      </c>
      <c r="D196" s="18">
        <v>22</v>
      </c>
      <c r="E196" s="18">
        <v>37</v>
      </c>
      <c r="F196" s="18">
        <v>12</v>
      </c>
      <c r="G196" s="18">
        <v>4</v>
      </c>
      <c r="H196" s="18">
        <v>0</v>
      </c>
      <c r="I196" s="18">
        <v>38</v>
      </c>
      <c r="J196" s="18">
        <v>147</v>
      </c>
      <c r="M196" t="s">
        <v>426</v>
      </c>
      <c r="N196" t="s">
        <v>451</v>
      </c>
      <c r="O196" t="str">
        <f t="shared" si="11"/>
        <v>Kevin Hayes</v>
      </c>
      <c r="P196" s="18">
        <v>37</v>
      </c>
      <c r="R196" t="s">
        <v>166</v>
      </c>
      <c r="S196" t="s">
        <v>1248</v>
      </c>
      <c r="T196" t="str">
        <f t="shared" si="9"/>
        <v>Tyler Bozak</v>
      </c>
      <c r="U196">
        <f t="shared" si="10"/>
        <v>52</v>
      </c>
      <c r="V196">
        <v>52</v>
      </c>
    </row>
    <row r="197" spans="1:22" ht="30" x14ac:dyDescent="0.25">
      <c r="A197" s="19" t="s">
        <v>911</v>
      </c>
      <c r="B197" s="20">
        <v>78</v>
      </c>
      <c r="C197" s="20">
        <v>17</v>
      </c>
      <c r="D197" s="20">
        <v>15</v>
      </c>
      <c r="E197" s="20">
        <v>32</v>
      </c>
      <c r="F197" s="20">
        <v>0</v>
      </c>
      <c r="G197" s="20">
        <v>2</v>
      </c>
      <c r="H197" s="20">
        <v>0</v>
      </c>
      <c r="I197" s="20">
        <v>29</v>
      </c>
      <c r="J197" s="20">
        <v>144</v>
      </c>
      <c r="M197" t="s">
        <v>1345</v>
      </c>
      <c r="N197" t="s">
        <v>1364</v>
      </c>
      <c r="O197" t="str">
        <f t="shared" si="11"/>
        <v>Marian Gaborik</v>
      </c>
      <c r="P197" s="20">
        <v>32</v>
      </c>
      <c r="R197" t="s">
        <v>1563</v>
      </c>
      <c r="S197" t="s">
        <v>1564</v>
      </c>
      <c r="T197" t="str">
        <f t="shared" si="9"/>
        <v>Morgan Rielly</v>
      </c>
      <c r="U197">
        <f t="shared" si="10"/>
        <v>36</v>
      </c>
      <c r="V197">
        <v>36</v>
      </c>
    </row>
    <row r="198" spans="1:22" ht="30" x14ac:dyDescent="0.25">
      <c r="A198" s="17" t="s">
        <v>912</v>
      </c>
      <c r="B198" s="18">
        <v>78</v>
      </c>
      <c r="C198" s="18">
        <v>13</v>
      </c>
      <c r="D198" s="18">
        <v>12</v>
      </c>
      <c r="E198" s="18">
        <v>26</v>
      </c>
      <c r="F198" s="18">
        <v>34</v>
      </c>
      <c r="G198" s="18">
        <v>0</v>
      </c>
      <c r="H198" s="18">
        <v>0</v>
      </c>
      <c r="I198" s="18">
        <v>30</v>
      </c>
      <c r="J198" s="18">
        <v>142</v>
      </c>
      <c r="M198" t="s">
        <v>280</v>
      </c>
      <c r="N198" t="s">
        <v>1365</v>
      </c>
      <c r="O198" t="str">
        <f t="shared" si="11"/>
        <v>Bryan Rust</v>
      </c>
      <c r="P198" s="18">
        <v>26</v>
      </c>
      <c r="R198" t="s">
        <v>1233</v>
      </c>
      <c r="S198" t="s">
        <v>1234</v>
      </c>
      <c r="T198" t="str">
        <f t="shared" si="9"/>
        <v>Mathieu Perreault</v>
      </c>
      <c r="U198">
        <f t="shared" si="10"/>
        <v>51</v>
      </c>
      <c r="V198">
        <v>51</v>
      </c>
    </row>
    <row r="199" spans="1:22" ht="30" x14ac:dyDescent="0.25">
      <c r="A199" s="19" t="s">
        <v>913</v>
      </c>
      <c r="B199" s="20">
        <v>78</v>
      </c>
      <c r="C199" s="20">
        <v>15</v>
      </c>
      <c r="D199" s="20">
        <v>17</v>
      </c>
      <c r="E199" s="20">
        <v>32</v>
      </c>
      <c r="F199" s="20">
        <v>7</v>
      </c>
      <c r="G199" s="20">
        <v>3</v>
      </c>
      <c r="H199" s="20">
        <v>0</v>
      </c>
      <c r="I199" s="20">
        <v>62</v>
      </c>
      <c r="J199" s="20">
        <v>139</v>
      </c>
      <c r="M199" t="s">
        <v>1366</v>
      </c>
      <c r="N199" t="s">
        <v>451</v>
      </c>
      <c r="O199" t="str">
        <f t="shared" si="11"/>
        <v>Jimmy Hayes</v>
      </c>
      <c r="P199" s="20">
        <v>32</v>
      </c>
      <c r="R199" t="s">
        <v>231</v>
      </c>
      <c r="S199" t="s">
        <v>1348</v>
      </c>
      <c r="T199" t="str">
        <f t="shared" si="9"/>
        <v>David Backes</v>
      </c>
      <c r="U199">
        <f t="shared" si="10"/>
        <v>53</v>
      </c>
      <c r="V199">
        <v>53</v>
      </c>
    </row>
    <row r="200" spans="1:22" ht="45" x14ac:dyDescent="0.25">
      <c r="A200" s="17" t="s">
        <v>914</v>
      </c>
      <c r="B200" s="18">
        <v>78</v>
      </c>
      <c r="C200" s="18">
        <v>22</v>
      </c>
      <c r="D200" s="18">
        <v>17</v>
      </c>
      <c r="E200" s="18">
        <v>40</v>
      </c>
      <c r="F200" s="18">
        <v>-23</v>
      </c>
      <c r="G200" s="18">
        <v>6</v>
      </c>
      <c r="H200" s="18">
        <v>1</v>
      </c>
      <c r="I200" s="18">
        <v>23</v>
      </c>
      <c r="J200" s="18">
        <v>139</v>
      </c>
      <c r="M200" t="s">
        <v>349</v>
      </c>
      <c r="N200" t="s">
        <v>1367</v>
      </c>
      <c r="O200" t="str">
        <f t="shared" si="11"/>
        <v>Drew Stafford</v>
      </c>
      <c r="P200" s="18">
        <v>40</v>
      </c>
      <c r="R200" t="s">
        <v>1385</v>
      </c>
      <c r="S200" t="s">
        <v>1386</v>
      </c>
      <c r="T200" t="str">
        <f t="shared" si="9"/>
        <v>Elias Lindholm</v>
      </c>
      <c r="U200">
        <f t="shared" si="10"/>
        <v>39</v>
      </c>
      <c r="V200">
        <v>39</v>
      </c>
    </row>
    <row r="201" spans="1:22" ht="30" x14ac:dyDescent="0.25">
      <c r="A201" s="19" t="s">
        <v>915</v>
      </c>
      <c r="B201" s="20">
        <v>78</v>
      </c>
      <c r="C201" s="20">
        <v>14</v>
      </c>
      <c r="D201" s="20">
        <v>24</v>
      </c>
      <c r="E201" s="20">
        <v>38</v>
      </c>
      <c r="F201" s="20">
        <v>8</v>
      </c>
      <c r="G201" s="20">
        <v>3</v>
      </c>
      <c r="H201" s="20">
        <v>0</v>
      </c>
      <c r="I201" s="20">
        <v>21</v>
      </c>
      <c r="J201" s="20">
        <v>139</v>
      </c>
      <c r="M201" t="s">
        <v>1368</v>
      </c>
      <c r="N201" t="s">
        <v>1369</v>
      </c>
      <c r="O201" t="str">
        <f t="shared" si="11"/>
        <v>Joonas Donskoi</v>
      </c>
      <c r="P201" s="20">
        <v>38</v>
      </c>
      <c r="R201" t="s">
        <v>1236</v>
      </c>
      <c r="S201" t="s">
        <v>1237</v>
      </c>
      <c r="T201" t="str">
        <f>R201&amp;" "&amp;S201</f>
        <v>Jean-Gabriel Pageau</v>
      </c>
      <c r="U201">
        <f>VLOOKUP(T201,$O$1:$P$511,2,0)</f>
        <v>45</v>
      </c>
      <c r="V201">
        <v>45</v>
      </c>
    </row>
    <row r="202" spans="1:22" ht="45" x14ac:dyDescent="0.25">
      <c r="A202" s="17" t="s">
        <v>916</v>
      </c>
      <c r="B202" s="18">
        <v>78</v>
      </c>
      <c r="C202" s="18">
        <v>21</v>
      </c>
      <c r="D202" s="18">
        <v>20</v>
      </c>
      <c r="E202" s="18">
        <v>41</v>
      </c>
      <c r="F202" s="18">
        <v>-20</v>
      </c>
      <c r="G202" s="18">
        <v>5</v>
      </c>
      <c r="H202" s="18">
        <v>0</v>
      </c>
      <c r="I202" s="18">
        <v>63</v>
      </c>
      <c r="J202" s="18">
        <v>137</v>
      </c>
      <c r="M202" t="s">
        <v>1370</v>
      </c>
      <c r="N202" t="s">
        <v>1371</v>
      </c>
      <c r="O202" t="str">
        <f t="shared" si="11"/>
        <v>Troy Brouwer</v>
      </c>
      <c r="P202" s="18">
        <v>41</v>
      </c>
      <c r="R202" s="3" t="s">
        <v>1246</v>
      </c>
      <c r="S202" s="3" t="s">
        <v>1594</v>
      </c>
      <c r="T202" t="str">
        <f t="shared" ref="T202:T205" si="12">R202&amp;" "&amp;S202</f>
        <v>Seth Jones</v>
      </c>
      <c r="U202">
        <f t="shared" ref="U202:U205" si="13">VLOOKUP(T202,$O$1:$P$511,2,0)</f>
        <v>32</v>
      </c>
      <c r="V202">
        <v>32</v>
      </c>
    </row>
    <row r="203" spans="1:22" ht="45" x14ac:dyDescent="0.25">
      <c r="A203" s="19" t="s">
        <v>917</v>
      </c>
      <c r="B203" s="20">
        <v>78</v>
      </c>
      <c r="C203" s="20">
        <v>19</v>
      </c>
      <c r="D203" s="20">
        <v>25</v>
      </c>
      <c r="E203" s="20">
        <v>44</v>
      </c>
      <c r="F203" s="20">
        <v>-21</v>
      </c>
      <c r="G203" s="20">
        <v>2</v>
      </c>
      <c r="H203" s="20">
        <v>0</v>
      </c>
      <c r="I203" s="20">
        <v>49</v>
      </c>
      <c r="J203" s="20">
        <v>137</v>
      </c>
      <c r="M203" t="s">
        <v>438</v>
      </c>
      <c r="N203" t="s">
        <v>439</v>
      </c>
      <c r="O203" t="str">
        <f t="shared" si="11"/>
        <v>Nino Niederreiter</v>
      </c>
      <c r="P203" s="20">
        <v>44</v>
      </c>
      <c r="R203" s="4" t="s">
        <v>231</v>
      </c>
      <c r="S203" s="4" t="s">
        <v>1353</v>
      </c>
      <c r="T203" t="str">
        <f t="shared" si="12"/>
        <v>David Pastrnak</v>
      </c>
      <c r="U203">
        <f t="shared" si="13"/>
        <v>42</v>
      </c>
      <c r="V203">
        <v>42</v>
      </c>
    </row>
    <row r="204" spans="1:22" ht="45" x14ac:dyDescent="0.25">
      <c r="A204" s="17" t="s">
        <v>918</v>
      </c>
      <c r="B204" s="18">
        <v>78</v>
      </c>
      <c r="C204" s="18">
        <v>15</v>
      </c>
      <c r="D204" s="18">
        <v>27</v>
      </c>
      <c r="E204" s="18">
        <v>42</v>
      </c>
      <c r="F204" s="18">
        <v>-21</v>
      </c>
      <c r="G204" s="18">
        <v>5</v>
      </c>
      <c r="H204" s="18">
        <v>0</v>
      </c>
      <c r="I204" s="18">
        <v>23</v>
      </c>
      <c r="J204" s="18">
        <v>136</v>
      </c>
      <c r="M204" t="s">
        <v>243</v>
      </c>
      <c r="N204" t="s">
        <v>444</v>
      </c>
      <c r="O204" t="str">
        <f t="shared" si="11"/>
        <v>Jason Pominville</v>
      </c>
      <c r="P204" s="18">
        <v>42</v>
      </c>
      <c r="R204" s="3" t="s">
        <v>1689</v>
      </c>
      <c r="S204" s="3" t="s">
        <v>1551</v>
      </c>
      <c r="T204" t="str">
        <f t="shared" si="12"/>
        <v>TJ Brodie</v>
      </c>
      <c r="U204" t="e">
        <f>VLOOKUP(T204,$O$1:$P$511,2,0)</f>
        <v>#N/A</v>
      </c>
      <c r="V204" t="e">
        <v>#N/A</v>
      </c>
    </row>
    <row r="205" spans="1:22" ht="45" x14ac:dyDescent="0.25">
      <c r="A205" s="19" t="s">
        <v>919</v>
      </c>
      <c r="B205" s="20">
        <v>78</v>
      </c>
      <c r="C205" s="20">
        <v>17</v>
      </c>
      <c r="D205" s="20">
        <v>23</v>
      </c>
      <c r="E205" s="20">
        <v>41</v>
      </c>
      <c r="F205" s="20">
        <v>-33</v>
      </c>
      <c r="G205" s="20">
        <v>6</v>
      </c>
      <c r="H205" s="20">
        <v>0</v>
      </c>
      <c r="I205" s="20">
        <v>46</v>
      </c>
      <c r="J205" s="20">
        <v>133</v>
      </c>
      <c r="M205" t="s">
        <v>208</v>
      </c>
      <c r="N205" t="s">
        <v>1372</v>
      </c>
      <c r="O205" t="str">
        <f t="shared" si="11"/>
        <v>Nikita Soshnikov</v>
      </c>
      <c r="P205" s="20">
        <v>41</v>
      </c>
      <c r="R205" s="4" t="s">
        <v>1285</v>
      </c>
      <c r="S205" s="4" t="s">
        <v>1286</v>
      </c>
      <c r="T205" t="str">
        <f t="shared" si="12"/>
        <v>Mitchell Marner</v>
      </c>
      <c r="U205">
        <f t="shared" si="13"/>
        <v>36</v>
      </c>
      <c r="V205">
        <v>36</v>
      </c>
    </row>
    <row r="206" spans="1:22" ht="45" x14ac:dyDescent="0.25">
      <c r="A206" s="17" t="s">
        <v>920</v>
      </c>
      <c r="B206" s="18">
        <v>78</v>
      </c>
      <c r="C206" s="18">
        <v>5</v>
      </c>
      <c r="D206" s="18">
        <v>14</v>
      </c>
      <c r="E206" s="18">
        <v>20</v>
      </c>
      <c r="F206" s="18">
        <v>24</v>
      </c>
      <c r="G206" s="18">
        <v>0</v>
      </c>
      <c r="H206" s="18">
        <v>0</v>
      </c>
      <c r="I206" s="18">
        <v>160</v>
      </c>
      <c r="J206" s="18">
        <v>131</v>
      </c>
      <c r="M206" t="s">
        <v>1373</v>
      </c>
      <c r="N206" t="s">
        <v>1374</v>
      </c>
      <c r="O206" t="str">
        <f t="shared" si="11"/>
        <v>Tom Wilson</v>
      </c>
      <c r="P206" s="18">
        <v>20</v>
      </c>
    </row>
    <row r="207" spans="1:22" ht="30" x14ac:dyDescent="0.25">
      <c r="A207" s="19" t="s">
        <v>921</v>
      </c>
      <c r="B207" s="20">
        <v>78</v>
      </c>
      <c r="C207" s="20">
        <v>18</v>
      </c>
      <c r="D207" s="20">
        <v>19</v>
      </c>
      <c r="E207" s="20">
        <v>37</v>
      </c>
      <c r="F207" s="20">
        <v>-31</v>
      </c>
      <c r="G207" s="20">
        <v>8</v>
      </c>
      <c r="H207" s="20">
        <v>0</v>
      </c>
      <c r="I207" s="20">
        <v>16</v>
      </c>
      <c r="J207" s="20">
        <v>131</v>
      </c>
      <c r="M207" t="s">
        <v>1375</v>
      </c>
      <c r="N207" t="s">
        <v>1376</v>
      </c>
      <c r="O207" t="str">
        <f t="shared" si="11"/>
        <v>Radim Vrbata</v>
      </c>
      <c r="P207" s="20">
        <v>37</v>
      </c>
    </row>
    <row r="208" spans="1:22" ht="30" x14ac:dyDescent="0.25">
      <c r="A208" s="17" t="s">
        <v>922</v>
      </c>
      <c r="B208" s="18">
        <v>78</v>
      </c>
      <c r="C208" s="18">
        <v>7</v>
      </c>
      <c r="D208" s="18">
        <v>8</v>
      </c>
      <c r="E208" s="18">
        <v>15</v>
      </c>
      <c r="F208" s="18">
        <v>32</v>
      </c>
      <c r="G208" s="18">
        <v>3</v>
      </c>
      <c r="H208" s="18">
        <v>0</v>
      </c>
      <c r="I208" s="18">
        <v>104</v>
      </c>
      <c r="J208" s="18">
        <v>129</v>
      </c>
      <c r="M208" t="s">
        <v>1377</v>
      </c>
      <c r="N208" t="s">
        <v>1378</v>
      </c>
      <c r="O208" t="str">
        <f t="shared" si="11"/>
        <v>Jordin Tootoo</v>
      </c>
      <c r="P208" s="18">
        <v>15</v>
      </c>
    </row>
    <row r="209" spans="1:16" ht="30" x14ac:dyDescent="0.25">
      <c r="A209" s="19" t="s">
        <v>923</v>
      </c>
      <c r="B209" s="20">
        <v>78</v>
      </c>
      <c r="C209" s="20">
        <v>8</v>
      </c>
      <c r="D209" s="20">
        <v>17</v>
      </c>
      <c r="E209" s="20">
        <v>25</v>
      </c>
      <c r="F209" s="20">
        <v>26</v>
      </c>
      <c r="G209" s="20">
        <v>0</v>
      </c>
      <c r="H209" s="20">
        <v>1</v>
      </c>
      <c r="I209" s="20">
        <v>57</v>
      </c>
      <c r="J209" s="20">
        <v>129</v>
      </c>
      <c r="M209" t="s">
        <v>413</v>
      </c>
      <c r="N209" t="s">
        <v>1379</v>
      </c>
      <c r="O209" t="str">
        <f t="shared" si="11"/>
        <v>J.T. Brown</v>
      </c>
      <c r="P209" s="20">
        <v>25</v>
      </c>
    </row>
    <row r="210" spans="1:16" ht="30" x14ac:dyDescent="0.25">
      <c r="A210" s="17" t="s">
        <v>924</v>
      </c>
      <c r="B210" s="18">
        <v>78</v>
      </c>
      <c r="C210" s="18">
        <v>10</v>
      </c>
      <c r="D210" s="18">
        <v>16</v>
      </c>
      <c r="E210" s="18">
        <v>27</v>
      </c>
      <c r="F210" s="18">
        <v>1</v>
      </c>
      <c r="G210" s="18">
        <v>1</v>
      </c>
      <c r="H210" s="18">
        <v>0</v>
      </c>
      <c r="I210" s="18">
        <v>31</v>
      </c>
      <c r="J210" s="18">
        <v>128</v>
      </c>
      <c r="M210" t="s">
        <v>300</v>
      </c>
      <c r="N210" t="s">
        <v>1379</v>
      </c>
      <c r="O210" t="str">
        <f t="shared" si="11"/>
        <v>Dustin Brown</v>
      </c>
      <c r="P210" s="18">
        <v>27</v>
      </c>
    </row>
    <row r="211" spans="1:16" ht="30" x14ac:dyDescent="0.25">
      <c r="A211" s="19" t="s">
        <v>925</v>
      </c>
      <c r="B211" s="20">
        <v>78</v>
      </c>
      <c r="C211" s="20">
        <v>14</v>
      </c>
      <c r="D211" s="20">
        <v>11</v>
      </c>
      <c r="E211" s="20">
        <v>25</v>
      </c>
      <c r="F211" s="20">
        <v>30</v>
      </c>
      <c r="G211" s="20">
        <v>0</v>
      </c>
      <c r="H211" s="20">
        <v>0</v>
      </c>
      <c r="I211" s="20">
        <v>23</v>
      </c>
      <c r="J211" s="20">
        <v>125</v>
      </c>
      <c r="M211" t="s">
        <v>1380</v>
      </c>
      <c r="N211" t="s">
        <v>1381</v>
      </c>
      <c r="O211" t="str">
        <f t="shared" si="11"/>
        <v>Richard Panik</v>
      </c>
      <c r="P211" s="20">
        <v>25</v>
      </c>
    </row>
    <row r="212" spans="1:16" ht="30" x14ac:dyDescent="0.25">
      <c r="A212" s="17" t="s">
        <v>926</v>
      </c>
      <c r="B212" s="18">
        <v>78</v>
      </c>
      <c r="C212" s="18">
        <v>12</v>
      </c>
      <c r="D212" s="18">
        <v>7</v>
      </c>
      <c r="E212" s="18">
        <v>20</v>
      </c>
      <c r="F212" s="18">
        <v>34</v>
      </c>
      <c r="G212" s="18">
        <v>0</v>
      </c>
      <c r="H212" s="18">
        <v>2</v>
      </c>
      <c r="I212" s="18">
        <v>30</v>
      </c>
      <c r="J212" s="18">
        <v>124</v>
      </c>
      <c r="M212" t="s">
        <v>378</v>
      </c>
      <c r="N212" t="s">
        <v>1382</v>
      </c>
      <c r="O212" t="str">
        <f t="shared" si="11"/>
        <v>Eric Fehr</v>
      </c>
      <c r="P212" s="18">
        <v>20</v>
      </c>
    </row>
    <row r="213" spans="1:16" ht="45" x14ac:dyDescent="0.25">
      <c r="A213" s="19" t="s">
        <v>927</v>
      </c>
      <c r="B213" s="20">
        <v>78</v>
      </c>
      <c r="C213" s="20">
        <v>8</v>
      </c>
      <c r="D213" s="20">
        <v>16</v>
      </c>
      <c r="E213" s="20">
        <v>25</v>
      </c>
      <c r="F213" s="20">
        <v>34</v>
      </c>
      <c r="G213" s="20">
        <v>0</v>
      </c>
      <c r="H213" s="20">
        <v>1</v>
      </c>
      <c r="I213" s="20">
        <v>36</v>
      </c>
      <c r="J213" s="20">
        <v>124</v>
      </c>
      <c r="M213" t="s">
        <v>1373</v>
      </c>
      <c r="N213" t="s">
        <v>1383</v>
      </c>
      <c r="O213" t="str">
        <f t="shared" si="11"/>
        <v>Tom Kuhnhackl</v>
      </c>
      <c r="P213" s="20">
        <v>25</v>
      </c>
    </row>
    <row r="214" spans="1:16" ht="45" x14ac:dyDescent="0.25">
      <c r="A214" s="17" t="s">
        <v>928</v>
      </c>
      <c r="B214" s="18">
        <v>78</v>
      </c>
      <c r="C214" s="18">
        <v>22</v>
      </c>
      <c r="D214" s="18">
        <v>23</v>
      </c>
      <c r="E214" s="18">
        <v>45</v>
      </c>
      <c r="F214" s="18">
        <v>-29</v>
      </c>
      <c r="G214" s="18">
        <v>1</v>
      </c>
      <c r="H214" s="18">
        <v>0</v>
      </c>
      <c r="I214" s="18">
        <v>17</v>
      </c>
      <c r="J214" s="18">
        <v>124</v>
      </c>
      <c r="M214" t="s">
        <v>296</v>
      </c>
      <c r="N214" t="s">
        <v>1384</v>
      </c>
      <c r="O214" t="str">
        <f t="shared" si="11"/>
        <v>Oliver Bjorkstrand</v>
      </c>
      <c r="P214" s="18">
        <v>45</v>
      </c>
    </row>
    <row r="215" spans="1:16" ht="30" x14ac:dyDescent="0.25">
      <c r="A215" s="19" t="s">
        <v>929</v>
      </c>
      <c r="B215" s="20">
        <v>78</v>
      </c>
      <c r="C215" s="20">
        <v>9</v>
      </c>
      <c r="D215" s="20">
        <v>24</v>
      </c>
      <c r="E215" s="20">
        <v>34</v>
      </c>
      <c r="F215" s="20">
        <v>0</v>
      </c>
      <c r="G215" s="20">
        <v>2</v>
      </c>
      <c r="H215" s="20">
        <v>0</v>
      </c>
      <c r="I215" s="20">
        <v>34</v>
      </c>
      <c r="J215" s="20">
        <v>124</v>
      </c>
      <c r="M215" t="s">
        <v>188</v>
      </c>
      <c r="N215" t="s">
        <v>395</v>
      </c>
      <c r="O215" t="str">
        <f t="shared" si="11"/>
        <v>Ryan Strome</v>
      </c>
      <c r="P215" s="20">
        <v>34</v>
      </c>
    </row>
    <row r="216" spans="1:16" ht="45" x14ac:dyDescent="0.25">
      <c r="A216" s="17" t="s">
        <v>930</v>
      </c>
      <c r="B216" s="18">
        <v>78</v>
      </c>
      <c r="C216" s="18">
        <v>11</v>
      </c>
      <c r="D216" s="18">
        <v>28</v>
      </c>
      <c r="E216" s="18">
        <v>39</v>
      </c>
      <c r="F216" s="18">
        <v>-35</v>
      </c>
      <c r="G216" s="18">
        <v>9</v>
      </c>
      <c r="H216" s="18">
        <v>0</v>
      </c>
      <c r="I216" s="18">
        <v>29</v>
      </c>
      <c r="J216" s="18">
        <v>122</v>
      </c>
      <c r="M216" t="s">
        <v>1385</v>
      </c>
      <c r="N216" t="s">
        <v>1386</v>
      </c>
      <c r="O216" t="str">
        <f t="shared" si="11"/>
        <v>Elias Lindholm</v>
      </c>
      <c r="P216" s="18">
        <v>39</v>
      </c>
    </row>
    <row r="217" spans="1:16" ht="30" x14ac:dyDescent="0.25">
      <c r="A217" s="19" t="s">
        <v>931</v>
      </c>
      <c r="B217" s="20">
        <v>78</v>
      </c>
      <c r="C217" s="20">
        <v>16</v>
      </c>
      <c r="D217" s="20">
        <v>13</v>
      </c>
      <c r="E217" s="20">
        <v>29</v>
      </c>
      <c r="F217" s="20">
        <v>-1</v>
      </c>
      <c r="G217" s="20">
        <v>3</v>
      </c>
      <c r="H217" s="20">
        <v>0</v>
      </c>
      <c r="I217" s="20">
        <v>37</v>
      </c>
      <c r="J217" s="20">
        <v>122</v>
      </c>
      <c r="M217" t="s">
        <v>1387</v>
      </c>
      <c r="N217" t="s">
        <v>1388</v>
      </c>
      <c r="O217" t="str">
        <f t="shared" si="11"/>
        <v>Dale Weise</v>
      </c>
      <c r="P217" s="20">
        <v>29</v>
      </c>
    </row>
    <row r="218" spans="1:16" ht="45" x14ac:dyDescent="0.25">
      <c r="A218" s="17" t="s">
        <v>932</v>
      </c>
      <c r="B218" s="18">
        <v>78</v>
      </c>
      <c r="C218" s="18">
        <v>11</v>
      </c>
      <c r="D218" s="18">
        <v>10</v>
      </c>
      <c r="E218" s="18">
        <v>22</v>
      </c>
      <c r="F218" s="18">
        <v>37</v>
      </c>
      <c r="G218" s="18">
        <v>0</v>
      </c>
      <c r="H218" s="18">
        <v>0</v>
      </c>
      <c r="I218" s="18">
        <v>13</v>
      </c>
      <c r="J218" s="18">
        <v>121</v>
      </c>
      <c r="M218" t="s">
        <v>457</v>
      </c>
      <c r="N218" t="s">
        <v>1389</v>
      </c>
      <c r="O218" t="str">
        <f t="shared" si="11"/>
        <v>Michael Grabner</v>
      </c>
      <c r="P218" s="18">
        <v>22</v>
      </c>
    </row>
    <row r="219" spans="1:16" ht="30" x14ac:dyDescent="0.25">
      <c r="A219" s="19" t="s">
        <v>933</v>
      </c>
      <c r="B219" s="20">
        <v>78</v>
      </c>
      <c r="C219" s="20">
        <v>16</v>
      </c>
      <c r="D219" s="20">
        <v>20</v>
      </c>
      <c r="E219" s="20">
        <v>37</v>
      </c>
      <c r="F219" s="20">
        <v>-23</v>
      </c>
      <c r="G219" s="20">
        <v>4</v>
      </c>
      <c r="H219" s="20">
        <v>0</v>
      </c>
      <c r="I219" s="20">
        <v>44</v>
      </c>
      <c r="J219" s="20">
        <v>119</v>
      </c>
      <c r="M219" t="s">
        <v>268</v>
      </c>
      <c r="N219" t="s">
        <v>269</v>
      </c>
      <c r="O219" t="str">
        <f t="shared" si="11"/>
        <v>Patrik Laine</v>
      </c>
      <c r="P219" s="20">
        <v>37</v>
      </c>
    </row>
    <row r="220" spans="1:16" ht="45" x14ac:dyDescent="0.25">
      <c r="A220" s="17" t="s">
        <v>934</v>
      </c>
      <c r="B220" s="18">
        <v>78</v>
      </c>
      <c r="C220" s="18">
        <v>13</v>
      </c>
      <c r="D220" s="18">
        <v>9</v>
      </c>
      <c r="E220" s="18">
        <v>23</v>
      </c>
      <c r="F220" s="18">
        <v>18</v>
      </c>
      <c r="G220" s="18">
        <v>0</v>
      </c>
      <c r="H220" s="18">
        <v>1</v>
      </c>
      <c r="I220" s="18">
        <v>65</v>
      </c>
      <c r="J220" s="18">
        <v>113</v>
      </c>
      <c r="M220" t="s">
        <v>1390</v>
      </c>
      <c r="N220" t="s">
        <v>1285</v>
      </c>
      <c r="O220" t="str">
        <f t="shared" si="11"/>
        <v>Torrey Mitchell</v>
      </c>
      <c r="P220" s="18">
        <v>23</v>
      </c>
    </row>
    <row r="221" spans="1:16" ht="45" x14ac:dyDescent="0.25">
      <c r="A221" s="19" t="s">
        <v>935</v>
      </c>
      <c r="B221" s="20">
        <v>78</v>
      </c>
      <c r="C221" s="20">
        <v>19</v>
      </c>
      <c r="D221" s="20">
        <v>0</v>
      </c>
      <c r="E221" s="20">
        <v>19</v>
      </c>
      <c r="F221" s="20">
        <v>11</v>
      </c>
      <c r="G221" s="20">
        <v>0</v>
      </c>
      <c r="H221" s="20">
        <v>0</v>
      </c>
      <c r="I221" s="20">
        <v>123</v>
      </c>
      <c r="J221" s="20">
        <v>113</v>
      </c>
      <c r="M221" t="s">
        <v>166</v>
      </c>
      <c r="N221" t="s">
        <v>1391</v>
      </c>
      <c r="O221" t="str">
        <f t="shared" si="11"/>
        <v>Tyler Randell</v>
      </c>
      <c r="P221" s="20">
        <v>19</v>
      </c>
    </row>
    <row r="222" spans="1:16" ht="30" x14ac:dyDescent="0.25">
      <c r="A222" s="17" t="s">
        <v>936</v>
      </c>
      <c r="B222" s="18">
        <v>78</v>
      </c>
      <c r="C222" s="18">
        <v>10</v>
      </c>
      <c r="D222" s="18">
        <v>21</v>
      </c>
      <c r="E222" s="18">
        <v>31</v>
      </c>
      <c r="F222" s="18">
        <v>18</v>
      </c>
      <c r="G222" s="18">
        <v>0</v>
      </c>
      <c r="H222" s="18">
        <v>0</v>
      </c>
      <c r="I222" s="18">
        <v>19</v>
      </c>
      <c r="J222" s="18">
        <v>112</v>
      </c>
      <c r="M222" t="s">
        <v>1392</v>
      </c>
      <c r="N222" t="s">
        <v>1393</v>
      </c>
      <c r="O222" t="str">
        <f t="shared" si="11"/>
        <v>Jesper Fast</v>
      </c>
      <c r="P222" s="18">
        <v>31</v>
      </c>
    </row>
    <row r="223" spans="1:16" ht="30" x14ac:dyDescent="0.25">
      <c r="A223" s="19" t="s">
        <v>937</v>
      </c>
      <c r="B223" s="20">
        <v>78</v>
      </c>
      <c r="C223" s="20">
        <v>3</v>
      </c>
      <c r="D223" s="20">
        <v>5</v>
      </c>
      <c r="E223" s="20">
        <v>8</v>
      </c>
      <c r="F223" s="20">
        <v>48</v>
      </c>
      <c r="G223" s="20">
        <v>0</v>
      </c>
      <c r="H223" s="20">
        <v>0</v>
      </c>
      <c r="I223" s="20">
        <v>134</v>
      </c>
      <c r="J223" s="20">
        <v>109</v>
      </c>
      <c r="M223" t="s">
        <v>1281</v>
      </c>
      <c r="N223" t="s">
        <v>1394</v>
      </c>
      <c r="O223" t="str">
        <f t="shared" si="11"/>
        <v>Jared Boll</v>
      </c>
      <c r="P223" s="20">
        <v>8</v>
      </c>
    </row>
    <row r="224" spans="1:16" ht="30" x14ac:dyDescent="0.25">
      <c r="A224" s="17" t="s">
        <v>938</v>
      </c>
      <c r="B224" s="18">
        <v>78</v>
      </c>
      <c r="C224" s="18">
        <v>12</v>
      </c>
      <c r="D224" s="18">
        <v>15</v>
      </c>
      <c r="E224" s="18">
        <v>27</v>
      </c>
      <c r="F224" s="18">
        <v>2</v>
      </c>
      <c r="G224" s="18">
        <v>3</v>
      </c>
      <c r="H224" s="18">
        <v>0</v>
      </c>
      <c r="I224" s="18">
        <v>26</v>
      </c>
      <c r="J224" s="18">
        <v>108</v>
      </c>
      <c r="M224" t="s">
        <v>245</v>
      </c>
      <c r="N224" t="s">
        <v>1395</v>
      </c>
      <c r="O224" t="str">
        <f t="shared" si="11"/>
        <v>Matt Read</v>
      </c>
      <c r="P224" s="18">
        <v>27</v>
      </c>
    </row>
    <row r="225" spans="1:16" ht="30" x14ac:dyDescent="0.25">
      <c r="A225" s="19" t="s">
        <v>939</v>
      </c>
      <c r="B225" s="20">
        <v>78</v>
      </c>
      <c r="C225" s="20">
        <v>8</v>
      </c>
      <c r="D225" s="20">
        <v>9</v>
      </c>
      <c r="E225" s="20">
        <v>18</v>
      </c>
      <c r="F225" s="20">
        <v>8</v>
      </c>
      <c r="G225" s="20">
        <v>1</v>
      </c>
      <c r="H225" s="20">
        <v>0</v>
      </c>
      <c r="I225" s="20">
        <v>82</v>
      </c>
      <c r="J225" s="20">
        <v>107</v>
      </c>
      <c r="M225" t="s">
        <v>1396</v>
      </c>
      <c r="N225" t="s">
        <v>1397</v>
      </c>
      <c r="O225" t="str">
        <f t="shared" si="11"/>
        <v>Tommy Wingels</v>
      </c>
      <c r="P225" s="20">
        <v>18</v>
      </c>
    </row>
    <row r="226" spans="1:16" ht="45" x14ac:dyDescent="0.25">
      <c r="A226" s="17" t="s">
        <v>940</v>
      </c>
      <c r="B226" s="18">
        <v>78</v>
      </c>
      <c r="C226" s="18">
        <v>15</v>
      </c>
      <c r="D226" s="18">
        <v>13</v>
      </c>
      <c r="E226" s="18">
        <v>28</v>
      </c>
      <c r="F226" s="18">
        <v>-11</v>
      </c>
      <c r="G226" s="18">
        <v>4</v>
      </c>
      <c r="H226" s="18">
        <v>0</v>
      </c>
      <c r="I226" s="18">
        <v>23</v>
      </c>
      <c r="J226" s="18">
        <v>107</v>
      </c>
      <c r="M226" t="s">
        <v>390</v>
      </c>
      <c r="N226" t="s">
        <v>1398</v>
      </c>
      <c r="O226" t="str">
        <f t="shared" si="11"/>
        <v>Anthony Mantha</v>
      </c>
      <c r="P226" s="18">
        <v>28</v>
      </c>
    </row>
    <row r="227" spans="1:16" ht="45" x14ac:dyDescent="0.25">
      <c r="A227" s="19" t="s">
        <v>941</v>
      </c>
      <c r="B227" s="20">
        <v>78</v>
      </c>
      <c r="C227" s="20">
        <v>6</v>
      </c>
      <c r="D227" s="20">
        <v>11</v>
      </c>
      <c r="E227" s="20">
        <v>18</v>
      </c>
      <c r="F227" s="20">
        <v>-10</v>
      </c>
      <c r="G227" s="20">
        <v>0</v>
      </c>
      <c r="H227" s="20">
        <v>0</v>
      </c>
      <c r="I227" s="20">
        <v>214</v>
      </c>
      <c r="J227" s="20">
        <v>107</v>
      </c>
      <c r="M227" t="s">
        <v>265</v>
      </c>
      <c r="N227" t="s">
        <v>1399</v>
      </c>
      <c r="O227" t="str">
        <f t="shared" si="11"/>
        <v>Derek Dorsett</v>
      </c>
      <c r="P227" s="20">
        <v>18</v>
      </c>
    </row>
    <row r="228" spans="1:16" ht="45" x14ac:dyDescent="0.25">
      <c r="A228" s="17" t="s">
        <v>942</v>
      </c>
      <c r="B228" s="18">
        <v>78</v>
      </c>
      <c r="C228" s="18">
        <v>10</v>
      </c>
      <c r="D228" s="18">
        <v>14</v>
      </c>
      <c r="E228" s="18">
        <v>25</v>
      </c>
      <c r="F228" s="18">
        <v>-8</v>
      </c>
      <c r="G228" s="18">
        <v>4</v>
      </c>
      <c r="H228" s="18">
        <v>0</v>
      </c>
      <c r="I228" s="18">
        <v>54</v>
      </c>
      <c r="J228" s="18">
        <v>101</v>
      </c>
      <c r="M228" t="s">
        <v>233</v>
      </c>
      <c r="N228" t="s">
        <v>1400</v>
      </c>
      <c r="O228" t="str">
        <f t="shared" si="11"/>
        <v>Alex Burrows</v>
      </c>
      <c r="P228" s="18">
        <v>25</v>
      </c>
    </row>
    <row r="229" spans="1:16" ht="45" x14ac:dyDescent="0.25">
      <c r="A229" s="19" t="s">
        <v>943</v>
      </c>
      <c r="B229" s="20">
        <v>78</v>
      </c>
      <c r="C229" s="20">
        <v>17</v>
      </c>
      <c r="D229" s="20">
        <v>8</v>
      </c>
      <c r="E229" s="20">
        <v>25</v>
      </c>
      <c r="F229" s="20">
        <v>3</v>
      </c>
      <c r="G229" s="20">
        <v>0</v>
      </c>
      <c r="H229" s="20">
        <v>1</v>
      </c>
      <c r="I229" s="20">
        <v>34</v>
      </c>
      <c r="J229" s="20">
        <v>100</v>
      </c>
      <c r="M229" t="s">
        <v>1401</v>
      </c>
      <c r="N229" t="s">
        <v>1402</v>
      </c>
      <c r="O229" t="str">
        <f t="shared" si="11"/>
        <v>Cal Clutterbuck</v>
      </c>
      <c r="P229" s="20">
        <v>25</v>
      </c>
    </row>
    <row r="230" spans="1:16" ht="45" x14ac:dyDescent="0.25">
      <c r="A230" s="17" t="s">
        <v>944</v>
      </c>
      <c r="B230" s="18">
        <v>78</v>
      </c>
      <c r="C230" s="18">
        <v>12</v>
      </c>
      <c r="D230" s="18">
        <v>18</v>
      </c>
      <c r="E230" s="18">
        <v>30</v>
      </c>
      <c r="F230" s="18">
        <v>-23</v>
      </c>
      <c r="G230" s="18">
        <v>3</v>
      </c>
      <c r="H230" s="18">
        <v>0</v>
      </c>
      <c r="I230" s="18">
        <v>75</v>
      </c>
      <c r="J230" s="18">
        <v>99</v>
      </c>
      <c r="M230" t="s">
        <v>419</v>
      </c>
      <c r="N230" t="s">
        <v>1403</v>
      </c>
      <c r="O230" t="str">
        <f t="shared" si="11"/>
        <v>Chris Stewart</v>
      </c>
      <c r="P230" s="18">
        <v>30</v>
      </c>
    </row>
    <row r="231" spans="1:16" ht="30" x14ac:dyDescent="0.25">
      <c r="A231" s="19" t="s">
        <v>945</v>
      </c>
      <c r="B231" s="20">
        <v>78</v>
      </c>
      <c r="C231" s="20">
        <v>5</v>
      </c>
      <c r="D231" s="20">
        <v>8</v>
      </c>
      <c r="E231" s="20">
        <v>14</v>
      </c>
      <c r="F231" s="20">
        <v>7</v>
      </c>
      <c r="G231" s="20">
        <v>0</v>
      </c>
      <c r="H231" s="20">
        <v>0</v>
      </c>
      <c r="I231" s="20">
        <v>171</v>
      </c>
      <c r="J231" s="20">
        <v>97</v>
      </c>
      <c r="M231" t="s">
        <v>419</v>
      </c>
      <c r="N231" t="s">
        <v>1404</v>
      </c>
      <c r="O231" t="str">
        <f t="shared" si="11"/>
        <v>Chris Neil</v>
      </c>
      <c r="P231" s="20">
        <v>14</v>
      </c>
    </row>
    <row r="232" spans="1:16" ht="30" x14ac:dyDescent="0.25">
      <c r="A232" s="17" t="s">
        <v>946</v>
      </c>
      <c r="B232" s="18">
        <v>78</v>
      </c>
      <c r="C232" s="18">
        <v>6</v>
      </c>
      <c r="D232" s="18">
        <v>16</v>
      </c>
      <c r="E232" s="18">
        <v>23</v>
      </c>
      <c r="F232" s="18">
        <v>12</v>
      </c>
      <c r="G232" s="18">
        <v>1</v>
      </c>
      <c r="H232" s="18">
        <v>2</v>
      </c>
      <c r="I232" s="18">
        <v>21</v>
      </c>
      <c r="J232" s="18">
        <v>93</v>
      </c>
      <c r="M232" t="s">
        <v>1405</v>
      </c>
      <c r="N232" t="s">
        <v>1406</v>
      </c>
      <c r="O232" t="str">
        <f t="shared" si="11"/>
        <v>Curtis Lazar</v>
      </c>
      <c r="P232" s="18">
        <v>23</v>
      </c>
    </row>
    <row r="233" spans="1:16" ht="45" x14ac:dyDescent="0.25">
      <c r="A233" s="19" t="s">
        <v>947</v>
      </c>
      <c r="B233" s="20">
        <v>78</v>
      </c>
      <c r="C233" s="20">
        <v>11</v>
      </c>
      <c r="D233" s="20">
        <v>9</v>
      </c>
      <c r="E233" s="20">
        <v>21</v>
      </c>
      <c r="F233" s="20">
        <v>-6</v>
      </c>
      <c r="G233" s="20">
        <v>0</v>
      </c>
      <c r="H233" s="20">
        <v>0</v>
      </c>
      <c r="I233" s="20">
        <v>76</v>
      </c>
      <c r="J233" s="20">
        <v>93</v>
      </c>
      <c r="M233" t="s">
        <v>1407</v>
      </c>
      <c r="N233" t="s">
        <v>1408</v>
      </c>
      <c r="O233" t="str">
        <f t="shared" si="11"/>
        <v>Jake Virtanen</v>
      </c>
      <c r="P233" s="20">
        <v>21</v>
      </c>
    </row>
    <row r="234" spans="1:16" ht="45" x14ac:dyDescent="0.25">
      <c r="A234" s="17" t="s">
        <v>948</v>
      </c>
      <c r="B234" s="18">
        <v>78</v>
      </c>
      <c r="C234" s="18">
        <v>9</v>
      </c>
      <c r="D234" s="18">
        <v>14</v>
      </c>
      <c r="E234" s="18">
        <v>24</v>
      </c>
      <c r="F234" s="18">
        <v>3</v>
      </c>
      <c r="G234" s="18">
        <v>1</v>
      </c>
      <c r="H234" s="18">
        <v>0</v>
      </c>
      <c r="I234" s="18">
        <v>23</v>
      </c>
      <c r="J234" s="18">
        <v>89</v>
      </c>
      <c r="M234" t="s">
        <v>1409</v>
      </c>
      <c r="N234" t="s">
        <v>1410</v>
      </c>
      <c r="O234" t="str">
        <f t="shared" si="11"/>
        <v>Nikolay Kulemin</v>
      </c>
      <c r="P234" s="18">
        <v>24</v>
      </c>
    </row>
    <row r="235" spans="1:16" ht="45" x14ac:dyDescent="0.25">
      <c r="A235" s="19" t="s">
        <v>949</v>
      </c>
      <c r="B235" s="20">
        <v>78</v>
      </c>
      <c r="C235" s="20">
        <v>11</v>
      </c>
      <c r="D235" s="20">
        <v>19</v>
      </c>
      <c r="E235" s="20">
        <v>30</v>
      </c>
      <c r="F235" s="20">
        <v>-32</v>
      </c>
      <c r="G235" s="20">
        <v>4</v>
      </c>
      <c r="H235" s="20">
        <v>0</v>
      </c>
      <c r="I235" s="20">
        <v>31</v>
      </c>
      <c r="J235" s="20">
        <v>89</v>
      </c>
      <c r="M235" t="s">
        <v>1411</v>
      </c>
      <c r="N235" t="s">
        <v>1412</v>
      </c>
      <c r="O235" t="str">
        <f t="shared" si="11"/>
        <v>Nail Yakupov</v>
      </c>
      <c r="P235" s="20">
        <v>30</v>
      </c>
    </row>
    <row r="236" spans="1:16" ht="45" x14ac:dyDescent="0.25">
      <c r="A236" s="17" t="s">
        <v>950</v>
      </c>
      <c r="B236" s="18">
        <v>78</v>
      </c>
      <c r="C236" s="18">
        <v>15</v>
      </c>
      <c r="D236" s="18">
        <v>19</v>
      </c>
      <c r="E236" s="18">
        <v>34</v>
      </c>
      <c r="F236" s="18">
        <v>-43</v>
      </c>
      <c r="G236" s="18">
        <v>4</v>
      </c>
      <c r="H236" s="18">
        <v>0</v>
      </c>
      <c r="I236" s="18">
        <v>37</v>
      </c>
      <c r="J236" s="18">
        <v>88</v>
      </c>
      <c r="M236" t="s">
        <v>379</v>
      </c>
      <c r="N236" t="s">
        <v>380</v>
      </c>
      <c r="O236" t="str">
        <f t="shared" si="11"/>
        <v>Jesse Puljujarvi</v>
      </c>
      <c r="P236" s="18">
        <v>34</v>
      </c>
    </row>
    <row r="237" spans="1:16" ht="30" x14ac:dyDescent="0.25">
      <c r="A237" s="19" t="s">
        <v>951</v>
      </c>
      <c r="B237" s="20">
        <v>78</v>
      </c>
      <c r="C237" s="20">
        <v>9</v>
      </c>
      <c r="D237" s="20">
        <v>7</v>
      </c>
      <c r="E237" s="20">
        <v>17</v>
      </c>
      <c r="F237" s="20">
        <v>13</v>
      </c>
      <c r="G237" s="20">
        <v>0</v>
      </c>
      <c r="H237" s="20">
        <v>0</v>
      </c>
      <c r="I237" s="20">
        <v>46</v>
      </c>
      <c r="J237" s="20">
        <v>86</v>
      </c>
      <c r="M237" t="s">
        <v>176</v>
      </c>
      <c r="N237" t="s">
        <v>1413</v>
      </c>
      <c r="O237" t="str">
        <f t="shared" si="11"/>
        <v>Erik Condra</v>
      </c>
      <c r="P237" s="20">
        <v>17</v>
      </c>
    </row>
    <row r="238" spans="1:16" ht="45" x14ac:dyDescent="0.25">
      <c r="A238" s="17" t="s">
        <v>952</v>
      </c>
      <c r="B238" s="18">
        <v>78</v>
      </c>
      <c r="C238" s="18">
        <v>7</v>
      </c>
      <c r="D238" s="18">
        <v>6</v>
      </c>
      <c r="E238" s="18">
        <v>13</v>
      </c>
      <c r="F238" s="18">
        <v>7</v>
      </c>
      <c r="G238" s="18">
        <v>0</v>
      </c>
      <c r="H238" s="18">
        <v>0</v>
      </c>
      <c r="I238" s="18">
        <v>59</v>
      </c>
      <c r="J238" s="18">
        <v>85</v>
      </c>
      <c r="M238" t="s">
        <v>188</v>
      </c>
      <c r="N238" t="s">
        <v>1414</v>
      </c>
      <c r="O238" t="str">
        <f t="shared" si="11"/>
        <v>Ryan Garbutt</v>
      </c>
      <c r="P238" s="18">
        <v>13</v>
      </c>
    </row>
    <row r="239" spans="1:16" ht="30" x14ac:dyDescent="0.25">
      <c r="A239" s="19" t="s">
        <v>953</v>
      </c>
      <c r="B239" s="20">
        <v>78</v>
      </c>
      <c r="C239" s="20">
        <v>6</v>
      </c>
      <c r="D239" s="20">
        <v>12</v>
      </c>
      <c r="E239" s="20">
        <v>19</v>
      </c>
      <c r="F239" s="20">
        <v>7</v>
      </c>
      <c r="G239" s="20">
        <v>0</v>
      </c>
      <c r="H239" s="20">
        <v>0</v>
      </c>
      <c r="I239" s="20">
        <v>36</v>
      </c>
      <c r="J239" s="20">
        <v>85</v>
      </c>
      <c r="M239" t="s">
        <v>1415</v>
      </c>
      <c r="N239" t="s">
        <v>1416</v>
      </c>
      <c r="O239" t="str">
        <f t="shared" si="11"/>
        <v>Dmitrij Jaskin</v>
      </c>
      <c r="P239" s="20">
        <v>19</v>
      </c>
    </row>
    <row r="240" spans="1:16" ht="45" x14ac:dyDescent="0.25">
      <c r="A240" s="17" t="s">
        <v>954</v>
      </c>
      <c r="B240" s="18">
        <v>78</v>
      </c>
      <c r="C240" s="18">
        <v>7</v>
      </c>
      <c r="D240" s="18">
        <v>7</v>
      </c>
      <c r="E240" s="18">
        <v>14</v>
      </c>
      <c r="F240" s="18">
        <v>18</v>
      </c>
      <c r="G240" s="18">
        <v>0</v>
      </c>
      <c r="H240" s="18">
        <v>0</v>
      </c>
      <c r="I240" s="18">
        <v>34</v>
      </c>
      <c r="J240" s="18">
        <v>81</v>
      </c>
      <c r="M240" t="s">
        <v>1417</v>
      </c>
      <c r="N240" t="s">
        <v>1418</v>
      </c>
      <c r="O240" t="str">
        <f t="shared" si="11"/>
        <v>Miikka Salomaki</v>
      </c>
      <c r="P240" s="18">
        <v>14</v>
      </c>
    </row>
    <row r="241" spans="1:16" ht="45" x14ac:dyDescent="0.25">
      <c r="A241" s="19" t="s">
        <v>955</v>
      </c>
      <c r="B241" s="20">
        <v>78</v>
      </c>
      <c r="C241" s="20">
        <v>6</v>
      </c>
      <c r="D241" s="20">
        <v>11</v>
      </c>
      <c r="E241" s="20">
        <v>18</v>
      </c>
      <c r="F241" s="20">
        <v>-34</v>
      </c>
      <c r="G241" s="20">
        <v>0</v>
      </c>
      <c r="H241" s="20">
        <v>0</v>
      </c>
      <c r="I241" s="20">
        <v>210</v>
      </c>
      <c r="J241" s="20">
        <v>78</v>
      </c>
      <c r="M241" t="s">
        <v>1232</v>
      </c>
      <c r="N241" t="s">
        <v>1419</v>
      </c>
      <c r="O241" t="str">
        <f t="shared" si="11"/>
        <v>Zack Kassian</v>
      </c>
      <c r="P241" s="20">
        <v>18</v>
      </c>
    </row>
    <row r="242" spans="1:16" ht="45" x14ac:dyDescent="0.25">
      <c r="A242" s="17" t="s">
        <v>956</v>
      </c>
      <c r="B242" s="18">
        <v>78</v>
      </c>
      <c r="C242" s="18">
        <v>11</v>
      </c>
      <c r="D242" s="18">
        <v>12</v>
      </c>
      <c r="E242" s="18">
        <v>23</v>
      </c>
      <c r="F242" s="18">
        <v>-21</v>
      </c>
      <c r="G242" s="18">
        <v>1</v>
      </c>
      <c r="H242" s="18">
        <v>0</v>
      </c>
      <c r="I242" s="18">
        <v>24</v>
      </c>
      <c r="J242" s="18">
        <v>78</v>
      </c>
      <c r="M242" t="s">
        <v>1305</v>
      </c>
      <c r="N242" t="s">
        <v>1420</v>
      </c>
      <c r="O242" t="str">
        <f t="shared" si="11"/>
        <v>Colton Sceviour</v>
      </c>
      <c r="P242" s="18">
        <v>23</v>
      </c>
    </row>
    <row r="243" spans="1:16" ht="30" x14ac:dyDescent="0.25">
      <c r="A243" s="19" t="s">
        <v>957</v>
      </c>
      <c r="B243" s="20">
        <v>78</v>
      </c>
      <c r="C243" s="20">
        <v>11</v>
      </c>
      <c r="D243" s="20">
        <v>20</v>
      </c>
      <c r="E243" s="20">
        <v>32</v>
      </c>
      <c r="F243" s="20">
        <v>-41</v>
      </c>
      <c r="G243" s="20">
        <v>3</v>
      </c>
      <c r="H243" s="20">
        <v>0</v>
      </c>
      <c r="I243" s="20">
        <v>13</v>
      </c>
      <c r="J243" s="20">
        <v>77</v>
      </c>
      <c r="M243" t="s">
        <v>1259</v>
      </c>
      <c r="N243" t="s">
        <v>1321</v>
      </c>
      <c r="O243" t="str">
        <f t="shared" si="11"/>
        <v>Brian Gionta</v>
      </c>
      <c r="P243" s="20">
        <v>32</v>
      </c>
    </row>
    <row r="244" spans="1:16" ht="30" x14ac:dyDescent="0.25">
      <c r="A244" s="17" t="s">
        <v>958</v>
      </c>
      <c r="B244" s="18">
        <v>78</v>
      </c>
      <c r="C244" s="18">
        <v>10</v>
      </c>
      <c r="D244" s="18">
        <v>11</v>
      </c>
      <c r="E244" s="18">
        <v>22</v>
      </c>
      <c r="F244" s="18">
        <v>-11</v>
      </c>
      <c r="G244" s="18">
        <v>0</v>
      </c>
      <c r="H244" s="18">
        <v>0</v>
      </c>
      <c r="I244" s="18">
        <v>18</v>
      </c>
      <c r="J244" s="18">
        <v>74</v>
      </c>
      <c r="M244" t="s">
        <v>1421</v>
      </c>
      <c r="N244" t="s">
        <v>1422</v>
      </c>
      <c r="O244" t="str">
        <f t="shared" si="11"/>
        <v>Emerson Etem</v>
      </c>
      <c r="P244" s="18">
        <v>22</v>
      </c>
    </row>
    <row r="245" spans="1:16" ht="45" x14ac:dyDescent="0.25">
      <c r="A245" s="19" t="s">
        <v>959</v>
      </c>
      <c r="B245" s="20">
        <v>78</v>
      </c>
      <c r="C245" s="20">
        <v>9</v>
      </c>
      <c r="D245" s="20">
        <v>11</v>
      </c>
      <c r="E245" s="20">
        <v>20</v>
      </c>
      <c r="F245" s="20">
        <v>-14</v>
      </c>
      <c r="G245" s="20">
        <v>2</v>
      </c>
      <c r="H245" s="20">
        <v>0</v>
      </c>
      <c r="I245" s="20">
        <v>27</v>
      </c>
      <c r="J245" s="20">
        <v>72</v>
      </c>
      <c r="M245" t="s">
        <v>360</v>
      </c>
      <c r="N245" t="s">
        <v>1423</v>
      </c>
      <c r="O245" t="str">
        <f t="shared" si="11"/>
        <v>Mikko Rantanen</v>
      </c>
      <c r="P245" s="20">
        <v>20</v>
      </c>
    </row>
    <row r="246" spans="1:16" ht="45" x14ac:dyDescent="0.25">
      <c r="A246" s="17" t="s">
        <v>960</v>
      </c>
      <c r="B246" s="18">
        <v>78</v>
      </c>
      <c r="C246" s="18">
        <v>0</v>
      </c>
      <c r="D246" s="18">
        <v>11</v>
      </c>
      <c r="E246" s="18">
        <v>11</v>
      </c>
      <c r="F246" s="18">
        <v>24</v>
      </c>
      <c r="G246" s="18">
        <v>0</v>
      </c>
      <c r="H246" s="18">
        <v>0</v>
      </c>
      <c r="I246" s="18">
        <v>14</v>
      </c>
      <c r="J246" s="18">
        <v>72</v>
      </c>
      <c r="M246" t="s">
        <v>1424</v>
      </c>
      <c r="N246" t="s">
        <v>1425</v>
      </c>
      <c r="O246" t="str">
        <f t="shared" si="11"/>
        <v>Stanislav Galiev</v>
      </c>
      <c r="P246" s="18">
        <v>11</v>
      </c>
    </row>
    <row r="247" spans="1:16" ht="45" x14ac:dyDescent="0.25">
      <c r="A247" s="19" t="s">
        <v>961</v>
      </c>
      <c r="B247" s="20">
        <v>78</v>
      </c>
      <c r="C247" s="20">
        <v>8</v>
      </c>
      <c r="D247" s="20">
        <v>12</v>
      </c>
      <c r="E247" s="20">
        <v>20</v>
      </c>
      <c r="F247" s="20">
        <v>-12</v>
      </c>
      <c r="G247" s="20">
        <v>0</v>
      </c>
      <c r="H247" s="20">
        <v>1</v>
      </c>
      <c r="I247" s="20">
        <v>23</v>
      </c>
      <c r="J247" s="20">
        <v>64</v>
      </c>
      <c r="M247" t="s">
        <v>1354</v>
      </c>
      <c r="N247" t="s">
        <v>1426</v>
      </c>
      <c r="O247" t="str">
        <f t="shared" si="11"/>
        <v>Joel Armia</v>
      </c>
      <c r="P247" s="20">
        <v>20</v>
      </c>
    </row>
    <row r="248" spans="1:16" ht="45" x14ac:dyDescent="0.25">
      <c r="A248" s="17" t="s">
        <v>962</v>
      </c>
      <c r="B248" s="18">
        <v>78</v>
      </c>
      <c r="C248" s="18">
        <v>7</v>
      </c>
      <c r="D248" s="18">
        <v>6</v>
      </c>
      <c r="E248" s="18">
        <v>13</v>
      </c>
      <c r="F248" s="18">
        <v>-8</v>
      </c>
      <c r="G248" s="18">
        <v>0</v>
      </c>
      <c r="H248" s="18">
        <v>0</v>
      </c>
      <c r="I248" s="18">
        <v>65</v>
      </c>
      <c r="J248" s="18">
        <v>59</v>
      </c>
      <c r="M248" t="s">
        <v>231</v>
      </c>
      <c r="N248" t="s">
        <v>1427</v>
      </c>
      <c r="O248" t="str">
        <f t="shared" si="11"/>
        <v>David Clarkson</v>
      </c>
      <c r="P248" s="18">
        <v>13</v>
      </c>
    </row>
    <row r="249" spans="1:16" ht="45" x14ac:dyDescent="0.25">
      <c r="A249" s="19" t="s">
        <v>963</v>
      </c>
      <c r="B249" s="20">
        <v>78</v>
      </c>
      <c r="C249" s="20">
        <v>8</v>
      </c>
      <c r="D249" s="20">
        <v>6</v>
      </c>
      <c r="E249" s="20">
        <v>14</v>
      </c>
      <c r="F249" s="20">
        <v>-10</v>
      </c>
      <c r="G249" s="20">
        <v>1</v>
      </c>
      <c r="H249" s="20">
        <v>0</v>
      </c>
      <c r="I249" s="20">
        <v>41</v>
      </c>
      <c r="J249" s="20">
        <v>56</v>
      </c>
      <c r="M249" t="s">
        <v>233</v>
      </c>
      <c r="N249" t="s">
        <v>1428</v>
      </c>
      <c r="O249" t="str">
        <f t="shared" si="11"/>
        <v>Alex Chiasson</v>
      </c>
      <c r="P249" s="20">
        <v>14</v>
      </c>
    </row>
    <row r="250" spans="1:16" ht="45" x14ac:dyDescent="0.25">
      <c r="A250" s="17" t="s">
        <v>964</v>
      </c>
      <c r="B250" s="18">
        <v>78</v>
      </c>
      <c r="C250" s="18">
        <v>6</v>
      </c>
      <c r="D250" s="18">
        <v>6</v>
      </c>
      <c r="E250" s="18">
        <v>12</v>
      </c>
      <c r="F250" s="18">
        <v>-11</v>
      </c>
      <c r="G250" s="18">
        <v>0</v>
      </c>
      <c r="H250" s="18">
        <v>0</v>
      </c>
      <c r="I250" s="18">
        <v>76</v>
      </c>
      <c r="J250" s="18">
        <v>53</v>
      </c>
      <c r="M250" t="s">
        <v>419</v>
      </c>
      <c r="N250" t="s">
        <v>1429</v>
      </c>
      <c r="O250" t="str">
        <f t="shared" si="11"/>
        <v>Chris Thorburn</v>
      </c>
      <c r="P250" s="18">
        <v>12</v>
      </c>
    </row>
    <row r="251" spans="1:16" ht="30.75" thickBot="1" x14ac:dyDescent="0.3">
      <c r="A251" s="19" t="s">
        <v>965</v>
      </c>
      <c r="B251" s="20">
        <v>78</v>
      </c>
      <c r="C251" s="20">
        <v>12</v>
      </c>
      <c r="D251" s="20">
        <v>9</v>
      </c>
      <c r="E251" s="20">
        <v>22</v>
      </c>
      <c r="F251" s="20">
        <v>-48</v>
      </c>
      <c r="G251" s="20">
        <v>3</v>
      </c>
      <c r="H251" s="20">
        <v>0</v>
      </c>
      <c r="I251" s="20">
        <v>27</v>
      </c>
      <c r="J251" s="20">
        <v>44</v>
      </c>
      <c r="M251" t="s">
        <v>1430</v>
      </c>
      <c r="N251" t="s">
        <v>421</v>
      </c>
      <c r="O251" t="str">
        <f t="shared" si="11"/>
        <v>Beau Bennett</v>
      </c>
      <c r="P251" s="20">
        <v>22</v>
      </c>
    </row>
    <row r="252" spans="1:16" ht="30.75" thickTop="1" x14ac:dyDescent="0.25">
      <c r="A252" s="15" t="s">
        <v>966</v>
      </c>
      <c r="B252" s="16">
        <v>78</v>
      </c>
      <c r="C252" s="16">
        <v>41</v>
      </c>
      <c r="D252" s="16">
        <v>51</v>
      </c>
      <c r="E252" s="16">
        <v>92</v>
      </c>
      <c r="F252" s="16">
        <v>31</v>
      </c>
      <c r="G252" s="16">
        <v>17</v>
      </c>
      <c r="H252" s="16">
        <v>2</v>
      </c>
      <c r="I252" s="16">
        <v>75</v>
      </c>
      <c r="J252" s="16">
        <v>365</v>
      </c>
      <c r="M252" t="s">
        <v>158</v>
      </c>
      <c r="N252" t="s">
        <v>159</v>
      </c>
      <c r="O252" t="str">
        <f t="shared" si="11"/>
        <v>Jamie Benn</v>
      </c>
      <c r="P252" s="16">
        <v>92</v>
      </c>
    </row>
    <row r="253" spans="1:16" ht="45" x14ac:dyDescent="0.25">
      <c r="A253" s="17" t="s">
        <v>967</v>
      </c>
      <c r="B253" s="18">
        <v>78</v>
      </c>
      <c r="C253" s="18">
        <v>52</v>
      </c>
      <c r="D253" s="18">
        <v>24</v>
      </c>
      <c r="E253" s="18">
        <v>76</v>
      </c>
      <c r="F253" s="18">
        <v>24</v>
      </c>
      <c r="G253" s="18">
        <v>14</v>
      </c>
      <c r="H253" s="18">
        <v>0</v>
      </c>
      <c r="I253" s="18">
        <v>52</v>
      </c>
      <c r="J253" s="18">
        <v>360</v>
      </c>
      <c r="M253" t="s">
        <v>233</v>
      </c>
      <c r="N253" t="s">
        <v>175</v>
      </c>
      <c r="O253" t="str">
        <f t="shared" si="11"/>
        <v>Alex Ovechkin</v>
      </c>
      <c r="P253" s="18">
        <v>76</v>
      </c>
    </row>
    <row r="254" spans="1:16" ht="45" x14ac:dyDescent="0.25">
      <c r="A254" s="19" t="s">
        <v>968</v>
      </c>
      <c r="B254" s="20">
        <v>78</v>
      </c>
      <c r="C254" s="20">
        <v>33</v>
      </c>
      <c r="D254" s="20">
        <v>51</v>
      </c>
      <c r="E254" s="20">
        <v>84</v>
      </c>
      <c r="F254" s="20">
        <v>29</v>
      </c>
      <c r="G254" s="20">
        <v>12</v>
      </c>
      <c r="H254" s="20">
        <v>0</v>
      </c>
      <c r="I254" s="20">
        <v>46</v>
      </c>
      <c r="J254" s="20">
        <v>311</v>
      </c>
      <c r="M254" t="s">
        <v>198</v>
      </c>
      <c r="N254" t="s">
        <v>199</v>
      </c>
      <c r="O254" t="str">
        <f t="shared" si="11"/>
        <v>Artemi Panarin</v>
      </c>
      <c r="P254" s="20">
        <v>84</v>
      </c>
    </row>
    <row r="255" spans="1:16" ht="45" x14ac:dyDescent="0.25">
      <c r="A255" s="17" t="s">
        <v>969</v>
      </c>
      <c r="B255" s="18">
        <v>78</v>
      </c>
      <c r="C255" s="18">
        <v>42</v>
      </c>
      <c r="D255" s="18">
        <v>25</v>
      </c>
      <c r="E255" s="18">
        <v>67</v>
      </c>
      <c r="F255" s="18">
        <v>27</v>
      </c>
      <c r="G255" s="18">
        <v>5</v>
      </c>
      <c r="H255" s="18">
        <v>3</v>
      </c>
      <c r="I255" s="18">
        <v>88</v>
      </c>
      <c r="J255" s="18">
        <v>297</v>
      </c>
      <c r="M255" t="s">
        <v>307</v>
      </c>
      <c r="N255" t="s">
        <v>308</v>
      </c>
      <c r="O255" t="str">
        <f t="shared" si="11"/>
        <v>Brad Marchand</v>
      </c>
      <c r="P255" s="18">
        <v>67</v>
      </c>
    </row>
    <row r="256" spans="1:16" ht="45" x14ac:dyDescent="0.25">
      <c r="A256" s="19" t="s">
        <v>970</v>
      </c>
      <c r="B256" s="20">
        <v>78</v>
      </c>
      <c r="C256" s="20">
        <v>32</v>
      </c>
      <c r="D256" s="20">
        <v>34</v>
      </c>
      <c r="E256" s="20">
        <v>66</v>
      </c>
      <c r="F256" s="20">
        <v>8</v>
      </c>
      <c r="G256" s="20">
        <v>11</v>
      </c>
      <c r="H256" s="20">
        <v>0</v>
      </c>
      <c r="I256" s="20">
        <v>38</v>
      </c>
      <c r="J256" s="20">
        <v>269</v>
      </c>
      <c r="M256" t="s">
        <v>216</v>
      </c>
      <c r="N256" t="s">
        <v>217</v>
      </c>
      <c r="O256" t="str">
        <f t="shared" si="11"/>
        <v>Max Pacioretty</v>
      </c>
      <c r="P256" s="20">
        <v>66</v>
      </c>
    </row>
    <row r="257" spans="1:16" ht="45" x14ac:dyDescent="0.25">
      <c r="A257" s="17" t="s">
        <v>971</v>
      </c>
      <c r="B257" s="18">
        <v>78</v>
      </c>
      <c r="C257" s="18">
        <v>31</v>
      </c>
      <c r="D257" s="18">
        <v>45</v>
      </c>
      <c r="E257" s="18">
        <v>77</v>
      </c>
      <c r="F257" s="18">
        <v>5</v>
      </c>
      <c r="G257" s="18">
        <v>13</v>
      </c>
      <c r="H257" s="18">
        <v>0</v>
      </c>
      <c r="I257" s="18">
        <v>23</v>
      </c>
      <c r="J257" s="18">
        <v>267</v>
      </c>
      <c r="M257" t="s">
        <v>172</v>
      </c>
      <c r="N257" t="s">
        <v>173</v>
      </c>
      <c r="O257" t="str">
        <f t="shared" si="11"/>
        <v>Johnny Gaudreau</v>
      </c>
      <c r="P257" s="18">
        <v>77</v>
      </c>
    </row>
    <row r="258" spans="1:16" ht="45" x14ac:dyDescent="0.25">
      <c r="A258" s="19" t="s">
        <v>972</v>
      </c>
      <c r="B258" s="20">
        <v>78</v>
      </c>
      <c r="C258" s="20">
        <v>32</v>
      </c>
      <c r="D258" s="20">
        <v>31</v>
      </c>
      <c r="E258" s="20">
        <v>64</v>
      </c>
      <c r="F258" s="20">
        <v>12</v>
      </c>
      <c r="G258" s="20">
        <v>13</v>
      </c>
      <c r="H258" s="20">
        <v>0</v>
      </c>
      <c r="I258" s="20">
        <v>39</v>
      </c>
      <c r="J258" s="20">
        <v>265</v>
      </c>
      <c r="M258" t="s">
        <v>194</v>
      </c>
      <c r="N258" t="s">
        <v>195</v>
      </c>
      <c r="O258" t="str">
        <f t="shared" ref="O258:O321" si="14">M258&amp;" "&amp;N258</f>
        <v>Filip Forsberg</v>
      </c>
      <c r="P258" s="20">
        <v>64</v>
      </c>
    </row>
    <row r="259" spans="1:16" ht="30" x14ac:dyDescent="0.25">
      <c r="A259" s="17" t="s">
        <v>973</v>
      </c>
      <c r="B259" s="18">
        <v>78</v>
      </c>
      <c r="C259" s="18">
        <v>22</v>
      </c>
      <c r="D259" s="18">
        <v>34</v>
      </c>
      <c r="E259" s="18">
        <v>57</v>
      </c>
      <c r="F259" s="18">
        <v>24</v>
      </c>
      <c r="G259" s="18">
        <v>13</v>
      </c>
      <c r="H259" s="18">
        <v>0</v>
      </c>
      <c r="I259" s="18">
        <v>29</v>
      </c>
      <c r="J259" s="18">
        <v>251</v>
      </c>
      <c r="M259" t="s">
        <v>162</v>
      </c>
      <c r="N259" t="s">
        <v>306</v>
      </c>
      <c r="O259" t="str">
        <f t="shared" si="14"/>
        <v>Patrick Sharp</v>
      </c>
      <c r="P259" s="18">
        <v>57</v>
      </c>
    </row>
    <row r="260" spans="1:16" ht="45" x14ac:dyDescent="0.25">
      <c r="A260" s="19" t="s">
        <v>974</v>
      </c>
      <c r="B260" s="20">
        <v>78</v>
      </c>
      <c r="C260" s="20">
        <v>32</v>
      </c>
      <c r="D260" s="20">
        <v>35</v>
      </c>
      <c r="E260" s="20">
        <v>67</v>
      </c>
      <c r="F260" s="20">
        <v>10</v>
      </c>
      <c r="G260" s="20">
        <v>9</v>
      </c>
      <c r="H260" s="20">
        <v>0</v>
      </c>
      <c r="I260" s="20">
        <v>19</v>
      </c>
      <c r="J260" s="20">
        <v>248</v>
      </c>
      <c r="M260" t="s">
        <v>290</v>
      </c>
      <c r="N260" t="s">
        <v>291</v>
      </c>
      <c r="O260" t="str">
        <f t="shared" si="14"/>
        <v>Mike Hoffman</v>
      </c>
      <c r="P260" s="20">
        <v>67</v>
      </c>
    </row>
    <row r="261" spans="1:16" ht="30" x14ac:dyDescent="0.25">
      <c r="A261" s="17" t="s">
        <v>975</v>
      </c>
      <c r="B261" s="18">
        <v>78</v>
      </c>
      <c r="C261" s="18">
        <v>32</v>
      </c>
      <c r="D261" s="18">
        <v>36</v>
      </c>
      <c r="E261" s="18">
        <v>68</v>
      </c>
      <c r="F261" s="18">
        <v>-6</v>
      </c>
      <c r="G261" s="18">
        <v>12</v>
      </c>
      <c r="H261" s="18">
        <v>0</v>
      </c>
      <c r="I261" s="18">
        <v>38</v>
      </c>
      <c r="J261" s="18">
        <v>245</v>
      </c>
      <c r="M261" t="s">
        <v>264</v>
      </c>
      <c r="N261" t="s">
        <v>253</v>
      </c>
      <c r="O261" t="str">
        <f t="shared" si="14"/>
        <v>Daniel Sedin</v>
      </c>
      <c r="P261" s="18">
        <v>68</v>
      </c>
    </row>
    <row r="262" spans="1:16" ht="30" x14ac:dyDescent="0.25">
      <c r="A262" s="19" t="s">
        <v>976</v>
      </c>
      <c r="B262" s="20">
        <v>78</v>
      </c>
      <c r="C262" s="20">
        <v>21</v>
      </c>
      <c r="D262" s="20">
        <v>40</v>
      </c>
      <c r="E262" s="20">
        <v>62</v>
      </c>
      <c r="F262" s="20">
        <v>10</v>
      </c>
      <c r="G262" s="20">
        <v>12</v>
      </c>
      <c r="H262" s="20">
        <v>0</v>
      </c>
      <c r="I262" s="20">
        <v>73</v>
      </c>
      <c r="J262" s="20">
        <v>241</v>
      </c>
      <c r="M262" t="s">
        <v>174</v>
      </c>
      <c r="N262" t="s">
        <v>276</v>
      </c>
      <c r="O262" t="str">
        <f t="shared" si="14"/>
        <v>Alexander Steen</v>
      </c>
      <c r="P262" s="20">
        <v>62</v>
      </c>
    </row>
    <row r="263" spans="1:16" ht="30" x14ac:dyDescent="0.25">
      <c r="A263" s="17" t="s">
        <v>977</v>
      </c>
      <c r="B263" s="18">
        <v>78</v>
      </c>
      <c r="C263" s="18">
        <v>20</v>
      </c>
      <c r="D263" s="18">
        <v>38</v>
      </c>
      <c r="E263" s="18">
        <v>58</v>
      </c>
      <c r="F263" s="18">
        <v>32</v>
      </c>
      <c r="G263" s="18">
        <v>11</v>
      </c>
      <c r="H263" s="18">
        <v>0</v>
      </c>
      <c r="I263" s="18">
        <v>10</v>
      </c>
      <c r="J263" s="18">
        <v>230</v>
      </c>
      <c r="M263" t="s">
        <v>358</v>
      </c>
      <c r="N263" t="s">
        <v>359</v>
      </c>
      <c r="O263" t="str">
        <f t="shared" si="14"/>
        <v>Mikkel Boedker</v>
      </c>
      <c r="P263" s="18">
        <v>58</v>
      </c>
    </row>
    <row r="264" spans="1:16" ht="45" x14ac:dyDescent="0.25">
      <c r="A264" s="19" t="s">
        <v>978</v>
      </c>
      <c r="B264" s="20">
        <v>78</v>
      </c>
      <c r="C264" s="20">
        <v>28</v>
      </c>
      <c r="D264" s="20">
        <v>49</v>
      </c>
      <c r="E264" s="20">
        <v>77</v>
      </c>
      <c r="F264" s="20">
        <v>-18</v>
      </c>
      <c r="G264" s="20">
        <v>9</v>
      </c>
      <c r="H264" s="20">
        <v>0</v>
      </c>
      <c r="I264" s="20">
        <v>33</v>
      </c>
      <c r="J264" s="20">
        <v>227</v>
      </c>
      <c r="M264" t="s">
        <v>457</v>
      </c>
      <c r="N264" t="s">
        <v>458</v>
      </c>
      <c r="O264" t="str">
        <f t="shared" si="14"/>
        <v>Michael Cammalleri</v>
      </c>
      <c r="P264" s="20">
        <v>77</v>
      </c>
    </row>
    <row r="265" spans="1:16" ht="30" x14ac:dyDescent="0.25">
      <c r="A265" s="17" t="s">
        <v>979</v>
      </c>
      <c r="B265" s="18">
        <v>78</v>
      </c>
      <c r="C265" s="18">
        <v>22</v>
      </c>
      <c r="D265" s="18">
        <v>37</v>
      </c>
      <c r="E265" s="18">
        <v>60</v>
      </c>
      <c r="F265" s="18">
        <v>26</v>
      </c>
      <c r="G265" s="18">
        <v>11</v>
      </c>
      <c r="H265" s="18">
        <v>0</v>
      </c>
      <c r="I265" s="18">
        <v>34</v>
      </c>
      <c r="J265" s="18">
        <v>226</v>
      </c>
      <c r="M265" t="s">
        <v>218</v>
      </c>
      <c r="N265" t="s">
        <v>396</v>
      </c>
      <c r="O265" t="str">
        <f t="shared" si="14"/>
        <v>Jonathan Drouin</v>
      </c>
      <c r="P265" s="18">
        <v>60</v>
      </c>
    </row>
    <row r="266" spans="1:16" ht="30" x14ac:dyDescent="0.25">
      <c r="A266" s="19" t="s">
        <v>980</v>
      </c>
      <c r="B266" s="20">
        <v>78</v>
      </c>
      <c r="C266" s="20">
        <v>22</v>
      </c>
      <c r="D266" s="20">
        <v>29</v>
      </c>
      <c r="E266" s="20">
        <v>51</v>
      </c>
      <c r="F266" s="20">
        <v>24</v>
      </c>
      <c r="G266" s="20">
        <v>6</v>
      </c>
      <c r="H266" s="20">
        <v>1</v>
      </c>
      <c r="I266" s="20">
        <v>46</v>
      </c>
      <c r="J266" s="20">
        <v>225</v>
      </c>
      <c r="M266" t="s">
        <v>345</v>
      </c>
      <c r="N266" t="s">
        <v>346</v>
      </c>
      <c r="O266" t="str">
        <f t="shared" si="14"/>
        <v>Rick Nash</v>
      </c>
      <c r="P266" s="20">
        <v>51</v>
      </c>
    </row>
    <row r="267" spans="1:16" ht="30" x14ac:dyDescent="0.25">
      <c r="A267" s="17" t="s">
        <v>981</v>
      </c>
      <c r="B267" s="18">
        <v>78</v>
      </c>
      <c r="C267" s="18">
        <v>26</v>
      </c>
      <c r="D267" s="18">
        <v>37</v>
      </c>
      <c r="E267" s="18">
        <v>64</v>
      </c>
      <c r="F267" s="18">
        <v>-9</v>
      </c>
      <c r="G267" s="18">
        <v>6</v>
      </c>
      <c r="H267" s="18">
        <v>0</v>
      </c>
      <c r="I267" s="18">
        <v>54</v>
      </c>
      <c r="J267" s="18">
        <v>221</v>
      </c>
      <c r="M267" t="s">
        <v>224</v>
      </c>
      <c r="N267" t="s">
        <v>225</v>
      </c>
      <c r="O267" t="str">
        <f t="shared" si="14"/>
        <v>Taylor Hall</v>
      </c>
      <c r="P267" s="18">
        <v>64</v>
      </c>
    </row>
    <row r="268" spans="1:16" ht="30" x14ac:dyDescent="0.25">
      <c r="A268" s="19" t="s">
        <v>982</v>
      </c>
      <c r="B268" s="20">
        <v>78</v>
      </c>
      <c r="C268" s="20">
        <v>18</v>
      </c>
      <c r="D268" s="20">
        <v>30</v>
      </c>
      <c r="E268" s="20">
        <v>49</v>
      </c>
      <c r="F268" s="20">
        <v>43</v>
      </c>
      <c r="G268" s="20">
        <v>0</v>
      </c>
      <c r="H268" s="20">
        <v>0</v>
      </c>
      <c r="I268" s="20">
        <v>36</v>
      </c>
      <c r="J268" s="20">
        <v>218</v>
      </c>
      <c r="M268" t="s">
        <v>333</v>
      </c>
      <c r="N268" t="s">
        <v>1431</v>
      </c>
      <c r="O268" t="str">
        <f t="shared" si="14"/>
        <v>Carl Hagelin</v>
      </c>
      <c r="P268" s="20">
        <v>49</v>
      </c>
    </row>
    <row r="269" spans="1:16" ht="30" x14ac:dyDescent="0.25">
      <c r="A269" s="17" t="s">
        <v>983</v>
      </c>
      <c r="B269" s="18">
        <v>78</v>
      </c>
      <c r="C269" s="18">
        <v>29</v>
      </c>
      <c r="D269" s="18">
        <v>33</v>
      </c>
      <c r="E269" s="18">
        <v>62</v>
      </c>
      <c r="F269" s="18">
        <v>-30</v>
      </c>
      <c r="G269" s="18">
        <v>11</v>
      </c>
      <c r="H269" s="18">
        <v>0</v>
      </c>
      <c r="I269" s="18">
        <v>60</v>
      </c>
      <c r="J269" s="18">
        <v>217</v>
      </c>
      <c r="M269" t="s">
        <v>353</v>
      </c>
      <c r="N269" t="s">
        <v>354</v>
      </c>
      <c r="O269" t="str">
        <f t="shared" si="14"/>
        <v>Zach Parise</v>
      </c>
      <c r="P269" s="18">
        <v>62</v>
      </c>
    </row>
    <row r="270" spans="1:16" ht="30" x14ac:dyDescent="0.25">
      <c r="A270" s="19" t="s">
        <v>984</v>
      </c>
      <c r="B270" s="20">
        <v>78</v>
      </c>
      <c r="C270" s="20">
        <v>23</v>
      </c>
      <c r="D270" s="20">
        <v>33</v>
      </c>
      <c r="E270" s="20">
        <v>56</v>
      </c>
      <c r="F270" s="20">
        <v>20</v>
      </c>
      <c r="G270" s="20">
        <v>7</v>
      </c>
      <c r="H270" s="20">
        <v>1</v>
      </c>
      <c r="I270" s="20">
        <v>33</v>
      </c>
      <c r="J270" s="20">
        <v>213</v>
      </c>
      <c r="M270" t="s">
        <v>356</v>
      </c>
      <c r="N270" t="s">
        <v>357</v>
      </c>
      <c r="O270" t="str">
        <f t="shared" si="14"/>
        <v>Ondrej Palat</v>
      </c>
      <c r="P270" s="20">
        <v>56</v>
      </c>
    </row>
    <row r="271" spans="1:16" ht="30" x14ac:dyDescent="0.25">
      <c r="A271" s="17" t="s">
        <v>985</v>
      </c>
      <c r="B271" s="18">
        <v>78</v>
      </c>
      <c r="C271" s="18">
        <v>18</v>
      </c>
      <c r="D271" s="18">
        <v>26</v>
      </c>
      <c r="E271" s="18">
        <v>44</v>
      </c>
      <c r="F271" s="18">
        <v>44</v>
      </c>
      <c r="G271" s="18">
        <v>4</v>
      </c>
      <c r="H271" s="18">
        <v>0</v>
      </c>
      <c r="I271" s="18">
        <v>53</v>
      </c>
      <c r="J271" s="18">
        <v>212</v>
      </c>
      <c r="M271" t="s">
        <v>419</v>
      </c>
      <c r="N271" t="s">
        <v>1432</v>
      </c>
      <c r="O271" t="str">
        <f t="shared" si="14"/>
        <v>Chris Kunitz</v>
      </c>
      <c r="P271" s="18">
        <v>44</v>
      </c>
    </row>
    <row r="272" spans="1:16" ht="45" x14ac:dyDescent="0.25">
      <c r="A272" s="19" t="s">
        <v>986</v>
      </c>
      <c r="B272" s="20">
        <v>78</v>
      </c>
      <c r="C272" s="20">
        <v>23</v>
      </c>
      <c r="D272" s="20">
        <v>35</v>
      </c>
      <c r="E272" s="20">
        <v>59</v>
      </c>
      <c r="F272" s="20">
        <v>-2</v>
      </c>
      <c r="G272" s="20">
        <v>8</v>
      </c>
      <c r="H272" s="20">
        <v>1</v>
      </c>
      <c r="I272" s="20">
        <v>77</v>
      </c>
      <c r="J272" s="20">
        <v>210</v>
      </c>
      <c r="M272" t="s">
        <v>262</v>
      </c>
      <c r="N272" t="s">
        <v>263</v>
      </c>
      <c r="O272" t="str">
        <f t="shared" si="14"/>
        <v>Gabriel Landeskog</v>
      </c>
      <c r="P272" s="20">
        <v>59</v>
      </c>
    </row>
    <row r="273" spans="1:17" ht="45" x14ac:dyDescent="0.25">
      <c r="A273" s="17" t="s">
        <v>987</v>
      </c>
      <c r="B273" s="18">
        <v>78</v>
      </c>
      <c r="C273" s="18">
        <v>19</v>
      </c>
      <c r="D273" s="18">
        <v>33</v>
      </c>
      <c r="E273" s="18">
        <v>53</v>
      </c>
      <c r="F273" s="18">
        <v>24</v>
      </c>
      <c r="G273" s="18">
        <v>9</v>
      </c>
      <c r="H273" s="18">
        <v>0</v>
      </c>
      <c r="I273" s="18">
        <v>17</v>
      </c>
      <c r="J273" s="18">
        <v>205</v>
      </c>
      <c r="M273" t="s">
        <v>335</v>
      </c>
      <c r="N273" t="s">
        <v>336</v>
      </c>
      <c r="O273" t="str">
        <f t="shared" si="14"/>
        <v>Marcus Johansson</v>
      </c>
      <c r="P273" s="18">
        <v>53</v>
      </c>
    </row>
    <row r="274" spans="1:17" ht="30" x14ac:dyDescent="0.25">
      <c r="A274" s="19" t="s">
        <v>988</v>
      </c>
      <c r="B274" s="20">
        <v>78</v>
      </c>
      <c r="C274" s="20">
        <v>26</v>
      </c>
      <c r="D274" s="20">
        <v>22</v>
      </c>
      <c r="E274" s="20">
        <v>49</v>
      </c>
      <c r="F274" s="20">
        <v>9</v>
      </c>
      <c r="G274" s="20">
        <v>7</v>
      </c>
      <c r="H274" s="20">
        <v>1</v>
      </c>
      <c r="I274" s="20">
        <v>46</v>
      </c>
      <c r="J274" s="20">
        <v>204</v>
      </c>
      <c r="M274" t="s">
        <v>310</v>
      </c>
      <c r="N274" t="s">
        <v>311</v>
      </c>
      <c r="O274" t="str">
        <f t="shared" si="14"/>
        <v>Andrew Ladd</v>
      </c>
      <c r="P274" s="20">
        <v>49</v>
      </c>
    </row>
    <row r="275" spans="1:17" ht="30" x14ac:dyDescent="0.25">
      <c r="A275" s="17" t="s">
        <v>989</v>
      </c>
      <c r="B275" s="18">
        <v>78</v>
      </c>
      <c r="C275" s="18">
        <v>24</v>
      </c>
      <c r="D275" s="18">
        <v>23</v>
      </c>
      <c r="E275" s="18">
        <v>47</v>
      </c>
      <c r="F275" s="18">
        <v>8</v>
      </c>
      <c r="G275" s="18">
        <v>11</v>
      </c>
      <c r="H275" s="18">
        <v>0</v>
      </c>
      <c r="I275" s="18">
        <v>15</v>
      </c>
      <c r="J275" s="18">
        <v>201</v>
      </c>
      <c r="M275" t="s">
        <v>162</v>
      </c>
      <c r="N275" t="s">
        <v>394</v>
      </c>
      <c r="O275" t="str">
        <f t="shared" si="14"/>
        <v>Patrick Marleau</v>
      </c>
      <c r="P275" s="18">
        <v>47</v>
      </c>
    </row>
    <row r="276" spans="1:17" ht="45" x14ac:dyDescent="0.25">
      <c r="A276" s="19" t="s">
        <v>990</v>
      </c>
      <c r="B276" s="20">
        <v>78</v>
      </c>
      <c r="C276" s="20">
        <v>24</v>
      </c>
      <c r="D276" s="20">
        <v>21</v>
      </c>
      <c r="E276" s="20">
        <v>46</v>
      </c>
      <c r="F276" s="20">
        <v>22</v>
      </c>
      <c r="G276" s="20">
        <v>5</v>
      </c>
      <c r="H276" s="20">
        <v>0</v>
      </c>
      <c r="I276" s="20">
        <v>66</v>
      </c>
      <c r="J276" s="20">
        <v>200</v>
      </c>
      <c r="M276" t="s">
        <v>419</v>
      </c>
      <c r="N276" t="s">
        <v>420</v>
      </c>
      <c r="O276" t="str">
        <f t="shared" si="14"/>
        <v>Chris Kreider</v>
      </c>
      <c r="P276" s="20">
        <v>46</v>
      </c>
    </row>
    <row r="277" spans="1:17" ht="30" x14ac:dyDescent="0.25">
      <c r="A277" s="17" t="s">
        <v>991</v>
      </c>
      <c r="B277" s="18">
        <v>78</v>
      </c>
      <c r="C277" s="18">
        <v>18</v>
      </c>
      <c r="D277" s="18">
        <v>31</v>
      </c>
      <c r="E277" s="18">
        <v>49</v>
      </c>
      <c r="F277" s="18">
        <v>24</v>
      </c>
      <c r="G277" s="18">
        <v>3</v>
      </c>
      <c r="H277" s="18">
        <v>0</v>
      </c>
      <c r="I277" s="18">
        <v>69</v>
      </c>
      <c r="J277" s="18">
        <v>199</v>
      </c>
      <c r="M277" t="s">
        <v>233</v>
      </c>
      <c r="N277" t="s">
        <v>1433</v>
      </c>
      <c r="O277" t="str">
        <f t="shared" si="14"/>
        <v>Alex Killorn</v>
      </c>
      <c r="P277" s="18">
        <v>49</v>
      </c>
    </row>
    <row r="278" spans="1:17" ht="45" x14ac:dyDescent="0.25">
      <c r="A278" s="19" t="s">
        <v>992</v>
      </c>
      <c r="B278" s="20">
        <v>78</v>
      </c>
      <c r="C278" s="20">
        <v>29</v>
      </c>
      <c r="D278" s="20">
        <v>29</v>
      </c>
      <c r="E278" s="20">
        <v>59</v>
      </c>
      <c r="F278" s="20">
        <v>-21</v>
      </c>
      <c r="G278" s="20">
        <v>9</v>
      </c>
      <c r="H278" s="20">
        <v>0</v>
      </c>
      <c r="I278" s="20">
        <v>15</v>
      </c>
      <c r="J278" s="20">
        <v>199</v>
      </c>
      <c r="M278" t="s">
        <v>257</v>
      </c>
      <c r="N278" t="s">
        <v>1434</v>
      </c>
      <c r="O278" t="str">
        <f t="shared" si="14"/>
        <v>James van</v>
      </c>
      <c r="P278" s="20">
        <v>59</v>
      </c>
      <c r="Q278" t="s">
        <v>1230</v>
      </c>
    </row>
    <row r="279" spans="1:17" ht="30" x14ac:dyDescent="0.25">
      <c r="A279" s="17" t="s">
        <v>993</v>
      </c>
      <c r="B279" s="18">
        <v>78</v>
      </c>
      <c r="C279" s="18">
        <v>22</v>
      </c>
      <c r="D279" s="18">
        <v>23</v>
      </c>
      <c r="E279" s="18">
        <v>46</v>
      </c>
      <c r="F279" s="18">
        <v>19</v>
      </c>
      <c r="G279" s="18">
        <v>3</v>
      </c>
      <c r="H279" s="18">
        <v>0</v>
      </c>
      <c r="I279" s="18">
        <v>25</v>
      </c>
      <c r="J279" s="18">
        <v>195</v>
      </c>
      <c r="M279" t="s">
        <v>365</v>
      </c>
      <c r="N279" t="s">
        <v>369</v>
      </c>
      <c r="O279" t="str">
        <f t="shared" si="14"/>
        <v>Tomas Hertl</v>
      </c>
      <c r="P279" s="18">
        <v>46</v>
      </c>
    </row>
    <row r="280" spans="1:17" ht="30" x14ac:dyDescent="0.25">
      <c r="A280" s="19" t="s">
        <v>994</v>
      </c>
      <c r="B280" s="20">
        <v>78</v>
      </c>
      <c r="C280" s="20">
        <v>29</v>
      </c>
      <c r="D280" s="20">
        <v>13</v>
      </c>
      <c r="E280" s="20">
        <v>42</v>
      </c>
      <c r="F280" s="20">
        <v>26</v>
      </c>
      <c r="G280" s="20">
        <v>3</v>
      </c>
      <c r="H280" s="20">
        <v>0</v>
      </c>
      <c r="I280" s="20">
        <v>36</v>
      </c>
      <c r="J280" s="20">
        <v>190</v>
      </c>
      <c r="M280" t="s">
        <v>264</v>
      </c>
      <c r="N280" t="s">
        <v>1435</v>
      </c>
      <c r="O280" t="str">
        <f t="shared" si="14"/>
        <v>Daniel Carr</v>
      </c>
      <c r="P280" s="20">
        <v>42</v>
      </c>
    </row>
    <row r="281" spans="1:17" ht="30" x14ac:dyDescent="0.25">
      <c r="A281" s="17" t="s">
        <v>995</v>
      </c>
      <c r="B281" s="18">
        <v>78</v>
      </c>
      <c r="C281" s="18">
        <v>33</v>
      </c>
      <c r="D281" s="18">
        <v>21</v>
      </c>
      <c r="E281" s="18">
        <v>54</v>
      </c>
      <c r="F281" s="18">
        <v>-14</v>
      </c>
      <c r="G281" s="18">
        <v>5</v>
      </c>
      <c r="H281" s="18">
        <v>0</v>
      </c>
      <c r="I281" s="18">
        <v>13</v>
      </c>
      <c r="J281" s="18">
        <v>189</v>
      </c>
      <c r="M281" t="s">
        <v>303</v>
      </c>
      <c r="N281" t="s">
        <v>304</v>
      </c>
      <c r="O281" t="str">
        <f t="shared" si="14"/>
        <v>Brandon Saad</v>
      </c>
      <c r="P281" s="18">
        <v>54</v>
      </c>
    </row>
    <row r="282" spans="1:17" ht="45" x14ac:dyDescent="0.25">
      <c r="A282" s="19" t="s">
        <v>996</v>
      </c>
      <c r="B282" s="20">
        <v>78</v>
      </c>
      <c r="C282" s="20">
        <v>19</v>
      </c>
      <c r="D282" s="20">
        <v>39</v>
      </c>
      <c r="E282" s="20">
        <v>59</v>
      </c>
      <c r="F282" s="20">
        <v>-20</v>
      </c>
      <c r="G282" s="20">
        <v>7</v>
      </c>
      <c r="H282" s="20">
        <v>0</v>
      </c>
      <c r="I282" s="20">
        <v>51</v>
      </c>
      <c r="J282" s="20">
        <v>188</v>
      </c>
      <c r="M282" t="s">
        <v>218</v>
      </c>
      <c r="N282" t="s">
        <v>219</v>
      </c>
      <c r="O282" t="str">
        <f t="shared" si="14"/>
        <v>Jonathan Huberdeau</v>
      </c>
      <c r="P282" s="20">
        <v>59</v>
      </c>
    </row>
    <row r="283" spans="1:17" ht="30" x14ac:dyDescent="0.25">
      <c r="A283" s="17" t="s">
        <v>997</v>
      </c>
      <c r="B283" s="18">
        <v>78</v>
      </c>
      <c r="C283" s="18">
        <v>30</v>
      </c>
      <c r="D283" s="18">
        <v>18</v>
      </c>
      <c r="E283" s="18">
        <v>49</v>
      </c>
      <c r="F283" s="18">
        <v>-20</v>
      </c>
      <c r="G283" s="18">
        <v>8</v>
      </c>
      <c r="H283" s="18">
        <v>0</v>
      </c>
      <c r="I283" s="18">
        <v>71</v>
      </c>
      <c r="J283" s="18">
        <v>187</v>
      </c>
      <c r="M283" t="s">
        <v>343</v>
      </c>
      <c r="N283" t="s">
        <v>344</v>
      </c>
      <c r="O283" t="str">
        <f t="shared" si="14"/>
        <v>Boone Jenner</v>
      </c>
      <c r="P283" s="18">
        <v>49</v>
      </c>
    </row>
    <row r="284" spans="1:17" ht="45" x14ac:dyDescent="0.25">
      <c r="A284" s="19" t="s">
        <v>998</v>
      </c>
      <c r="B284" s="20">
        <v>78</v>
      </c>
      <c r="C284" s="20">
        <v>29</v>
      </c>
      <c r="D284" s="20">
        <v>23</v>
      </c>
      <c r="E284" s="20">
        <v>52</v>
      </c>
      <c r="F284" s="20">
        <v>-25</v>
      </c>
      <c r="G284" s="20">
        <v>4</v>
      </c>
      <c r="H284" s="20">
        <v>0</v>
      </c>
      <c r="I284" s="20">
        <v>46</v>
      </c>
      <c r="J284" s="20">
        <v>186</v>
      </c>
      <c r="M284" t="s">
        <v>277</v>
      </c>
      <c r="N284" t="s">
        <v>305</v>
      </c>
      <c r="O284" t="str">
        <f t="shared" si="14"/>
        <v>Jeff Skinner</v>
      </c>
      <c r="P284" s="20">
        <v>52</v>
      </c>
    </row>
    <row r="285" spans="1:17" ht="45" x14ac:dyDescent="0.25">
      <c r="A285" s="17" t="s">
        <v>999</v>
      </c>
      <c r="B285" s="18">
        <v>78</v>
      </c>
      <c r="C285" s="18">
        <v>15</v>
      </c>
      <c r="D285" s="18">
        <v>36</v>
      </c>
      <c r="E285" s="18">
        <v>51</v>
      </c>
      <c r="F285" s="18">
        <v>-7</v>
      </c>
      <c r="G285" s="18">
        <v>11</v>
      </c>
      <c r="H285" s="18">
        <v>0</v>
      </c>
      <c r="I285" s="18">
        <v>25</v>
      </c>
      <c r="J285" s="18">
        <v>184</v>
      </c>
      <c r="M285" t="s">
        <v>252</v>
      </c>
      <c r="N285" t="s">
        <v>364</v>
      </c>
      <c r="O285" t="str">
        <f t="shared" si="14"/>
        <v>Henrik Zetterberg</v>
      </c>
      <c r="P285" s="18">
        <v>51</v>
      </c>
    </row>
    <row r="286" spans="1:17" ht="45" x14ac:dyDescent="0.25">
      <c r="A286" s="19" t="s">
        <v>1000</v>
      </c>
      <c r="B286" s="20">
        <v>78</v>
      </c>
      <c r="C286" s="20">
        <v>17</v>
      </c>
      <c r="D286" s="20">
        <v>23</v>
      </c>
      <c r="E286" s="20">
        <v>40</v>
      </c>
      <c r="F286" s="20">
        <v>21</v>
      </c>
      <c r="G286" s="20">
        <v>4</v>
      </c>
      <c r="H286" s="20">
        <v>0</v>
      </c>
      <c r="I286" s="20">
        <v>62</v>
      </c>
      <c r="J286" s="20">
        <v>182</v>
      </c>
      <c r="M286" t="s">
        <v>245</v>
      </c>
      <c r="N286" t="s">
        <v>1436</v>
      </c>
      <c r="O286" t="str">
        <f t="shared" si="14"/>
        <v>Matt Beleskey</v>
      </c>
      <c r="P286" s="20">
        <v>40</v>
      </c>
    </row>
    <row r="287" spans="1:17" ht="45" x14ac:dyDescent="0.25">
      <c r="A287" s="17" t="s">
        <v>1001</v>
      </c>
      <c r="B287" s="18">
        <v>78</v>
      </c>
      <c r="C287" s="18">
        <v>16</v>
      </c>
      <c r="D287" s="18">
        <v>19</v>
      </c>
      <c r="E287" s="18">
        <v>36</v>
      </c>
      <c r="F287" s="18">
        <v>40</v>
      </c>
      <c r="G287" s="18">
        <v>4</v>
      </c>
      <c r="H287" s="18">
        <v>0</v>
      </c>
      <c r="I287" s="18">
        <v>51</v>
      </c>
      <c r="J287" s="18">
        <v>181</v>
      </c>
      <c r="M287" t="s">
        <v>1405</v>
      </c>
      <c r="N287" t="s">
        <v>1437</v>
      </c>
      <c r="O287" t="str">
        <f t="shared" si="14"/>
        <v>Curtis McKenzie</v>
      </c>
      <c r="P287" s="18">
        <v>36</v>
      </c>
    </row>
    <row r="288" spans="1:17" ht="45" x14ac:dyDescent="0.25">
      <c r="A288" s="19" t="s">
        <v>1002</v>
      </c>
      <c r="B288" s="20">
        <v>78</v>
      </c>
      <c r="C288" s="20">
        <v>24</v>
      </c>
      <c r="D288" s="20">
        <v>26</v>
      </c>
      <c r="E288" s="20">
        <v>50</v>
      </c>
      <c r="F288" s="20">
        <v>-21</v>
      </c>
      <c r="G288" s="20">
        <v>7</v>
      </c>
      <c r="H288" s="20">
        <v>0</v>
      </c>
      <c r="I288" s="20">
        <v>106</v>
      </c>
      <c r="J288" s="20">
        <v>175</v>
      </c>
      <c r="M288" t="s">
        <v>392</v>
      </c>
      <c r="N288" t="s">
        <v>393</v>
      </c>
      <c r="O288" t="str">
        <f t="shared" si="14"/>
        <v>Scott Hartnell</v>
      </c>
      <c r="P288" s="20">
        <v>50</v>
      </c>
    </row>
    <row r="289" spans="1:16" ht="45" x14ac:dyDescent="0.25">
      <c r="A289" s="17" t="s">
        <v>1003</v>
      </c>
      <c r="B289" s="18">
        <v>78</v>
      </c>
      <c r="C289" s="18">
        <v>20</v>
      </c>
      <c r="D289" s="18">
        <v>22</v>
      </c>
      <c r="E289" s="18">
        <v>43</v>
      </c>
      <c r="F289" s="18">
        <v>-10</v>
      </c>
      <c r="G289" s="18">
        <v>6</v>
      </c>
      <c r="H289" s="18">
        <v>0</v>
      </c>
      <c r="I289" s="18">
        <v>136</v>
      </c>
      <c r="J289" s="18">
        <v>174</v>
      </c>
      <c r="M289" t="s">
        <v>374</v>
      </c>
      <c r="N289" t="s">
        <v>1438</v>
      </c>
      <c r="O289" t="str">
        <f t="shared" si="14"/>
        <v>Justin Abdelkader</v>
      </c>
      <c r="P289" s="18">
        <v>43</v>
      </c>
    </row>
    <row r="290" spans="1:16" ht="45" x14ac:dyDescent="0.25">
      <c r="A290" s="19" t="s">
        <v>1004</v>
      </c>
      <c r="B290" s="20">
        <v>78</v>
      </c>
      <c r="C290" s="20">
        <v>17</v>
      </c>
      <c r="D290" s="20">
        <v>39</v>
      </c>
      <c r="E290" s="20">
        <v>56</v>
      </c>
      <c r="F290" s="20">
        <v>-11</v>
      </c>
      <c r="G290" s="20">
        <v>6</v>
      </c>
      <c r="H290" s="20">
        <v>0</v>
      </c>
      <c r="I290" s="20">
        <v>42</v>
      </c>
      <c r="J290" s="20">
        <v>174</v>
      </c>
      <c r="M290" t="s">
        <v>323</v>
      </c>
      <c r="N290" t="s">
        <v>324</v>
      </c>
      <c r="O290" t="str">
        <f t="shared" si="14"/>
        <v>Jussi Jokinen</v>
      </c>
      <c r="P290" s="20">
        <v>56</v>
      </c>
    </row>
    <row r="291" spans="1:16" ht="30" x14ac:dyDescent="0.25">
      <c r="A291" s="17" t="s">
        <v>1005</v>
      </c>
      <c r="B291" s="18">
        <v>78</v>
      </c>
      <c r="C291" s="18">
        <v>25</v>
      </c>
      <c r="D291" s="18">
        <v>19</v>
      </c>
      <c r="E291" s="18">
        <v>44</v>
      </c>
      <c r="F291" s="18">
        <v>-41</v>
      </c>
      <c r="G291" s="18">
        <v>3</v>
      </c>
      <c r="H291" s="18">
        <v>0</v>
      </c>
      <c r="I291" s="18">
        <v>124</v>
      </c>
      <c r="J291" s="18">
        <v>173</v>
      </c>
      <c r="M291" t="s">
        <v>1439</v>
      </c>
      <c r="N291" t="s">
        <v>163</v>
      </c>
      <c r="O291" t="str">
        <f t="shared" si="14"/>
        <v>Evander Kane</v>
      </c>
      <c r="P291" s="18">
        <v>44</v>
      </c>
    </row>
    <row r="292" spans="1:16" ht="30" x14ac:dyDescent="0.25">
      <c r="A292" s="19" t="s">
        <v>1006</v>
      </c>
      <c r="B292" s="20">
        <v>78</v>
      </c>
      <c r="C292" s="20">
        <v>21</v>
      </c>
      <c r="D292" s="20">
        <v>26</v>
      </c>
      <c r="E292" s="20">
        <v>48</v>
      </c>
      <c r="F292" s="20">
        <v>-1</v>
      </c>
      <c r="G292" s="20">
        <v>8</v>
      </c>
      <c r="H292" s="20">
        <v>0</v>
      </c>
      <c r="I292" s="20">
        <v>23</v>
      </c>
      <c r="J292" s="20">
        <v>172</v>
      </c>
      <c r="M292" t="s">
        <v>365</v>
      </c>
      <c r="N292" t="s">
        <v>417</v>
      </c>
      <c r="O292" t="str">
        <f t="shared" si="14"/>
        <v>Tomas Tatar</v>
      </c>
      <c r="P292" s="20">
        <v>48</v>
      </c>
    </row>
    <row r="293" spans="1:16" ht="45" x14ac:dyDescent="0.25">
      <c r="A293" s="17" t="s">
        <v>1007</v>
      </c>
      <c r="B293" s="18">
        <v>78</v>
      </c>
      <c r="C293" s="18">
        <v>22</v>
      </c>
      <c r="D293" s="18">
        <v>33</v>
      </c>
      <c r="E293" s="18">
        <v>56</v>
      </c>
      <c r="F293" s="18">
        <v>-22</v>
      </c>
      <c r="G293" s="18">
        <v>7</v>
      </c>
      <c r="H293" s="18">
        <v>0</v>
      </c>
      <c r="I293" s="18">
        <v>50</v>
      </c>
      <c r="J293" s="18">
        <v>171</v>
      </c>
      <c r="M293" t="s">
        <v>1440</v>
      </c>
      <c r="N293" t="s">
        <v>1441</v>
      </c>
      <c r="O293" t="str">
        <f t="shared" si="14"/>
        <v>Benoit Pouliot</v>
      </c>
      <c r="P293" s="18">
        <v>56</v>
      </c>
    </row>
    <row r="294" spans="1:16" ht="30" x14ac:dyDescent="0.25">
      <c r="A294" s="19" t="s">
        <v>1008</v>
      </c>
      <c r="B294" s="20">
        <v>78</v>
      </c>
      <c r="C294" s="20">
        <v>18</v>
      </c>
      <c r="D294" s="20">
        <v>22</v>
      </c>
      <c r="E294" s="20">
        <v>41</v>
      </c>
      <c r="F294" s="20">
        <v>17</v>
      </c>
      <c r="G294" s="20">
        <v>4</v>
      </c>
      <c r="H294" s="20">
        <v>0</v>
      </c>
      <c r="I294" s="20">
        <v>39</v>
      </c>
      <c r="J294" s="20">
        <v>170</v>
      </c>
      <c r="M294" t="s">
        <v>1366</v>
      </c>
      <c r="N294" t="s">
        <v>1442</v>
      </c>
      <c r="O294" t="str">
        <f t="shared" si="14"/>
        <v>Jimmy Vesey</v>
      </c>
      <c r="P294" s="20">
        <v>41</v>
      </c>
    </row>
    <row r="295" spans="1:16" ht="45" x14ac:dyDescent="0.25">
      <c r="A295" s="17" t="s">
        <v>1009</v>
      </c>
      <c r="B295" s="18">
        <v>78</v>
      </c>
      <c r="C295" s="18">
        <v>17</v>
      </c>
      <c r="D295" s="18">
        <v>32</v>
      </c>
      <c r="E295" s="18">
        <v>49</v>
      </c>
      <c r="F295" s="18">
        <v>0</v>
      </c>
      <c r="G295" s="18">
        <v>7</v>
      </c>
      <c r="H295" s="18">
        <v>0</v>
      </c>
      <c r="I295" s="18">
        <v>20</v>
      </c>
      <c r="J295" s="18">
        <v>168</v>
      </c>
      <c r="M295" t="s">
        <v>260</v>
      </c>
      <c r="N295" t="s">
        <v>261</v>
      </c>
      <c r="O295" t="str">
        <f t="shared" si="14"/>
        <v>Jaden Schwartz</v>
      </c>
      <c r="P295" s="18">
        <v>49</v>
      </c>
    </row>
    <row r="296" spans="1:16" ht="45" x14ac:dyDescent="0.25">
      <c r="A296" s="19" t="s">
        <v>1010</v>
      </c>
      <c r="B296" s="20">
        <v>78</v>
      </c>
      <c r="C296" s="20">
        <v>27</v>
      </c>
      <c r="D296" s="20">
        <v>22</v>
      </c>
      <c r="E296" s="20">
        <v>49</v>
      </c>
      <c r="F296" s="20">
        <v>-14</v>
      </c>
      <c r="G296" s="20">
        <v>5</v>
      </c>
      <c r="H296" s="20">
        <v>0</v>
      </c>
      <c r="I296" s="20">
        <v>56</v>
      </c>
      <c r="J296" s="20">
        <v>168</v>
      </c>
      <c r="M296" t="s">
        <v>1443</v>
      </c>
      <c r="N296" t="s">
        <v>1444</v>
      </c>
      <c r="O296" t="str">
        <f t="shared" si="14"/>
        <v>Leo Komarov</v>
      </c>
      <c r="P296" s="20">
        <v>49</v>
      </c>
    </row>
    <row r="297" spans="1:16" ht="45" x14ac:dyDescent="0.25">
      <c r="A297" s="17" t="s">
        <v>1011</v>
      </c>
      <c r="B297" s="18">
        <v>78</v>
      </c>
      <c r="C297" s="18">
        <v>13</v>
      </c>
      <c r="D297" s="18">
        <v>14</v>
      </c>
      <c r="E297" s="18">
        <v>28</v>
      </c>
      <c r="F297" s="18">
        <v>35</v>
      </c>
      <c r="G297" s="18">
        <v>0</v>
      </c>
      <c r="H297" s="18">
        <v>0</v>
      </c>
      <c r="I297" s="18">
        <v>142</v>
      </c>
      <c r="J297" s="18">
        <v>167</v>
      </c>
      <c r="M297" t="s">
        <v>1228</v>
      </c>
      <c r="N297" t="s">
        <v>1445</v>
      </c>
      <c r="O297" t="str">
        <f t="shared" si="14"/>
        <v>Antoine Roussel</v>
      </c>
      <c r="P297" s="18">
        <v>28</v>
      </c>
    </row>
    <row r="298" spans="1:16" ht="30" x14ac:dyDescent="0.25">
      <c r="A298" s="19" t="s">
        <v>1012</v>
      </c>
      <c r="B298" s="20">
        <v>78</v>
      </c>
      <c r="C298" s="20">
        <v>14</v>
      </c>
      <c r="D298" s="20">
        <v>27</v>
      </c>
      <c r="E298" s="20">
        <v>42</v>
      </c>
      <c r="F298" s="20">
        <v>1</v>
      </c>
      <c r="G298" s="20">
        <v>5</v>
      </c>
      <c r="H298" s="20">
        <v>0</v>
      </c>
      <c r="I298" s="20">
        <v>80</v>
      </c>
      <c r="J298" s="20">
        <v>166</v>
      </c>
      <c r="M298" t="s">
        <v>231</v>
      </c>
      <c r="N298" t="s">
        <v>447</v>
      </c>
      <c r="O298" t="str">
        <f t="shared" si="14"/>
        <v>David Perron</v>
      </c>
      <c r="P298" s="20">
        <v>42</v>
      </c>
    </row>
    <row r="299" spans="1:16" ht="30" x14ac:dyDescent="0.25">
      <c r="A299" s="17" t="s">
        <v>1013</v>
      </c>
      <c r="B299" s="18">
        <v>78</v>
      </c>
      <c r="C299" s="18">
        <v>19</v>
      </c>
      <c r="D299" s="18">
        <v>19</v>
      </c>
      <c r="E299" s="18">
        <v>38</v>
      </c>
      <c r="F299" s="18">
        <v>9</v>
      </c>
      <c r="G299" s="18">
        <v>0</v>
      </c>
      <c r="H299" s="18">
        <v>2</v>
      </c>
      <c r="I299" s="18">
        <v>31</v>
      </c>
      <c r="J299" s="18">
        <v>156</v>
      </c>
      <c r="M299" t="s">
        <v>457</v>
      </c>
      <c r="N299" t="s">
        <v>1446</v>
      </c>
      <c r="O299" t="str">
        <f t="shared" si="14"/>
        <v>Michael Frolik</v>
      </c>
      <c r="P299" s="18">
        <v>38</v>
      </c>
    </row>
    <row r="300" spans="1:16" ht="30" x14ac:dyDescent="0.25">
      <c r="A300" s="19" t="s">
        <v>1014</v>
      </c>
      <c r="B300" s="20">
        <v>78</v>
      </c>
      <c r="C300" s="20">
        <v>15</v>
      </c>
      <c r="D300" s="20">
        <v>21</v>
      </c>
      <c r="E300" s="20">
        <v>37</v>
      </c>
      <c r="F300" s="20">
        <v>-7</v>
      </c>
      <c r="G300" s="20">
        <v>9</v>
      </c>
      <c r="H300" s="20">
        <v>0</v>
      </c>
      <c r="I300" s="20">
        <v>57</v>
      </c>
      <c r="J300" s="20">
        <v>155</v>
      </c>
      <c r="M300" t="s">
        <v>1447</v>
      </c>
      <c r="N300" t="s">
        <v>1362</v>
      </c>
      <c r="O300" t="str">
        <f t="shared" si="14"/>
        <v>Anders Lee</v>
      </c>
      <c r="P300" s="20">
        <v>37</v>
      </c>
    </row>
    <row r="301" spans="1:16" ht="30" x14ac:dyDescent="0.25">
      <c r="A301" s="17" t="s">
        <v>1015</v>
      </c>
      <c r="B301" s="18">
        <v>78</v>
      </c>
      <c r="C301" s="18">
        <v>18</v>
      </c>
      <c r="D301" s="18">
        <v>16</v>
      </c>
      <c r="E301" s="18">
        <v>34</v>
      </c>
      <c r="F301" s="18">
        <v>17</v>
      </c>
      <c r="G301" s="18">
        <v>3</v>
      </c>
      <c r="H301" s="18">
        <v>0</v>
      </c>
      <c r="I301" s="18">
        <v>28</v>
      </c>
      <c r="J301" s="18">
        <v>153</v>
      </c>
      <c r="M301" t="s">
        <v>426</v>
      </c>
      <c r="N301" t="s">
        <v>1448</v>
      </c>
      <c r="O301" t="str">
        <f t="shared" si="14"/>
        <v>Kevin Fiala</v>
      </c>
      <c r="P301" s="18">
        <v>34</v>
      </c>
    </row>
    <row r="302" spans="1:16" ht="45" x14ac:dyDescent="0.25">
      <c r="A302" s="19" t="s">
        <v>1016</v>
      </c>
      <c r="B302" s="20">
        <v>78</v>
      </c>
      <c r="C302" s="20">
        <v>12</v>
      </c>
      <c r="D302" s="20">
        <v>28</v>
      </c>
      <c r="E302" s="20">
        <v>41</v>
      </c>
      <c r="F302" s="20">
        <v>21</v>
      </c>
      <c r="G302" s="20">
        <v>0</v>
      </c>
      <c r="H302" s="20">
        <v>0</v>
      </c>
      <c r="I302" s="20">
        <v>13</v>
      </c>
      <c r="J302" s="20">
        <v>153</v>
      </c>
      <c r="M302" t="s">
        <v>1449</v>
      </c>
      <c r="N302" t="s">
        <v>1374</v>
      </c>
      <c r="O302" t="str">
        <f t="shared" si="14"/>
        <v>Colin Wilson</v>
      </c>
      <c r="P302" s="20">
        <v>41</v>
      </c>
    </row>
    <row r="303" spans="1:16" ht="45" x14ac:dyDescent="0.25">
      <c r="A303" s="17" t="s">
        <v>1017</v>
      </c>
      <c r="B303" s="18">
        <v>78</v>
      </c>
      <c r="C303" s="18">
        <v>17</v>
      </c>
      <c r="D303" s="18">
        <v>19</v>
      </c>
      <c r="E303" s="18">
        <v>37</v>
      </c>
      <c r="F303" s="18">
        <v>24</v>
      </c>
      <c r="G303" s="18">
        <v>1</v>
      </c>
      <c r="H303" s="18">
        <v>0</v>
      </c>
      <c r="I303" s="18">
        <v>17</v>
      </c>
      <c r="J303" s="18">
        <v>152</v>
      </c>
      <c r="M303" t="s">
        <v>1450</v>
      </c>
      <c r="N303" t="s">
        <v>1451</v>
      </c>
      <c r="O303" t="str">
        <f t="shared" si="14"/>
        <v>Andre Burakovsky</v>
      </c>
      <c r="P303" s="18">
        <v>37</v>
      </c>
    </row>
    <row r="304" spans="1:16" ht="45" x14ac:dyDescent="0.25">
      <c r="A304" s="19" t="s">
        <v>1018</v>
      </c>
      <c r="B304" s="20">
        <v>78</v>
      </c>
      <c r="C304" s="20">
        <v>17</v>
      </c>
      <c r="D304" s="20">
        <v>25</v>
      </c>
      <c r="E304" s="20">
        <v>42</v>
      </c>
      <c r="F304" s="20">
        <v>-9</v>
      </c>
      <c r="G304" s="20">
        <v>7</v>
      </c>
      <c r="H304" s="20">
        <v>0</v>
      </c>
      <c r="I304" s="20">
        <v>26</v>
      </c>
      <c r="J304" s="20">
        <v>152</v>
      </c>
      <c r="M304" t="s">
        <v>383</v>
      </c>
      <c r="N304" t="s">
        <v>384</v>
      </c>
      <c r="O304" t="str">
        <f t="shared" si="14"/>
        <v>Nikolaj Ehlers</v>
      </c>
      <c r="P304" s="20">
        <v>42</v>
      </c>
    </row>
    <row r="305" spans="1:16" ht="30" x14ac:dyDescent="0.25">
      <c r="A305" s="17" t="s">
        <v>1019</v>
      </c>
      <c r="B305" s="18">
        <v>78</v>
      </c>
      <c r="C305" s="18">
        <v>16</v>
      </c>
      <c r="D305" s="18">
        <v>22</v>
      </c>
      <c r="E305" s="18">
        <v>39</v>
      </c>
      <c r="F305" s="18">
        <v>10</v>
      </c>
      <c r="G305" s="18">
        <v>2</v>
      </c>
      <c r="H305" s="18">
        <v>0</v>
      </c>
      <c r="I305" s="18">
        <v>19</v>
      </c>
      <c r="J305" s="18">
        <v>149</v>
      </c>
      <c r="M305" t="s">
        <v>1452</v>
      </c>
      <c r="N305" t="s">
        <v>1453</v>
      </c>
      <c r="O305" t="str">
        <f t="shared" si="14"/>
        <v>Tanner Pearson</v>
      </c>
      <c r="P305" s="18">
        <v>39</v>
      </c>
    </row>
    <row r="306" spans="1:16" ht="45" x14ac:dyDescent="0.25">
      <c r="A306" s="19" t="s">
        <v>1020</v>
      </c>
      <c r="B306" s="20">
        <v>78</v>
      </c>
      <c r="C306" s="20">
        <v>7</v>
      </c>
      <c r="D306" s="20">
        <v>15</v>
      </c>
      <c r="E306" s="20">
        <v>22</v>
      </c>
      <c r="F306" s="20">
        <v>59</v>
      </c>
      <c r="G306" s="20">
        <v>0</v>
      </c>
      <c r="H306" s="20">
        <v>0</v>
      </c>
      <c r="I306" s="20">
        <v>39</v>
      </c>
      <c r="J306" s="20">
        <v>144</v>
      </c>
      <c r="M306" t="s">
        <v>264</v>
      </c>
      <c r="N306" t="s">
        <v>1454</v>
      </c>
      <c r="O306" t="str">
        <f t="shared" si="14"/>
        <v>Daniel Winnik</v>
      </c>
      <c r="P306" s="20">
        <v>22</v>
      </c>
    </row>
    <row r="307" spans="1:16" ht="30" x14ac:dyDescent="0.25">
      <c r="A307" s="17" t="s">
        <v>1021</v>
      </c>
      <c r="B307" s="18">
        <v>78</v>
      </c>
      <c r="C307" s="18">
        <v>19</v>
      </c>
      <c r="D307" s="18">
        <v>24</v>
      </c>
      <c r="E307" s="18">
        <v>44</v>
      </c>
      <c r="F307" s="18">
        <v>-26</v>
      </c>
      <c r="G307" s="18">
        <v>7</v>
      </c>
      <c r="H307" s="18">
        <v>0</v>
      </c>
      <c r="I307" s="18">
        <v>34</v>
      </c>
      <c r="J307" s="18">
        <v>140</v>
      </c>
      <c r="M307" t="s">
        <v>376</v>
      </c>
      <c r="N307" t="s">
        <v>377</v>
      </c>
      <c r="O307" t="str">
        <f t="shared" si="14"/>
        <v>Thomas Vanek</v>
      </c>
      <c r="P307" s="18">
        <v>44</v>
      </c>
    </row>
    <row r="308" spans="1:16" ht="45" x14ac:dyDescent="0.25">
      <c r="A308" s="19" t="s">
        <v>1022</v>
      </c>
      <c r="B308" s="20">
        <v>78</v>
      </c>
      <c r="C308" s="20">
        <v>19</v>
      </c>
      <c r="D308" s="20">
        <v>17</v>
      </c>
      <c r="E308" s="20">
        <v>36</v>
      </c>
      <c r="F308" s="20">
        <v>-2</v>
      </c>
      <c r="G308" s="20">
        <v>4</v>
      </c>
      <c r="H308" s="20">
        <v>0</v>
      </c>
      <c r="I308" s="20">
        <v>41</v>
      </c>
      <c r="J308" s="20">
        <v>138</v>
      </c>
      <c r="M308" t="s">
        <v>397</v>
      </c>
      <c r="N308" t="s">
        <v>421</v>
      </c>
      <c r="O308" t="str">
        <f t="shared" si="14"/>
        <v>Sam Bennett</v>
      </c>
      <c r="P308" s="20">
        <v>36</v>
      </c>
    </row>
    <row r="309" spans="1:16" ht="45" x14ac:dyDescent="0.25">
      <c r="A309" s="17" t="s">
        <v>1023</v>
      </c>
      <c r="B309" s="18">
        <v>78</v>
      </c>
      <c r="C309" s="18">
        <v>13</v>
      </c>
      <c r="D309" s="18">
        <v>27</v>
      </c>
      <c r="E309" s="18">
        <v>41</v>
      </c>
      <c r="F309" s="18">
        <v>-24</v>
      </c>
      <c r="G309" s="18">
        <v>8</v>
      </c>
      <c r="H309" s="18">
        <v>0</v>
      </c>
      <c r="I309" s="18">
        <v>57</v>
      </c>
      <c r="J309" s="18">
        <v>136</v>
      </c>
      <c r="M309" t="s">
        <v>431</v>
      </c>
      <c r="N309" t="s">
        <v>448</v>
      </c>
      <c r="O309" t="str">
        <f t="shared" si="14"/>
        <v>Nick Foligno</v>
      </c>
      <c r="P309" s="18">
        <v>41</v>
      </c>
    </row>
    <row r="310" spans="1:16" ht="45" x14ac:dyDescent="0.25">
      <c r="A310" s="19" t="s">
        <v>1024</v>
      </c>
      <c r="B310" s="20">
        <v>78</v>
      </c>
      <c r="C310" s="20">
        <v>11</v>
      </c>
      <c r="D310" s="20">
        <v>25</v>
      </c>
      <c r="E310" s="20">
        <v>37</v>
      </c>
      <c r="F310" s="20">
        <v>14</v>
      </c>
      <c r="G310" s="20">
        <v>0</v>
      </c>
      <c r="H310" s="20">
        <v>1</v>
      </c>
      <c r="I310" s="20">
        <v>22</v>
      </c>
      <c r="J310" s="20">
        <v>136</v>
      </c>
      <c r="M310" t="s">
        <v>310</v>
      </c>
      <c r="N310" t="s">
        <v>1455</v>
      </c>
      <c r="O310" t="str">
        <f t="shared" si="14"/>
        <v>Andrew Cogliano</v>
      </c>
      <c r="P310" s="20">
        <v>37</v>
      </c>
    </row>
    <row r="311" spans="1:16" ht="30" x14ac:dyDescent="0.25">
      <c r="A311" s="17" t="s">
        <v>1025</v>
      </c>
      <c r="B311" s="18">
        <v>78</v>
      </c>
      <c r="C311" s="18">
        <v>20</v>
      </c>
      <c r="D311" s="18">
        <v>22</v>
      </c>
      <c r="E311" s="18">
        <v>42</v>
      </c>
      <c r="F311" s="18">
        <v>-13</v>
      </c>
      <c r="G311" s="18">
        <v>5</v>
      </c>
      <c r="H311" s="18">
        <v>0</v>
      </c>
      <c r="I311" s="18">
        <v>41</v>
      </c>
      <c r="J311" s="18">
        <v>134</v>
      </c>
      <c r="M311" t="s">
        <v>390</v>
      </c>
      <c r="N311" t="s">
        <v>391</v>
      </c>
      <c r="O311" t="str">
        <f t="shared" si="14"/>
        <v>Anthony Duclair</v>
      </c>
      <c r="P311" s="18">
        <v>42</v>
      </c>
    </row>
    <row r="312" spans="1:16" ht="30" x14ac:dyDescent="0.25">
      <c r="A312" s="19" t="s">
        <v>1026</v>
      </c>
      <c r="B312" s="20">
        <v>78</v>
      </c>
      <c r="C312" s="20">
        <v>14</v>
      </c>
      <c r="D312" s="20">
        <v>10</v>
      </c>
      <c r="E312" s="20">
        <v>24</v>
      </c>
      <c r="F312" s="20">
        <v>34</v>
      </c>
      <c r="G312" s="20">
        <v>0</v>
      </c>
      <c r="H312" s="20">
        <v>0</v>
      </c>
      <c r="I312" s="20">
        <v>23</v>
      </c>
      <c r="J312" s="20">
        <v>131</v>
      </c>
      <c r="M312" t="s">
        <v>1456</v>
      </c>
      <c r="N312" t="s">
        <v>1457</v>
      </c>
      <c r="O312" t="str">
        <f t="shared" si="14"/>
        <v>Conor Sheary</v>
      </c>
      <c r="P312" s="20">
        <v>24</v>
      </c>
    </row>
    <row r="313" spans="1:16" ht="45" x14ac:dyDescent="0.25">
      <c r="A313" s="17" t="s">
        <v>1027</v>
      </c>
      <c r="B313" s="18">
        <v>78</v>
      </c>
      <c r="C313" s="18">
        <v>12</v>
      </c>
      <c r="D313" s="18">
        <v>23</v>
      </c>
      <c r="E313" s="18">
        <v>36</v>
      </c>
      <c r="F313" s="18">
        <v>-5</v>
      </c>
      <c r="G313" s="18">
        <v>4</v>
      </c>
      <c r="H313" s="18">
        <v>0</v>
      </c>
      <c r="I313" s="18">
        <v>61</v>
      </c>
      <c r="J313" s="18">
        <v>131</v>
      </c>
      <c r="M313" t="s">
        <v>192</v>
      </c>
      <c r="N313" t="s">
        <v>1458</v>
      </c>
      <c r="O313" t="str">
        <f t="shared" si="14"/>
        <v>Blake Comeau</v>
      </c>
      <c r="P313" s="18">
        <v>36</v>
      </c>
    </row>
    <row r="314" spans="1:16" ht="45" x14ac:dyDescent="0.25">
      <c r="A314" s="19" t="s">
        <v>1028</v>
      </c>
      <c r="B314" s="20">
        <v>78</v>
      </c>
      <c r="C314" s="20">
        <v>17</v>
      </c>
      <c r="D314" s="20">
        <v>20</v>
      </c>
      <c r="E314" s="20">
        <v>38</v>
      </c>
      <c r="F314" s="20">
        <v>-11</v>
      </c>
      <c r="G314" s="20">
        <v>4</v>
      </c>
      <c r="H314" s="20">
        <v>0</v>
      </c>
      <c r="I314" s="20">
        <v>39</v>
      </c>
      <c r="J314" s="20">
        <v>130</v>
      </c>
      <c r="M314" t="s">
        <v>1459</v>
      </c>
      <c r="N314" t="s">
        <v>1460</v>
      </c>
      <c r="O314" t="str">
        <f t="shared" si="14"/>
        <v>Matthew Tkachuk</v>
      </c>
      <c r="P314" s="20">
        <v>38</v>
      </c>
    </row>
    <row r="315" spans="1:16" ht="45" x14ac:dyDescent="0.25">
      <c r="A315" s="17" t="s">
        <v>1029</v>
      </c>
      <c r="B315" s="18">
        <v>78</v>
      </c>
      <c r="C315" s="18">
        <v>14</v>
      </c>
      <c r="D315" s="18">
        <v>17</v>
      </c>
      <c r="E315" s="18">
        <v>32</v>
      </c>
      <c r="F315" s="18">
        <v>4</v>
      </c>
      <c r="G315" s="18">
        <v>3</v>
      </c>
      <c r="H315" s="18">
        <v>0</v>
      </c>
      <c r="I315" s="18">
        <v>37</v>
      </c>
      <c r="J315" s="18">
        <v>130</v>
      </c>
      <c r="M315" t="s">
        <v>1461</v>
      </c>
      <c r="N315" t="s">
        <v>1462</v>
      </c>
      <c r="O315" t="str">
        <f t="shared" si="14"/>
        <v>Clarke MacArthur</v>
      </c>
      <c r="P315" s="18">
        <v>32</v>
      </c>
    </row>
    <row r="316" spans="1:16" ht="45" x14ac:dyDescent="0.25">
      <c r="A316" s="19" t="s">
        <v>1030</v>
      </c>
      <c r="B316" s="20">
        <v>78</v>
      </c>
      <c r="C316" s="20">
        <v>8</v>
      </c>
      <c r="D316" s="20">
        <v>20</v>
      </c>
      <c r="E316" s="20">
        <v>28</v>
      </c>
      <c r="F316" s="20">
        <v>26</v>
      </c>
      <c r="G316" s="20">
        <v>1</v>
      </c>
      <c r="H316" s="20">
        <v>0</v>
      </c>
      <c r="I316" s="20">
        <v>15</v>
      </c>
      <c r="J316" s="20">
        <v>129</v>
      </c>
      <c r="M316" t="s">
        <v>1463</v>
      </c>
      <c r="N316" t="s">
        <v>1464</v>
      </c>
      <c r="O316" t="str">
        <f t="shared" si="14"/>
        <v>Valeri Nichushkin</v>
      </c>
      <c r="P316" s="20">
        <v>28</v>
      </c>
    </row>
    <row r="317" spans="1:16" ht="30" x14ac:dyDescent="0.25">
      <c r="A317" s="17" t="s">
        <v>1031</v>
      </c>
      <c r="B317" s="18">
        <v>78</v>
      </c>
      <c r="C317" s="18">
        <v>17</v>
      </c>
      <c r="D317" s="18">
        <v>31</v>
      </c>
      <c r="E317" s="18">
        <v>49</v>
      </c>
      <c r="F317" s="18">
        <v>-42</v>
      </c>
      <c r="G317" s="18">
        <v>4</v>
      </c>
      <c r="H317" s="18">
        <v>0</v>
      </c>
      <c r="I317" s="18">
        <v>75</v>
      </c>
      <c r="J317" s="18">
        <v>129</v>
      </c>
      <c r="M317" t="s">
        <v>282</v>
      </c>
      <c r="N317" t="s">
        <v>283</v>
      </c>
      <c r="O317" t="str">
        <f t="shared" si="14"/>
        <v>Milan Lucic</v>
      </c>
      <c r="P317" s="18">
        <v>49</v>
      </c>
    </row>
    <row r="318" spans="1:16" ht="30" x14ac:dyDescent="0.25">
      <c r="A318" s="19" t="s">
        <v>1032</v>
      </c>
      <c r="B318" s="20">
        <v>78</v>
      </c>
      <c r="C318" s="20">
        <v>19</v>
      </c>
      <c r="D318" s="20">
        <v>25</v>
      </c>
      <c r="E318" s="20">
        <v>44</v>
      </c>
      <c r="F318" s="20">
        <v>-23</v>
      </c>
      <c r="G318" s="20">
        <v>5</v>
      </c>
      <c r="H318" s="20">
        <v>0</v>
      </c>
      <c r="I318" s="20">
        <v>13</v>
      </c>
      <c r="J318" s="20">
        <v>128</v>
      </c>
      <c r="M318" t="s">
        <v>1465</v>
      </c>
      <c r="N318" t="s">
        <v>1466</v>
      </c>
      <c r="O318" t="str">
        <f t="shared" si="14"/>
        <v>Reid Boucher</v>
      </c>
      <c r="P318" s="20">
        <v>44</v>
      </c>
    </row>
    <row r="319" spans="1:16" ht="45" x14ac:dyDescent="0.25">
      <c r="A319" s="17" t="s">
        <v>1033</v>
      </c>
      <c r="B319" s="18">
        <v>78</v>
      </c>
      <c r="C319" s="18">
        <v>11</v>
      </c>
      <c r="D319" s="18">
        <v>11</v>
      </c>
      <c r="E319" s="18">
        <v>23</v>
      </c>
      <c r="F319" s="18">
        <v>13</v>
      </c>
      <c r="G319" s="18">
        <v>0</v>
      </c>
      <c r="H319" s="18">
        <v>0</v>
      </c>
      <c r="I319" s="18">
        <v>52</v>
      </c>
      <c r="J319" s="18">
        <v>127</v>
      </c>
      <c r="M319" t="s">
        <v>1467</v>
      </c>
      <c r="N319" t="s">
        <v>1468</v>
      </c>
      <c r="O319" t="str">
        <f t="shared" si="14"/>
        <v>Viktor Arvidsson</v>
      </c>
      <c r="P319" s="18">
        <v>23</v>
      </c>
    </row>
    <row r="320" spans="1:16" ht="45" x14ac:dyDescent="0.25">
      <c r="A320" s="19" t="s">
        <v>1034</v>
      </c>
      <c r="B320" s="20">
        <v>78</v>
      </c>
      <c r="C320" s="20">
        <v>17</v>
      </c>
      <c r="D320" s="20">
        <v>17</v>
      </c>
      <c r="E320" s="20">
        <v>35</v>
      </c>
      <c r="F320" s="20">
        <v>-15</v>
      </c>
      <c r="G320" s="20">
        <v>3</v>
      </c>
      <c r="H320" s="20">
        <v>0</v>
      </c>
      <c r="I320" s="20">
        <v>30</v>
      </c>
      <c r="J320" s="20">
        <v>124</v>
      </c>
      <c r="M320" t="s">
        <v>243</v>
      </c>
      <c r="N320" t="s">
        <v>1469</v>
      </c>
      <c r="O320" t="str">
        <f t="shared" si="14"/>
        <v>Jason Chimera</v>
      </c>
      <c r="P320" s="20">
        <v>35</v>
      </c>
    </row>
    <row r="321" spans="1:16" ht="30" x14ac:dyDescent="0.25">
      <c r="A321" s="17" t="s">
        <v>1035</v>
      </c>
      <c r="B321" s="18">
        <v>78</v>
      </c>
      <c r="C321" s="18">
        <v>14</v>
      </c>
      <c r="D321" s="18">
        <v>17</v>
      </c>
      <c r="E321" s="18">
        <v>32</v>
      </c>
      <c r="F321" s="18">
        <v>7</v>
      </c>
      <c r="G321" s="18">
        <v>1</v>
      </c>
      <c r="H321" s="18">
        <v>0</v>
      </c>
      <c r="I321" s="18">
        <v>28</v>
      </c>
      <c r="J321" s="18">
        <v>123</v>
      </c>
      <c r="M321" t="s">
        <v>457</v>
      </c>
      <c r="N321" t="s">
        <v>1470</v>
      </c>
      <c r="O321" t="str">
        <f t="shared" si="14"/>
        <v>Michael Raffl</v>
      </c>
      <c r="P321" s="18">
        <v>32</v>
      </c>
    </row>
    <row r="322" spans="1:16" ht="30" x14ac:dyDescent="0.25">
      <c r="A322" s="19" t="s">
        <v>1036</v>
      </c>
      <c r="B322" s="20">
        <v>78</v>
      </c>
      <c r="C322" s="20">
        <v>10</v>
      </c>
      <c r="D322" s="20">
        <v>14</v>
      </c>
      <c r="E322" s="20">
        <v>25</v>
      </c>
      <c r="F322" s="20">
        <v>25</v>
      </c>
      <c r="G322" s="20">
        <v>0</v>
      </c>
      <c r="H322" s="20">
        <v>0</v>
      </c>
      <c r="I322" s="20">
        <v>10</v>
      </c>
      <c r="J322" s="20">
        <v>114</v>
      </c>
      <c r="M322" t="s">
        <v>1350</v>
      </c>
      <c r="N322" t="s">
        <v>1471</v>
      </c>
      <c r="O322" t="str">
        <f t="shared" ref="O322:O385" si="15">M322&amp;" "&amp;N322</f>
        <v>Shane Prince</v>
      </c>
      <c r="P322" s="20">
        <v>25</v>
      </c>
    </row>
    <row r="323" spans="1:16" ht="45" x14ac:dyDescent="0.25">
      <c r="A323" s="17" t="s">
        <v>1037</v>
      </c>
      <c r="B323" s="18">
        <v>72</v>
      </c>
      <c r="C323" s="18">
        <v>18</v>
      </c>
      <c r="D323" s="18">
        <v>15</v>
      </c>
      <c r="E323" s="18">
        <v>34</v>
      </c>
      <c r="F323" s="18">
        <v>-12</v>
      </c>
      <c r="G323" s="18">
        <v>4</v>
      </c>
      <c r="H323" s="18">
        <v>0</v>
      </c>
      <c r="I323" s="18">
        <v>16</v>
      </c>
      <c r="J323" s="18">
        <v>110</v>
      </c>
      <c r="M323" t="s">
        <v>1472</v>
      </c>
      <c r="N323" t="s">
        <v>1473</v>
      </c>
      <c r="O323" t="str">
        <f t="shared" si="15"/>
        <v>Sven Baertschi</v>
      </c>
      <c r="P323" s="18">
        <v>34</v>
      </c>
    </row>
    <row r="324" spans="1:16" ht="30" x14ac:dyDescent="0.25">
      <c r="A324" s="19" t="s">
        <v>1038</v>
      </c>
      <c r="B324" s="20">
        <v>78</v>
      </c>
      <c r="C324" s="20">
        <v>13</v>
      </c>
      <c r="D324" s="20">
        <v>19</v>
      </c>
      <c r="E324" s="20">
        <v>33</v>
      </c>
      <c r="F324" s="20">
        <v>-5</v>
      </c>
      <c r="G324" s="20">
        <v>3</v>
      </c>
      <c r="H324" s="20">
        <v>0</v>
      </c>
      <c r="I324" s="20">
        <v>24</v>
      </c>
      <c r="J324" s="20">
        <v>109</v>
      </c>
      <c r="M324" t="s">
        <v>1474</v>
      </c>
      <c r="N324" t="s">
        <v>1475</v>
      </c>
      <c r="O324" t="str">
        <f t="shared" si="15"/>
        <v>Josh Bailey</v>
      </c>
      <c r="P324" s="20">
        <v>33</v>
      </c>
    </row>
    <row r="325" spans="1:16" ht="30" x14ac:dyDescent="0.25">
      <c r="A325" s="17" t="s">
        <v>1039</v>
      </c>
      <c r="B325" s="18">
        <v>78</v>
      </c>
      <c r="C325" s="18">
        <v>22</v>
      </c>
      <c r="D325" s="18">
        <v>5</v>
      </c>
      <c r="E325" s="18">
        <v>27</v>
      </c>
      <c r="F325" s="18">
        <v>-20</v>
      </c>
      <c r="G325" s="18">
        <v>4</v>
      </c>
      <c r="H325" s="18">
        <v>0</v>
      </c>
      <c r="I325" s="18">
        <v>25</v>
      </c>
      <c r="J325" s="18">
        <v>105</v>
      </c>
      <c r="M325" t="s">
        <v>1476</v>
      </c>
      <c r="N325" t="s">
        <v>1477</v>
      </c>
      <c r="O325" t="str">
        <f t="shared" si="15"/>
        <v>Joffrey Lupul</v>
      </c>
      <c r="P325" s="18">
        <v>27</v>
      </c>
    </row>
    <row r="326" spans="1:16" ht="45" x14ac:dyDescent="0.25">
      <c r="A326" s="19" t="s">
        <v>1040</v>
      </c>
      <c r="B326" s="20">
        <v>78</v>
      </c>
      <c r="C326" s="20">
        <v>21</v>
      </c>
      <c r="D326" s="20">
        <v>15</v>
      </c>
      <c r="E326" s="20">
        <v>37</v>
      </c>
      <c r="F326" s="20">
        <v>-37</v>
      </c>
      <c r="G326" s="20">
        <v>5</v>
      </c>
      <c r="H326" s="20">
        <v>0</v>
      </c>
      <c r="I326" s="20">
        <v>35</v>
      </c>
      <c r="J326" s="20">
        <v>105</v>
      </c>
      <c r="M326" t="s">
        <v>158</v>
      </c>
      <c r="N326" t="s">
        <v>1478</v>
      </c>
      <c r="O326" t="str">
        <f t="shared" si="15"/>
        <v>Jamie McGinn</v>
      </c>
      <c r="P326" s="20">
        <v>37</v>
      </c>
    </row>
    <row r="327" spans="1:16" ht="30" x14ac:dyDescent="0.25">
      <c r="A327" s="17" t="s">
        <v>1041</v>
      </c>
      <c r="B327" s="18">
        <v>78</v>
      </c>
      <c r="C327" s="18">
        <v>15</v>
      </c>
      <c r="D327" s="18">
        <v>19</v>
      </c>
      <c r="E327" s="18">
        <v>34</v>
      </c>
      <c r="F327" s="18">
        <v>-34</v>
      </c>
      <c r="G327" s="18">
        <v>4</v>
      </c>
      <c r="H327" s="18">
        <v>0</v>
      </c>
      <c r="I327" s="18">
        <v>43</v>
      </c>
      <c r="J327" s="18">
        <v>99</v>
      </c>
      <c r="M327" t="s">
        <v>1479</v>
      </c>
      <c r="N327" t="s">
        <v>1480</v>
      </c>
      <c r="O327" t="str">
        <f t="shared" si="15"/>
        <v>Christian Dvorak</v>
      </c>
      <c r="P327" s="18">
        <v>34</v>
      </c>
    </row>
    <row r="328" spans="1:16" ht="45" x14ac:dyDescent="0.25">
      <c r="A328" s="19" t="s">
        <v>1042</v>
      </c>
      <c r="B328" s="20">
        <v>78</v>
      </c>
      <c r="C328" s="20">
        <v>11</v>
      </c>
      <c r="D328" s="20">
        <v>2</v>
      </c>
      <c r="E328" s="20">
        <v>13</v>
      </c>
      <c r="F328" s="20">
        <v>16</v>
      </c>
      <c r="G328" s="20">
        <v>0</v>
      </c>
      <c r="H328" s="20">
        <v>0</v>
      </c>
      <c r="I328" s="20">
        <v>37</v>
      </c>
      <c r="J328" s="20">
        <v>97</v>
      </c>
      <c r="M328" t="s">
        <v>1481</v>
      </c>
      <c r="N328" t="s">
        <v>1482</v>
      </c>
      <c r="O328" t="str">
        <f t="shared" si="15"/>
        <v>Mason Raymond</v>
      </c>
      <c r="P328" s="20">
        <v>13</v>
      </c>
    </row>
    <row r="329" spans="1:16" ht="30" x14ac:dyDescent="0.25">
      <c r="A329" s="17" t="s">
        <v>1043</v>
      </c>
      <c r="B329" s="18">
        <v>78</v>
      </c>
      <c r="C329" s="18">
        <v>9</v>
      </c>
      <c r="D329" s="18">
        <v>10</v>
      </c>
      <c r="E329" s="18">
        <v>20</v>
      </c>
      <c r="F329" s="18">
        <v>11</v>
      </c>
      <c r="G329" s="18">
        <v>0</v>
      </c>
      <c r="H329" s="18">
        <v>0</v>
      </c>
      <c r="I329" s="18">
        <v>19</v>
      </c>
      <c r="J329" s="18">
        <v>91</v>
      </c>
      <c r="M329" t="s">
        <v>245</v>
      </c>
      <c r="N329" t="s">
        <v>1483</v>
      </c>
      <c r="O329" t="str">
        <f t="shared" si="15"/>
        <v>Matt Nieto</v>
      </c>
      <c r="P329" s="18">
        <v>20</v>
      </c>
    </row>
    <row r="330" spans="1:16" ht="30" x14ac:dyDescent="0.25">
      <c r="A330" s="19" t="s">
        <v>1044</v>
      </c>
      <c r="B330" s="20">
        <v>78</v>
      </c>
      <c r="C330" s="20">
        <v>11</v>
      </c>
      <c r="D330" s="20">
        <v>10</v>
      </c>
      <c r="E330" s="20">
        <v>21</v>
      </c>
      <c r="F330" s="20">
        <v>4</v>
      </c>
      <c r="G330" s="20">
        <v>0</v>
      </c>
      <c r="H330" s="20">
        <v>0</v>
      </c>
      <c r="I330" s="20">
        <v>40</v>
      </c>
      <c r="J330" s="20">
        <v>90</v>
      </c>
      <c r="M330" t="s">
        <v>1484</v>
      </c>
      <c r="N330" t="s">
        <v>1485</v>
      </c>
      <c r="O330" t="str">
        <f t="shared" si="15"/>
        <v>Dwight King</v>
      </c>
      <c r="P330" s="20">
        <v>21</v>
      </c>
    </row>
    <row r="331" spans="1:16" ht="30" x14ac:dyDescent="0.25">
      <c r="A331" s="17" t="s">
        <v>1045</v>
      </c>
      <c r="B331" s="18">
        <v>78</v>
      </c>
      <c r="C331" s="18">
        <v>12</v>
      </c>
      <c r="D331" s="18">
        <v>14</v>
      </c>
      <c r="E331" s="18">
        <v>26</v>
      </c>
      <c r="F331" s="18">
        <v>-15</v>
      </c>
      <c r="G331" s="18">
        <v>0</v>
      </c>
      <c r="H331" s="18">
        <v>0</v>
      </c>
      <c r="I331" s="18">
        <v>51</v>
      </c>
      <c r="J331" s="18">
        <v>89</v>
      </c>
      <c r="M331" t="s">
        <v>245</v>
      </c>
      <c r="N331" t="s">
        <v>1486</v>
      </c>
      <c r="O331" t="str">
        <f t="shared" si="15"/>
        <v>Matt Calvert</v>
      </c>
      <c r="P331" s="18">
        <v>26</v>
      </c>
    </row>
    <row r="332" spans="1:16" ht="45" x14ac:dyDescent="0.25">
      <c r="A332" s="19" t="s">
        <v>1046</v>
      </c>
      <c r="B332" s="20">
        <v>78</v>
      </c>
      <c r="C332" s="20">
        <v>14</v>
      </c>
      <c r="D332" s="20">
        <v>12</v>
      </c>
      <c r="E332" s="20">
        <v>26</v>
      </c>
      <c r="F332" s="20">
        <v>-27</v>
      </c>
      <c r="G332" s="20">
        <v>1</v>
      </c>
      <c r="H332" s="20">
        <v>1</v>
      </c>
      <c r="I332" s="20">
        <v>31</v>
      </c>
      <c r="J332" s="20">
        <v>86</v>
      </c>
      <c r="M332" t="s">
        <v>243</v>
      </c>
      <c r="N332" t="s">
        <v>1487</v>
      </c>
      <c r="O332" t="str">
        <f t="shared" si="15"/>
        <v>Jason Zucker</v>
      </c>
      <c r="P332" s="20">
        <v>26</v>
      </c>
    </row>
    <row r="333" spans="1:16" ht="45" x14ac:dyDescent="0.25">
      <c r="A333" s="17" t="s">
        <v>1047</v>
      </c>
      <c r="B333" s="18">
        <v>78</v>
      </c>
      <c r="C333" s="18">
        <v>8</v>
      </c>
      <c r="D333" s="18">
        <v>4</v>
      </c>
      <c r="E333" s="18">
        <v>13</v>
      </c>
      <c r="F333" s="18">
        <v>-1</v>
      </c>
      <c r="G333" s="18">
        <v>0</v>
      </c>
      <c r="H333" s="18">
        <v>0</v>
      </c>
      <c r="I333" s="18">
        <v>145</v>
      </c>
      <c r="J333" s="18">
        <v>84</v>
      </c>
      <c r="M333" t="s">
        <v>1241</v>
      </c>
      <c r="N333" t="s">
        <v>1488</v>
      </c>
      <c r="O333" t="str">
        <f t="shared" si="15"/>
        <v>Cody McLeod</v>
      </c>
      <c r="P333" s="18">
        <v>13</v>
      </c>
    </row>
    <row r="334" spans="1:16" ht="45" x14ac:dyDescent="0.25">
      <c r="A334" s="19" t="s">
        <v>1048</v>
      </c>
      <c r="B334" s="20">
        <v>78</v>
      </c>
      <c r="C334" s="20">
        <v>4</v>
      </c>
      <c r="D334" s="20">
        <v>4</v>
      </c>
      <c r="E334" s="20">
        <v>9</v>
      </c>
      <c r="F334" s="20">
        <v>7</v>
      </c>
      <c r="G334" s="20">
        <v>0</v>
      </c>
      <c r="H334" s="20">
        <v>0</v>
      </c>
      <c r="I334" s="20">
        <v>80</v>
      </c>
      <c r="J334" s="20">
        <v>83</v>
      </c>
      <c r="M334" t="s">
        <v>431</v>
      </c>
      <c r="N334" t="s">
        <v>1489</v>
      </c>
      <c r="O334" t="str">
        <f t="shared" si="15"/>
        <v>Nick Ritchie</v>
      </c>
      <c r="P334" s="20">
        <v>9</v>
      </c>
    </row>
    <row r="335" spans="1:16" ht="30" x14ac:dyDescent="0.25">
      <c r="A335" s="17" t="s">
        <v>1049</v>
      </c>
      <c r="B335" s="18">
        <v>78</v>
      </c>
      <c r="C335" s="18">
        <v>6</v>
      </c>
      <c r="D335" s="18">
        <v>9</v>
      </c>
      <c r="E335" s="18">
        <v>16</v>
      </c>
      <c r="F335" s="18">
        <v>4</v>
      </c>
      <c r="G335" s="18">
        <v>0</v>
      </c>
      <c r="H335" s="18">
        <v>1</v>
      </c>
      <c r="I335" s="18">
        <v>50</v>
      </c>
      <c r="J335" s="18">
        <v>82</v>
      </c>
      <c r="M335" t="s">
        <v>1490</v>
      </c>
      <c r="N335" t="s">
        <v>1491</v>
      </c>
      <c r="O335" t="str">
        <f t="shared" si="15"/>
        <v>Scottie Upshall</v>
      </c>
      <c r="P335" s="18">
        <v>16</v>
      </c>
    </row>
    <row r="336" spans="1:16" ht="45" x14ac:dyDescent="0.25">
      <c r="A336" s="19" t="s">
        <v>1050</v>
      </c>
      <c r="B336" s="20">
        <v>78</v>
      </c>
      <c r="C336" s="20">
        <v>11</v>
      </c>
      <c r="D336" s="20">
        <v>15</v>
      </c>
      <c r="E336" s="20">
        <v>27</v>
      </c>
      <c r="F336" s="20">
        <v>-27</v>
      </c>
      <c r="G336" s="20">
        <v>5</v>
      </c>
      <c r="H336" s="20">
        <v>0</v>
      </c>
      <c r="I336" s="20">
        <v>32</v>
      </c>
      <c r="J336" s="20">
        <v>79</v>
      </c>
      <c r="M336" t="s">
        <v>282</v>
      </c>
      <c r="N336" t="s">
        <v>1492</v>
      </c>
      <c r="O336" t="str">
        <f t="shared" si="15"/>
        <v>Milan Michalek</v>
      </c>
      <c r="P336" s="20">
        <v>27</v>
      </c>
    </row>
    <row r="337" spans="1:17" ht="30" x14ac:dyDescent="0.25">
      <c r="A337" s="17" t="s">
        <v>1051</v>
      </c>
      <c r="B337" s="18">
        <v>78</v>
      </c>
      <c r="C337" s="18">
        <v>4</v>
      </c>
      <c r="D337" s="18">
        <v>9</v>
      </c>
      <c r="E337" s="18">
        <v>14</v>
      </c>
      <c r="F337" s="18">
        <v>5</v>
      </c>
      <c r="G337" s="18">
        <v>0</v>
      </c>
      <c r="H337" s="18">
        <v>0</v>
      </c>
      <c r="I337" s="18">
        <v>72</v>
      </c>
      <c r="J337" s="18">
        <v>78</v>
      </c>
      <c r="M337" t="s">
        <v>254</v>
      </c>
      <c r="N337" t="s">
        <v>1493</v>
      </c>
      <c r="O337" t="str">
        <f t="shared" si="15"/>
        <v>Kyle Clifford</v>
      </c>
      <c r="P337" s="18">
        <v>14</v>
      </c>
    </row>
    <row r="338" spans="1:17" ht="30" x14ac:dyDescent="0.25">
      <c r="A338" s="19" t="s">
        <v>1052</v>
      </c>
      <c r="B338" s="20">
        <v>78</v>
      </c>
      <c r="C338" s="20">
        <v>3</v>
      </c>
      <c r="D338" s="20">
        <v>2</v>
      </c>
      <c r="E338" s="20">
        <v>5</v>
      </c>
      <c r="F338" s="20">
        <v>7</v>
      </c>
      <c r="G338" s="20">
        <v>0</v>
      </c>
      <c r="H338" s="20">
        <v>0</v>
      </c>
      <c r="I338" s="20">
        <v>145</v>
      </c>
      <c r="J338" s="20">
        <v>75</v>
      </c>
      <c r="M338" t="s">
        <v>303</v>
      </c>
      <c r="N338" t="s">
        <v>1494</v>
      </c>
      <c r="O338" t="str">
        <f t="shared" si="15"/>
        <v>Brandon Bollig</v>
      </c>
      <c r="P338" s="20">
        <v>5</v>
      </c>
    </row>
    <row r="339" spans="1:17" ht="45" x14ac:dyDescent="0.25">
      <c r="A339" s="17" t="s">
        <v>1053</v>
      </c>
      <c r="B339" s="18">
        <v>78</v>
      </c>
      <c r="C339" s="18">
        <v>13</v>
      </c>
      <c r="D339" s="18">
        <v>15</v>
      </c>
      <c r="E339" s="18">
        <v>29</v>
      </c>
      <c r="F339" s="18">
        <v>-49</v>
      </c>
      <c r="G339" s="18">
        <v>4</v>
      </c>
      <c r="H339" s="18">
        <v>0</v>
      </c>
      <c r="I339" s="18">
        <v>79</v>
      </c>
      <c r="J339" s="18">
        <v>73</v>
      </c>
      <c r="M339" t="s">
        <v>162</v>
      </c>
      <c r="N339" t="s">
        <v>1495</v>
      </c>
      <c r="O339" t="str">
        <f t="shared" si="15"/>
        <v>Patrick Maroon</v>
      </c>
      <c r="P339" s="18">
        <v>29</v>
      </c>
    </row>
    <row r="340" spans="1:17" ht="45" x14ac:dyDescent="0.25">
      <c r="A340" s="19" t="s">
        <v>1054</v>
      </c>
      <c r="B340" s="20">
        <v>78</v>
      </c>
      <c r="C340" s="20">
        <v>13</v>
      </c>
      <c r="D340" s="20">
        <v>18</v>
      </c>
      <c r="E340" s="20">
        <v>31</v>
      </c>
      <c r="F340" s="20">
        <v>-43</v>
      </c>
      <c r="G340" s="20">
        <v>0</v>
      </c>
      <c r="H340" s="20">
        <v>0</v>
      </c>
      <c r="I340" s="20">
        <v>44</v>
      </c>
      <c r="J340" s="20">
        <v>72</v>
      </c>
      <c r="M340" t="s">
        <v>248</v>
      </c>
      <c r="N340" t="s">
        <v>1496</v>
      </c>
      <c r="O340" t="str">
        <f t="shared" si="15"/>
        <v>Phil Di</v>
      </c>
      <c r="P340" s="20">
        <v>31</v>
      </c>
      <c r="Q340" t="s">
        <v>1238</v>
      </c>
    </row>
    <row r="341" spans="1:17" ht="45" x14ac:dyDescent="0.25">
      <c r="A341" s="17" t="s">
        <v>1055</v>
      </c>
      <c r="B341" s="18">
        <v>78</v>
      </c>
      <c r="C341" s="18">
        <v>4</v>
      </c>
      <c r="D341" s="18">
        <v>14</v>
      </c>
      <c r="E341" s="18">
        <v>18</v>
      </c>
      <c r="F341" s="18">
        <v>-12</v>
      </c>
      <c r="G341" s="18">
        <v>1</v>
      </c>
      <c r="H341" s="18">
        <v>0</v>
      </c>
      <c r="I341" s="18">
        <v>52</v>
      </c>
      <c r="J341" s="18">
        <v>72</v>
      </c>
      <c r="M341" t="s">
        <v>1497</v>
      </c>
      <c r="N341" t="s">
        <v>1498</v>
      </c>
      <c r="O341" t="str">
        <f t="shared" si="15"/>
        <v>Micheal Ferland</v>
      </c>
      <c r="P341" s="18">
        <v>18</v>
      </c>
    </row>
    <row r="342" spans="1:17" ht="60" x14ac:dyDescent="0.25">
      <c r="A342" s="19" t="s">
        <v>1056</v>
      </c>
      <c r="B342" s="20">
        <v>78</v>
      </c>
      <c r="C342" s="20">
        <v>7</v>
      </c>
      <c r="D342" s="20">
        <v>8</v>
      </c>
      <c r="E342" s="20">
        <v>16</v>
      </c>
      <c r="F342" s="20">
        <v>-7</v>
      </c>
      <c r="G342" s="20">
        <v>0</v>
      </c>
      <c r="H342" s="20">
        <v>1</v>
      </c>
      <c r="I342" s="20">
        <v>40</v>
      </c>
      <c r="J342" s="20">
        <v>66</v>
      </c>
      <c r="M342" t="s">
        <v>1499</v>
      </c>
      <c r="N342" t="s">
        <v>1500</v>
      </c>
      <c r="O342" t="str">
        <f t="shared" si="15"/>
        <v>Pierre-Edouard Bellemare</v>
      </c>
      <c r="P342" s="20">
        <v>16</v>
      </c>
    </row>
    <row r="343" spans="1:17" ht="45" x14ac:dyDescent="0.25">
      <c r="A343" s="17" t="s">
        <v>1057</v>
      </c>
      <c r="B343" s="18">
        <v>78</v>
      </c>
      <c r="C343" s="18">
        <v>10</v>
      </c>
      <c r="D343" s="18">
        <v>13</v>
      </c>
      <c r="E343" s="18">
        <v>23</v>
      </c>
      <c r="F343" s="18">
        <v>-35</v>
      </c>
      <c r="G343" s="18">
        <v>1</v>
      </c>
      <c r="H343" s="18">
        <v>1</v>
      </c>
      <c r="I343" s="18">
        <v>93</v>
      </c>
      <c r="J343" s="18">
        <v>65</v>
      </c>
      <c r="M343" t="s">
        <v>335</v>
      </c>
      <c r="N343" t="s">
        <v>448</v>
      </c>
      <c r="O343" t="str">
        <f t="shared" si="15"/>
        <v>Marcus Foligno</v>
      </c>
      <c r="P343" s="18">
        <v>23</v>
      </c>
    </row>
    <row r="344" spans="1:17" ht="45" x14ac:dyDescent="0.25">
      <c r="A344" s="19" t="s">
        <v>1058</v>
      </c>
      <c r="B344" s="20">
        <v>78</v>
      </c>
      <c r="C344" s="20">
        <v>9</v>
      </c>
      <c r="D344" s="20">
        <v>14</v>
      </c>
      <c r="E344" s="20">
        <v>23</v>
      </c>
      <c r="F344" s="20">
        <v>-21</v>
      </c>
      <c r="G344" s="20">
        <v>0</v>
      </c>
      <c r="H344" s="20">
        <v>0</v>
      </c>
      <c r="I344" s="20">
        <v>15</v>
      </c>
      <c r="J344" s="20">
        <v>61</v>
      </c>
      <c r="M344" t="s">
        <v>226</v>
      </c>
      <c r="N344" t="s">
        <v>1501</v>
      </c>
      <c r="O344" t="str">
        <f t="shared" si="15"/>
        <v>Jordan Martinook</v>
      </c>
      <c r="P344" s="20">
        <v>23</v>
      </c>
    </row>
    <row r="345" spans="1:17" ht="45" x14ac:dyDescent="0.25">
      <c r="A345" s="17" t="s">
        <v>1059</v>
      </c>
      <c r="B345" s="18">
        <v>78</v>
      </c>
      <c r="C345" s="18">
        <v>3</v>
      </c>
      <c r="D345" s="18">
        <v>8</v>
      </c>
      <c r="E345" s="18">
        <v>12</v>
      </c>
      <c r="F345" s="18">
        <v>0</v>
      </c>
      <c r="G345" s="18">
        <v>0</v>
      </c>
      <c r="H345" s="18">
        <v>1</v>
      </c>
      <c r="I345" s="18">
        <v>51</v>
      </c>
      <c r="J345" s="18">
        <v>59</v>
      </c>
      <c r="M345" t="s">
        <v>1502</v>
      </c>
      <c r="N345" t="s">
        <v>1503</v>
      </c>
      <c r="O345" t="str">
        <f t="shared" si="15"/>
        <v>Lance Bouma</v>
      </c>
      <c r="P345" s="18">
        <v>12</v>
      </c>
    </row>
    <row r="346" spans="1:17" ht="30" x14ac:dyDescent="0.25">
      <c r="A346" s="19" t="s">
        <v>1060</v>
      </c>
      <c r="B346" s="20">
        <v>78</v>
      </c>
      <c r="C346" s="20">
        <v>8</v>
      </c>
      <c r="D346" s="20">
        <v>7</v>
      </c>
      <c r="E346" s="20">
        <v>16</v>
      </c>
      <c r="F346" s="20">
        <v>-35</v>
      </c>
      <c r="G346" s="20">
        <v>0</v>
      </c>
      <c r="H346" s="20">
        <v>0</v>
      </c>
      <c r="I346" s="20">
        <v>143</v>
      </c>
      <c r="J346" s="20">
        <v>58</v>
      </c>
      <c r="M346" t="s">
        <v>245</v>
      </c>
      <c r="N346" t="s">
        <v>367</v>
      </c>
      <c r="O346" t="str">
        <f t="shared" si="15"/>
        <v>Matt Martin</v>
      </c>
      <c r="P346" s="20">
        <v>16</v>
      </c>
    </row>
    <row r="347" spans="1:17" ht="45" x14ac:dyDescent="0.25">
      <c r="A347" s="17" t="s">
        <v>1061</v>
      </c>
      <c r="B347" s="18">
        <v>78</v>
      </c>
      <c r="C347" s="18">
        <v>7</v>
      </c>
      <c r="D347" s="18">
        <v>9</v>
      </c>
      <c r="E347" s="18">
        <v>17</v>
      </c>
      <c r="F347" s="18">
        <v>-16</v>
      </c>
      <c r="G347" s="18">
        <v>0</v>
      </c>
      <c r="H347" s="18">
        <v>0</v>
      </c>
      <c r="I347" s="18">
        <v>53</v>
      </c>
      <c r="J347" s="18">
        <v>56</v>
      </c>
      <c r="M347" t="s">
        <v>339</v>
      </c>
      <c r="N347" t="s">
        <v>1504</v>
      </c>
      <c r="O347" t="str">
        <f t="shared" si="15"/>
        <v>Adam Lowry</v>
      </c>
      <c r="P347" s="18">
        <v>17</v>
      </c>
    </row>
    <row r="348" spans="1:17" ht="45" x14ac:dyDescent="0.25">
      <c r="A348" s="19" t="s">
        <v>1062</v>
      </c>
      <c r="B348" s="20">
        <v>78</v>
      </c>
      <c r="C348" s="20">
        <v>6</v>
      </c>
      <c r="D348" s="20">
        <v>8</v>
      </c>
      <c r="E348" s="20">
        <v>14</v>
      </c>
      <c r="F348" s="20">
        <v>-22</v>
      </c>
      <c r="G348" s="20">
        <v>0</v>
      </c>
      <c r="H348" s="20">
        <v>1</v>
      </c>
      <c r="I348" s="20">
        <v>102</v>
      </c>
      <c r="J348" s="20">
        <v>53</v>
      </c>
      <c r="M348" t="s">
        <v>245</v>
      </c>
      <c r="N348" t="s">
        <v>1505</v>
      </c>
      <c r="O348" t="str">
        <f t="shared" si="15"/>
        <v>Matt Hendricks</v>
      </c>
      <c r="P348" s="20">
        <v>14</v>
      </c>
    </row>
    <row r="349" spans="1:17" ht="30" x14ac:dyDescent="0.25">
      <c r="A349" s="17" t="s">
        <v>1063</v>
      </c>
      <c r="B349" s="18">
        <v>78</v>
      </c>
      <c r="C349" s="18">
        <v>7</v>
      </c>
      <c r="D349" s="18">
        <v>10</v>
      </c>
      <c r="E349" s="18">
        <v>17</v>
      </c>
      <c r="F349" s="18">
        <v>-15</v>
      </c>
      <c r="G349" s="18">
        <v>0</v>
      </c>
      <c r="H349" s="18">
        <v>0</v>
      </c>
      <c r="I349" s="18">
        <v>22</v>
      </c>
      <c r="J349" s="18">
        <v>51</v>
      </c>
      <c r="M349" t="s">
        <v>431</v>
      </c>
      <c r="N349" t="s">
        <v>341</v>
      </c>
      <c r="O349" t="str">
        <f t="shared" si="15"/>
        <v>Nick Paul</v>
      </c>
      <c r="P349" s="18">
        <v>17</v>
      </c>
    </row>
    <row r="350" spans="1:17" ht="45" x14ac:dyDescent="0.25">
      <c r="A350" s="19" t="s">
        <v>1064</v>
      </c>
      <c r="B350" s="20">
        <v>78</v>
      </c>
      <c r="C350" s="20">
        <v>11</v>
      </c>
      <c r="D350" s="20">
        <v>7</v>
      </c>
      <c r="E350" s="20">
        <v>18</v>
      </c>
      <c r="F350" s="20">
        <v>-36</v>
      </c>
      <c r="G350" s="20">
        <v>2</v>
      </c>
      <c r="H350" s="20">
        <v>0</v>
      </c>
      <c r="I350" s="20">
        <v>34</v>
      </c>
      <c r="J350" s="20">
        <v>44</v>
      </c>
      <c r="M350" t="s">
        <v>1506</v>
      </c>
      <c r="N350" t="s">
        <v>1507</v>
      </c>
      <c r="O350" t="str">
        <f t="shared" si="15"/>
        <v>Johan Larsson</v>
      </c>
      <c r="P350" s="20">
        <v>18</v>
      </c>
    </row>
    <row r="351" spans="1:17" ht="45" x14ac:dyDescent="0.25">
      <c r="A351" s="17" t="s">
        <v>1065</v>
      </c>
      <c r="B351" s="18">
        <v>78</v>
      </c>
      <c r="C351" s="18">
        <v>8</v>
      </c>
      <c r="D351" s="18">
        <v>11</v>
      </c>
      <c r="E351" s="18">
        <v>19</v>
      </c>
      <c r="F351" s="18">
        <v>-41</v>
      </c>
      <c r="G351" s="18">
        <v>0</v>
      </c>
      <c r="H351" s="18">
        <v>0</v>
      </c>
      <c r="I351" s="18">
        <v>27</v>
      </c>
      <c r="J351" s="18">
        <v>40</v>
      </c>
      <c r="M351" t="s">
        <v>1467</v>
      </c>
      <c r="N351" t="s">
        <v>1508</v>
      </c>
      <c r="O351" t="str">
        <f t="shared" si="15"/>
        <v>Viktor Stalberg</v>
      </c>
      <c r="P351" s="18">
        <v>19</v>
      </c>
    </row>
    <row r="352" spans="1:17" ht="45" x14ac:dyDescent="0.25">
      <c r="A352" s="19" t="s">
        <v>1066</v>
      </c>
      <c r="B352" s="20">
        <v>78</v>
      </c>
      <c r="C352" s="20">
        <v>7</v>
      </c>
      <c r="D352" s="20">
        <v>12</v>
      </c>
      <c r="E352" s="20">
        <v>20</v>
      </c>
      <c r="F352" s="20">
        <v>-41</v>
      </c>
      <c r="G352" s="20">
        <v>3</v>
      </c>
      <c r="H352" s="20">
        <v>0</v>
      </c>
      <c r="I352" s="20">
        <v>18</v>
      </c>
      <c r="J352" s="20">
        <v>38</v>
      </c>
      <c r="M352" t="s">
        <v>245</v>
      </c>
      <c r="N352" t="s">
        <v>1509</v>
      </c>
      <c r="O352" t="str">
        <f t="shared" si="15"/>
        <v>Matt Moulson</v>
      </c>
      <c r="P352" s="20">
        <v>20</v>
      </c>
    </row>
    <row r="353" spans="1:16" ht="45" x14ac:dyDescent="0.25">
      <c r="A353" s="17" t="s">
        <v>1067</v>
      </c>
      <c r="B353" s="18">
        <v>78</v>
      </c>
      <c r="C353" s="18">
        <v>1</v>
      </c>
      <c r="D353" s="18">
        <v>5</v>
      </c>
      <c r="E353" s="18">
        <v>6</v>
      </c>
      <c r="F353" s="18">
        <v>-30</v>
      </c>
      <c r="G353" s="18">
        <v>0</v>
      </c>
      <c r="H353" s="18">
        <v>0</v>
      </c>
      <c r="I353" s="18">
        <v>124</v>
      </c>
      <c r="J353" s="18">
        <v>34</v>
      </c>
      <c r="M353" t="s">
        <v>1283</v>
      </c>
      <c r="N353" t="s">
        <v>200</v>
      </c>
      <c r="O353" t="str">
        <f t="shared" si="15"/>
        <v>Shawn Thornton</v>
      </c>
      <c r="P353" s="18">
        <v>6</v>
      </c>
    </row>
    <row r="354" spans="1:16" ht="45" x14ac:dyDescent="0.25">
      <c r="A354" s="19" t="s">
        <v>1068</v>
      </c>
      <c r="B354" s="20">
        <v>78</v>
      </c>
      <c r="C354" s="20">
        <v>6</v>
      </c>
      <c r="D354" s="20">
        <v>6</v>
      </c>
      <c r="E354" s="20">
        <v>13</v>
      </c>
      <c r="F354" s="20">
        <v>-48</v>
      </c>
      <c r="G354" s="20">
        <v>0</v>
      </c>
      <c r="H354" s="20">
        <v>0</v>
      </c>
      <c r="I354" s="20">
        <v>78</v>
      </c>
      <c r="J354" s="20">
        <v>20</v>
      </c>
      <c r="M354" t="s">
        <v>1510</v>
      </c>
      <c r="N354" t="s">
        <v>1511</v>
      </c>
      <c r="O354" t="str">
        <f t="shared" si="15"/>
        <v>Nicolas Deslauriers</v>
      </c>
      <c r="P354" s="20">
        <v>13</v>
      </c>
    </row>
    <row r="355" spans="1:16" ht="30.75" thickBot="1" x14ac:dyDescent="0.3">
      <c r="A355" s="17" t="s">
        <v>1069</v>
      </c>
      <c r="B355" s="18">
        <v>78</v>
      </c>
      <c r="C355" s="18">
        <v>0</v>
      </c>
      <c r="D355" s="18">
        <v>6</v>
      </c>
      <c r="E355" s="18">
        <v>6</v>
      </c>
      <c r="F355" s="18">
        <v>-59</v>
      </c>
      <c r="G355" s="18">
        <v>0</v>
      </c>
      <c r="H355" s="18">
        <v>0</v>
      </c>
      <c r="I355" s="18">
        <v>8</v>
      </c>
      <c r="J355" s="18">
        <v>-30</v>
      </c>
      <c r="M355" t="s">
        <v>280</v>
      </c>
      <c r="N355" t="s">
        <v>1512</v>
      </c>
      <c r="O355" t="str">
        <f t="shared" si="15"/>
        <v>Bryan Bickell</v>
      </c>
      <c r="P355" s="18">
        <v>6</v>
      </c>
    </row>
    <row r="356" spans="1:16" ht="30.75" thickTop="1" x14ac:dyDescent="0.25">
      <c r="A356" s="15" t="s">
        <v>1070</v>
      </c>
      <c r="B356" s="16">
        <v>78</v>
      </c>
      <c r="C356" s="16">
        <v>26</v>
      </c>
      <c r="D356" s="16">
        <v>51</v>
      </c>
      <c r="E356" s="16">
        <v>77</v>
      </c>
      <c r="F356" s="16">
        <v>12</v>
      </c>
      <c r="G356" s="16">
        <v>14</v>
      </c>
      <c r="H356" s="16">
        <v>0</v>
      </c>
      <c r="I356" s="16">
        <v>54</v>
      </c>
      <c r="J356" s="16">
        <v>315</v>
      </c>
      <c r="M356" t="s">
        <v>222</v>
      </c>
      <c r="N356" t="s">
        <v>223</v>
      </c>
      <c r="O356" t="str">
        <f t="shared" si="15"/>
        <v>Brent Burns</v>
      </c>
      <c r="P356" s="16">
        <v>77</v>
      </c>
    </row>
    <row r="357" spans="1:16" ht="30" x14ac:dyDescent="0.25">
      <c r="A357" s="17" t="s">
        <v>1071</v>
      </c>
      <c r="B357" s="18">
        <v>78</v>
      </c>
      <c r="C357" s="18">
        <v>17</v>
      </c>
      <c r="D357" s="18">
        <v>55</v>
      </c>
      <c r="E357" s="18">
        <v>73</v>
      </c>
      <c r="F357" s="18">
        <v>34</v>
      </c>
      <c r="G357" s="18">
        <v>16</v>
      </c>
      <c r="H357" s="18">
        <v>1</v>
      </c>
      <c r="I357" s="18">
        <v>95</v>
      </c>
      <c r="J357" s="18">
        <v>314</v>
      </c>
      <c r="M357" t="s">
        <v>1513</v>
      </c>
      <c r="N357" t="s">
        <v>271</v>
      </c>
      <c r="O357" t="str">
        <f t="shared" si="15"/>
        <v>Kris Letang</v>
      </c>
      <c r="P357" s="18">
        <v>73</v>
      </c>
    </row>
    <row r="358" spans="1:16" ht="45" x14ac:dyDescent="0.25">
      <c r="A358" s="19" t="s">
        <v>1072</v>
      </c>
      <c r="B358" s="20">
        <v>78</v>
      </c>
      <c r="C358" s="20">
        <v>16</v>
      </c>
      <c r="D358" s="20">
        <v>71</v>
      </c>
      <c r="E358" s="20">
        <v>88</v>
      </c>
      <c r="F358" s="20">
        <v>9</v>
      </c>
      <c r="G358" s="20">
        <v>19</v>
      </c>
      <c r="H358" s="20">
        <v>0</v>
      </c>
      <c r="I358" s="20">
        <v>51</v>
      </c>
      <c r="J358" s="20">
        <v>301</v>
      </c>
      <c r="M358" t="s">
        <v>176</v>
      </c>
      <c r="N358" t="s">
        <v>177</v>
      </c>
      <c r="O358" t="str">
        <f t="shared" si="15"/>
        <v>Erik Karlsson</v>
      </c>
      <c r="P358" s="20">
        <v>88</v>
      </c>
    </row>
    <row r="359" spans="1:16" ht="45" x14ac:dyDescent="0.25">
      <c r="A359" s="17" t="s">
        <v>1073</v>
      </c>
      <c r="B359" s="18">
        <v>78</v>
      </c>
      <c r="C359" s="18">
        <v>7</v>
      </c>
      <c r="D359" s="18">
        <v>54</v>
      </c>
      <c r="E359" s="18">
        <v>62</v>
      </c>
      <c r="F359" s="18">
        <v>22</v>
      </c>
      <c r="G359" s="18">
        <v>18</v>
      </c>
      <c r="H359" s="18">
        <v>0</v>
      </c>
      <c r="I359" s="18">
        <v>98</v>
      </c>
      <c r="J359" s="18">
        <v>262</v>
      </c>
      <c r="M359" t="s">
        <v>239</v>
      </c>
      <c r="N359" t="s">
        <v>240</v>
      </c>
      <c r="O359" t="str">
        <f t="shared" si="15"/>
        <v>P.K. Subban</v>
      </c>
      <c r="P359" s="18">
        <v>62</v>
      </c>
    </row>
    <row r="360" spans="1:16" ht="45" x14ac:dyDescent="0.25">
      <c r="A360" s="19" t="s">
        <v>1074</v>
      </c>
      <c r="B360" s="20">
        <v>78</v>
      </c>
      <c r="C360" s="20">
        <v>17</v>
      </c>
      <c r="D360" s="20">
        <v>46</v>
      </c>
      <c r="E360" s="20">
        <v>63</v>
      </c>
      <c r="F360" s="20">
        <v>24</v>
      </c>
      <c r="G360" s="20">
        <v>13</v>
      </c>
      <c r="H360" s="20">
        <v>0</v>
      </c>
      <c r="I360" s="20">
        <v>23</v>
      </c>
      <c r="J360" s="20">
        <v>248</v>
      </c>
      <c r="M360" t="s">
        <v>170</v>
      </c>
      <c r="N360" t="s">
        <v>355</v>
      </c>
      <c r="O360" t="str">
        <f t="shared" si="15"/>
        <v>John Carlson</v>
      </c>
      <c r="P360" s="20">
        <v>63</v>
      </c>
    </row>
    <row r="361" spans="1:16" ht="30" x14ac:dyDescent="0.25">
      <c r="A361" s="17" t="s">
        <v>1075</v>
      </c>
      <c r="B361" s="18">
        <v>78</v>
      </c>
      <c r="C361" s="18">
        <v>14</v>
      </c>
      <c r="D361" s="18">
        <v>51</v>
      </c>
      <c r="E361" s="18">
        <v>65</v>
      </c>
      <c r="F361" s="18">
        <v>12</v>
      </c>
      <c r="G361" s="18">
        <v>13</v>
      </c>
      <c r="H361" s="18">
        <v>0</v>
      </c>
      <c r="I361" s="18">
        <v>44</v>
      </c>
      <c r="J361" s="18">
        <v>243</v>
      </c>
      <c r="M361" t="s">
        <v>317</v>
      </c>
      <c r="N361" t="s">
        <v>318</v>
      </c>
      <c r="O361" t="str">
        <f t="shared" si="15"/>
        <v>Roman Josi</v>
      </c>
      <c r="P361" s="18">
        <v>65</v>
      </c>
    </row>
    <row r="362" spans="1:16" ht="30" x14ac:dyDescent="0.25">
      <c r="A362" s="19" t="s">
        <v>1076</v>
      </c>
      <c r="B362" s="20">
        <v>78</v>
      </c>
      <c r="C362" s="20">
        <v>13</v>
      </c>
      <c r="D362" s="20">
        <v>44</v>
      </c>
      <c r="E362" s="20">
        <v>58</v>
      </c>
      <c r="F362" s="20">
        <v>35</v>
      </c>
      <c r="G362" s="20">
        <v>12</v>
      </c>
      <c r="H362" s="20">
        <v>0</v>
      </c>
      <c r="I362" s="20">
        <v>33</v>
      </c>
      <c r="J362" s="20">
        <v>235</v>
      </c>
      <c r="M362" t="s">
        <v>401</v>
      </c>
      <c r="N362" t="s">
        <v>402</v>
      </c>
      <c r="O362" t="str">
        <f t="shared" si="15"/>
        <v>Duncan Keith</v>
      </c>
      <c r="P362" s="20">
        <v>58</v>
      </c>
    </row>
    <row r="363" spans="1:16" ht="45" x14ac:dyDescent="0.25">
      <c r="A363" s="17" t="s">
        <v>1077</v>
      </c>
      <c r="B363" s="18">
        <v>78</v>
      </c>
      <c r="C363" s="18">
        <v>10</v>
      </c>
      <c r="D363" s="18">
        <v>47</v>
      </c>
      <c r="E363" s="18">
        <v>57</v>
      </c>
      <c r="F363" s="18">
        <v>34</v>
      </c>
      <c r="G363" s="18">
        <v>12</v>
      </c>
      <c r="H363" s="18">
        <v>0</v>
      </c>
      <c r="I363" s="18">
        <v>34</v>
      </c>
      <c r="J363" s="18">
        <v>232</v>
      </c>
      <c r="M363" t="s">
        <v>170</v>
      </c>
      <c r="N363" t="s">
        <v>279</v>
      </c>
      <c r="O363" t="str">
        <f t="shared" si="15"/>
        <v>John Klingberg</v>
      </c>
      <c r="P363" s="18">
        <v>57</v>
      </c>
    </row>
    <row r="364" spans="1:16" ht="45" x14ac:dyDescent="0.25">
      <c r="A364" s="19" t="s">
        <v>1078</v>
      </c>
      <c r="B364" s="20">
        <v>78</v>
      </c>
      <c r="C364" s="20">
        <v>20</v>
      </c>
      <c r="D364" s="20">
        <v>35</v>
      </c>
      <c r="E364" s="20">
        <v>56</v>
      </c>
      <c r="F364" s="20">
        <v>-7</v>
      </c>
      <c r="G364" s="20">
        <v>11</v>
      </c>
      <c r="H364" s="20">
        <v>1</v>
      </c>
      <c r="I364" s="20">
        <v>113</v>
      </c>
      <c r="J364" s="20">
        <v>229</v>
      </c>
      <c r="M364" t="s">
        <v>300</v>
      </c>
      <c r="N364" t="s">
        <v>301</v>
      </c>
      <c r="O364" t="str">
        <f t="shared" si="15"/>
        <v>Dustin Byfuglien</v>
      </c>
      <c r="P364" s="20">
        <v>56</v>
      </c>
    </row>
    <row r="365" spans="1:16" ht="45" x14ac:dyDescent="0.25">
      <c r="A365" s="17" t="s">
        <v>1079</v>
      </c>
      <c r="B365" s="18">
        <v>78</v>
      </c>
      <c r="C365" s="18">
        <v>13</v>
      </c>
      <c r="D365" s="18">
        <v>44</v>
      </c>
      <c r="E365" s="18">
        <v>58</v>
      </c>
      <c r="F365" s="18">
        <v>26</v>
      </c>
      <c r="G365" s="18">
        <v>8</v>
      </c>
      <c r="H365" s="18">
        <v>0</v>
      </c>
      <c r="I365" s="18">
        <v>50</v>
      </c>
      <c r="J365" s="18">
        <v>227</v>
      </c>
      <c r="M365" t="s">
        <v>327</v>
      </c>
      <c r="N365" t="s">
        <v>328</v>
      </c>
      <c r="O365" t="str">
        <f t="shared" si="15"/>
        <v>Victor Hedman</v>
      </c>
      <c r="P365" s="18">
        <v>58</v>
      </c>
    </row>
    <row r="366" spans="1:16" ht="45" x14ac:dyDescent="0.25">
      <c r="A366" s="19" t="s">
        <v>1080</v>
      </c>
      <c r="B366" s="20">
        <v>78</v>
      </c>
      <c r="C366" s="20">
        <v>22</v>
      </c>
      <c r="D366" s="20">
        <v>33</v>
      </c>
      <c r="E366" s="20">
        <v>55</v>
      </c>
      <c r="F366" s="20">
        <v>2</v>
      </c>
      <c r="G366" s="20">
        <v>15</v>
      </c>
      <c r="H366" s="20">
        <v>0</v>
      </c>
      <c r="I366" s="20">
        <v>42</v>
      </c>
      <c r="J366" s="20">
        <v>218</v>
      </c>
      <c r="M366" t="s">
        <v>325</v>
      </c>
      <c r="N366" t="s">
        <v>326</v>
      </c>
      <c r="O366" t="str">
        <f t="shared" si="15"/>
        <v>Shea Weber</v>
      </c>
      <c r="P366" s="20">
        <v>55</v>
      </c>
    </row>
    <row r="367" spans="1:16" ht="45" x14ac:dyDescent="0.25">
      <c r="A367" s="17" t="s">
        <v>1081</v>
      </c>
      <c r="B367" s="18">
        <v>78</v>
      </c>
      <c r="C367" s="18">
        <v>15</v>
      </c>
      <c r="D367" s="18">
        <v>35</v>
      </c>
      <c r="E367" s="18">
        <v>50</v>
      </c>
      <c r="F367" s="18">
        <v>27</v>
      </c>
      <c r="G367" s="18">
        <v>12</v>
      </c>
      <c r="H367" s="18">
        <v>0</v>
      </c>
      <c r="I367" s="18">
        <v>45</v>
      </c>
      <c r="J367" s="18">
        <v>217</v>
      </c>
      <c r="M367" t="s">
        <v>222</v>
      </c>
      <c r="N367" t="s">
        <v>1514</v>
      </c>
      <c r="O367" t="str">
        <f t="shared" si="15"/>
        <v>Brent Seabrook</v>
      </c>
      <c r="P367" s="18">
        <v>50</v>
      </c>
    </row>
    <row r="368" spans="1:16" ht="60" x14ac:dyDescent="0.25">
      <c r="A368" s="19" t="s">
        <v>1082</v>
      </c>
      <c r="B368" s="20">
        <v>78</v>
      </c>
      <c r="C368" s="20">
        <v>21</v>
      </c>
      <c r="D368" s="20">
        <v>36</v>
      </c>
      <c r="E368" s="20">
        <v>58</v>
      </c>
      <c r="F368" s="20">
        <v>-19</v>
      </c>
      <c r="G368" s="20">
        <v>13</v>
      </c>
      <c r="H368" s="20">
        <v>0</v>
      </c>
      <c r="I368" s="20">
        <v>88</v>
      </c>
      <c r="J368" s="20">
        <v>216</v>
      </c>
      <c r="M368" t="s">
        <v>296</v>
      </c>
      <c r="N368" t="s">
        <v>1515</v>
      </c>
      <c r="O368" t="str">
        <f t="shared" si="15"/>
        <v>Oliver Ekman-Larsson</v>
      </c>
      <c r="P368" s="20">
        <v>58</v>
      </c>
    </row>
    <row r="369" spans="1:16" ht="45" x14ac:dyDescent="0.25">
      <c r="A369" s="17" t="s">
        <v>1083</v>
      </c>
      <c r="B369" s="18">
        <v>78</v>
      </c>
      <c r="C369" s="18">
        <v>23</v>
      </c>
      <c r="D369" s="18">
        <v>35</v>
      </c>
      <c r="E369" s="18">
        <v>58</v>
      </c>
      <c r="F369" s="18">
        <v>0</v>
      </c>
      <c r="G369" s="18">
        <v>13</v>
      </c>
      <c r="H369" s="18">
        <v>0</v>
      </c>
      <c r="I369" s="18">
        <v>30</v>
      </c>
      <c r="J369" s="18">
        <v>214</v>
      </c>
      <c r="M369" t="s">
        <v>371</v>
      </c>
      <c r="N369" t="s">
        <v>1516</v>
      </c>
      <c r="O369" t="str">
        <f t="shared" si="15"/>
        <v>Shayne Gostisbehere</v>
      </c>
      <c r="P369" s="18">
        <v>58</v>
      </c>
    </row>
    <row r="370" spans="1:16" ht="45" x14ac:dyDescent="0.25">
      <c r="A370" s="19" t="s">
        <v>1084</v>
      </c>
      <c r="B370" s="20">
        <v>78</v>
      </c>
      <c r="C370" s="20">
        <v>13</v>
      </c>
      <c r="D370" s="20">
        <v>35</v>
      </c>
      <c r="E370" s="20">
        <v>49</v>
      </c>
      <c r="F370" s="20">
        <v>13</v>
      </c>
      <c r="G370" s="20">
        <v>13</v>
      </c>
      <c r="H370" s="20">
        <v>0</v>
      </c>
      <c r="I370" s="20">
        <v>49</v>
      </c>
      <c r="J370" s="20">
        <v>211</v>
      </c>
      <c r="M370" t="s">
        <v>349</v>
      </c>
      <c r="N370" t="s">
        <v>350</v>
      </c>
      <c r="O370" t="str">
        <f t="shared" si="15"/>
        <v>Drew Doughty</v>
      </c>
      <c r="P370" s="20">
        <v>49</v>
      </c>
    </row>
    <row r="371" spans="1:16" ht="45" x14ac:dyDescent="0.25">
      <c r="A371" s="17" t="s">
        <v>1085</v>
      </c>
      <c r="B371" s="18">
        <v>78</v>
      </c>
      <c r="C371" s="18">
        <v>20</v>
      </c>
      <c r="D371" s="18">
        <v>31</v>
      </c>
      <c r="E371" s="18">
        <v>52</v>
      </c>
      <c r="F371" s="18">
        <v>0</v>
      </c>
      <c r="G371" s="18">
        <v>11</v>
      </c>
      <c r="H371" s="18">
        <v>1</v>
      </c>
      <c r="I371" s="18">
        <v>56</v>
      </c>
      <c r="J371" s="18">
        <v>204</v>
      </c>
      <c r="M371" t="s">
        <v>196</v>
      </c>
      <c r="N371" t="s">
        <v>309</v>
      </c>
      <c r="O371" t="str">
        <f t="shared" si="15"/>
        <v>Mark Giordano</v>
      </c>
      <c r="P371" s="18">
        <v>52</v>
      </c>
    </row>
    <row r="372" spans="1:16" ht="30" x14ac:dyDescent="0.25">
      <c r="A372" s="19" t="s">
        <v>1086</v>
      </c>
      <c r="B372" s="20">
        <v>78</v>
      </c>
      <c r="C372" s="20">
        <v>4</v>
      </c>
      <c r="D372" s="20">
        <v>41</v>
      </c>
      <c r="E372" s="20">
        <v>46</v>
      </c>
      <c r="F372" s="20">
        <v>20</v>
      </c>
      <c r="G372" s="20">
        <v>11</v>
      </c>
      <c r="H372" s="20">
        <v>0</v>
      </c>
      <c r="I372" s="20">
        <v>31</v>
      </c>
      <c r="J372" s="20">
        <v>202</v>
      </c>
      <c r="M372" t="s">
        <v>1517</v>
      </c>
      <c r="N372" t="s">
        <v>1518</v>
      </c>
      <c r="O372" t="str">
        <f t="shared" si="15"/>
        <v>Torey Krug</v>
      </c>
      <c r="P372" s="20">
        <v>46</v>
      </c>
    </row>
    <row r="373" spans="1:16" ht="45" x14ac:dyDescent="0.25">
      <c r="A373" s="17" t="s">
        <v>1087</v>
      </c>
      <c r="B373" s="18">
        <v>78</v>
      </c>
      <c r="C373" s="18">
        <v>15</v>
      </c>
      <c r="D373" s="18">
        <v>35</v>
      </c>
      <c r="E373" s="18">
        <v>50</v>
      </c>
      <c r="F373" s="18">
        <v>-1</v>
      </c>
      <c r="G373" s="18">
        <v>13</v>
      </c>
      <c r="H373" s="18">
        <v>0</v>
      </c>
      <c r="I373" s="18">
        <v>63</v>
      </c>
      <c r="J373" s="18">
        <v>198</v>
      </c>
      <c r="M373" t="s">
        <v>426</v>
      </c>
      <c r="N373" t="s">
        <v>427</v>
      </c>
      <c r="O373" t="str">
        <f t="shared" si="15"/>
        <v>Kevin Shattenkirk</v>
      </c>
      <c r="P373" s="18">
        <v>50</v>
      </c>
    </row>
    <row r="374" spans="1:16" ht="45" x14ac:dyDescent="0.25">
      <c r="A374" s="19" t="s">
        <v>1088</v>
      </c>
      <c r="B374" s="20">
        <v>78</v>
      </c>
      <c r="C374" s="20">
        <v>5</v>
      </c>
      <c r="D374" s="20">
        <v>36</v>
      </c>
      <c r="E374" s="20">
        <v>42</v>
      </c>
      <c r="F374" s="20">
        <v>14</v>
      </c>
      <c r="G374" s="20">
        <v>8</v>
      </c>
      <c r="H374" s="20">
        <v>1</v>
      </c>
      <c r="I374" s="20">
        <v>133</v>
      </c>
      <c r="J374" s="20">
        <v>189</v>
      </c>
      <c r="M374" t="s">
        <v>1519</v>
      </c>
      <c r="N374" t="s">
        <v>1520</v>
      </c>
      <c r="O374" t="str">
        <f t="shared" si="15"/>
        <v>Dion Phaneuf</v>
      </c>
      <c r="P374" s="20">
        <v>42</v>
      </c>
    </row>
    <row r="375" spans="1:16" ht="45" x14ac:dyDescent="0.25">
      <c r="A375" s="17" t="s">
        <v>1089</v>
      </c>
      <c r="B375" s="18">
        <v>78</v>
      </c>
      <c r="C375" s="18">
        <v>8</v>
      </c>
      <c r="D375" s="18">
        <v>38</v>
      </c>
      <c r="E375" s="18">
        <v>46</v>
      </c>
      <c r="F375" s="18">
        <v>21</v>
      </c>
      <c r="G375" s="18">
        <v>5</v>
      </c>
      <c r="H375" s="18">
        <v>0</v>
      </c>
      <c r="I375" s="18">
        <v>59</v>
      </c>
      <c r="J375" s="18">
        <v>182</v>
      </c>
      <c r="M375" t="s">
        <v>1521</v>
      </c>
      <c r="N375" t="s">
        <v>1522</v>
      </c>
      <c r="O375" t="str">
        <f t="shared" si="15"/>
        <v>Marc-Edouard Vlasic</v>
      </c>
      <c r="P375" s="18">
        <v>46</v>
      </c>
    </row>
    <row r="376" spans="1:16" ht="30" x14ac:dyDescent="0.25">
      <c r="A376" s="19" t="s">
        <v>1090</v>
      </c>
      <c r="B376" s="20">
        <v>78</v>
      </c>
      <c r="C376" s="20">
        <v>8</v>
      </c>
      <c r="D376" s="20">
        <v>33</v>
      </c>
      <c r="E376" s="20">
        <v>41</v>
      </c>
      <c r="F376" s="20">
        <v>8</v>
      </c>
      <c r="G376" s="20">
        <v>8</v>
      </c>
      <c r="H376" s="20">
        <v>0</v>
      </c>
      <c r="I376" s="20">
        <v>60</v>
      </c>
      <c r="J376" s="20">
        <v>181</v>
      </c>
      <c r="M376" t="s">
        <v>1407</v>
      </c>
      <c r="N376" t="s">
        <v>1523</v>
      </c>
      <c r="O376" t="str">
        <f t="shared" si="15"/>
        <v>Jake Muzzin</v>
      </c>
      <c r="P376" s="20">
        <v>41</v>
      </c>
    </row>
    <row r="377" spans="1:16" ht="30" x14ac:dyDescent="0.25">
      <c r="A377" s="17" t="s">
        <v>1091</v>
      </c>
      <c r="B377" s="18">
        <v>78</v>
      </c>
      <c r="C377" s="18">
        <v>9</v>
      </c>
      <c r="D377" s="18">
        <v>28</v>
      </c>
      <c r="E377" s="18">
        <v>38</v>
      </c>
      <c r="F377" s="18">
        <v>20</v>
      </c>
      <c r="G377" s="18">
        <v>6</v>
      </c>
      <c r="H377" s="18">
        <v>1</v>
      </c>
      <c r="I377" s="18">
        <v>68</v>
      </c>
      <c r="J377" s="18">
        <v>172</v>
      </c>
      <c r="M377" t="s">
        <v>1524</v>
      </c>
      <c r="N377" t="s">
        <v>1525</v>
      </c>
      <c r="O377" t="str">
        <f t="shared" si="15"/>
        <v>Zdeno Chara</v>
      </c>
      <c r="P377" s="18">
        <v>38</v>
      </c>
    </row>
    <row r="378" spans="1:16" ht="30" x14ac:dyDescent="0.25">
      <c r="A378" s="19" t="s">
        <v>1092</v>
      </c>
      <c r="B378" s="20">
        <v>78</v>
      </c>
      <c r="C378" s="20">
        <v>14</v>
      </c>
      <c r="D378" s="20">
        <v>36</v>
      </c>
      <c r="E378" s="20">
        <v>50</v>
      </c>
      <c r="F378" s="20">
        <v>-11</v>
      </c>
      <c r="G378" s="20">
        <v>12</v>
      </c>
      <c r="H378" s="20">
        <v>1</v>
      </c>
      <c r="I378" s="20">
        <v>35</v>
      </c>
      <c r="J378" s="20">
        <v>172</v>
      </c>
      <c r="M378" t="s">
        <v>347</v>
      </c>
      <c r="N378" t="s">
        <v>348</v>
      </c>
      <c r="O378" t="str">
        <f t="shared" si="15"/>
        <v>Tyson Barrie</v>
      </c>
      <c r="P378" s="20">
        <v>50</v>
      </c>
    </row>
    <row r="379" spans="1:16" ht="45" x14ac:dyDescent="0.25">
      <c r="A379" s="17" t="s">
        <v>1093</v>
      </c>
      <c r="B379" s="18">
        <v>78</v>
      </c>
      <c r="C379" s="18">
        <v>11</v>
      </c>
      <c r="D379" s="18">
        <v>29</v>
      </c>
      <c r="E379" s="18">
        <v>41</v>
      </c>
      <c r="F379" s="18">
        <v>24</v>
      </c>
      <c r="G379" s="18">
        <v>8</v>
      </c>
      <c r="H379" s="18">
        <v>0</v>
      </c>
      <c r="I379" s="18">
        <v>25</v>
      </c>
      <c r="J379" s="18">
        <v>170</v>
      </c>
      <c r="M379" t="s">
        <v>1526</v>
      </c>
      <c r="N379" t="s">
        <v>1527</v>
      </c>
      <c r="O379" t="str">
        <f t="shared" si="15"/>
        <v>Anton Stralman</v>
      </c>
      <c r="P379" s="18">
        <v>41</v>
      </c>
    </row>
    <row r="380" spans="1:16" ht="30" x14ac:dyDescent="0.25">
      <c r="A380" s="19" t="s">
        <v>1094</v>
      </c>
      <c r="B380" s="20">
        <v>78</v>
      </c>
      <c r="C380" s="20">
        <v>21</v>
      </c>
      <c r="D380" s="20">
        <v>27</v>
      </c>
      <c r="E380" s="20">
        <v>48</v>
      </c>
      <c r="F380" s="20">
        <v>-41</v>
      </c>
      <c r="G380" s="20">
        <v>13</v>
      </c>
      <c r="H380" s="20">
        <v>0</v>
      </c>
      <c r="I380" s="20">
        <v>44</v>
      </c>
      <c r="J380" s="20">
        <v>168</v>
      </c>
      <c r="M380" t="s">
        <v>374</v>
      </c>
      <c r="N380" t="s">
        <v>375</v>
      </c>
      <c r="O380" t="str">
        <f t="shared" si="15"/>
        <v>Justin Faulk</v>
      </c>
      <c r="P380" s="20">
        <v>48</v>
      </c>
    </row>
    <row r="381" spans="1:16" ht="45" x14ac:dyDescent="0.25">
      <c r="A381" s="17" t="s">
        <v>1095</v>
      </c>
      <c r="B381" s="18">
        <v>78</v>
      </c>
      <c r="C381" s="18">
        <v>5</v>
      </c>
      <c r="D381" s="18">
        <v>39</v>
      </c>
      <c r="E381" s="18">
        <v>44</v>
      </c>
      <c r="F381" s="18">
        <v>10</v>
      </c>
      <c r="G381" s="18">
        <v>11</v>
      </c>
      <c r="H381" s="18">
        <v>0</v>
      </c>
      <c r="I381" s="18">
        <v>42</v>
      </c>
      <c r="J381" s="18">
        <v>161</v>
      </c>
      <c r="M381" t="s">
        <v>1528</v>
      </c>
      <c r="N381" t="s">
        <v>1529</v>
      </c>
      <c r="O381" t="str">
        <f t="shared" si="15"/>
        <v>Andrei Markov</v>
      </c>
      <c r="P381" s="18">
        <v>44</v>
      </c>
    </row>
    <row r="382" spans="1:16" ht="45" x14ac:dyDescent="0.25">
      <c r="A382" s="19" t="s">
        <v>1096</v>
      </c>
      <c r="B382" s="20">
        <v>78</v>
      </c>
      <c r="C382" s="20">
        <v>10</v>
      </c>
      <c r="D382" s="20">
        <v>27</v>
      </c>
      <c r="E382" s="20">
        <v>38</v>
      </c>
      <c r="F382" s="20">
        <v>28</v>
      </c>
      <c r="G382" s="20">
        <v>6</v>
      </c>
      <c r="H382" s="20">
        <v>0</v>
      </c>
      <c r="I382" s="20">
        <v>27</v>
      </c>
      <c r="J382" s="20">
        <v>160</v>
      </c>
      <c r="M382" t="s">
        <v>188</v>
      </c>
      <c r="N382" t="s">
        <v>1530</v>
      </c>
      <c r="O382" t="str">
        <f t="shared" si="15"/>
        <v>Ryan McDonagh</v>
      </c>
      <c r="P382" s="20">
        <v>38</v>
      </c>
    </row>
    <row r="383" spans="1:16" ht="45" x14ac:dyDescent="0.25">
      <c r="A383" s="17" t="s">
        <v>1097</v>
      </c>
      <c r="B383" s="18">
        <v>78</v>
      </c>
      <c r="C383" s="18">
        <v>8</v>
      </c>
      <c r="D383" s="18">
        <v>33</v>
      </c>
      <c r="E383" s="18">
        <v>41</v>
      </c>
      <c r="F383" s="18">
        <v>11</v>
      </c>
      <c r="G383" s="18">
        <v>3</v>
      </c>
      <c r="H383" s="18">
        <v>0</v>
      </c>
      <c r="I383" s="18">
        <v>31</v>
      </c>
      <c r="J383" s="18">
        <v>158</v>
      </c>
      <c r="M383" t="s">
        <v>233</v>
      </c>
      <c r="N383" t="s">
        <v>418</v>
      </c>
      <c r="O383" t="str">
        <f t="shared" si="15"/>
        <v>Alex Pietrangelo</v>
      </c>
      <c r="P383" s="18">
        <v>41</v>
      </c>
    </row>
    <row r="384" spans="1:16" ht="45" x14ac:dyDescent="0.25">
      <c r="A384" s="19" t="s">
        <v>1098</v>
      </c>
      <c r="B384" s="20">
        <v>78</v>
      </c>
      <c r="C384" s="20">
        <v>11</v>
      </c>
      <c r="D384" s="20">
        <v>27</v>
      </c>
      <c r="E384" s="20">
        <v>39</v>
      </c>
      <c r="F384" s="20">
        <v>24</v>
      </c>
      <c r="G384" s="20">
        <v>3</v>
      </c>
      <c r="H384" s="20">
        <v>0</v>
      </c>
      <c r="I384" s="20">
        <v>38</v>
      </c>
      <c r="J384" s="20">
        <v>157</v>
      </c>
      <c r="M384" t="s">
        <v>1252</v>
      </c>
      <c r="N384" t="s">
        <v>1531</v>
      </c>
      <c r="O384" t="str">
        <f t="shared" si="15"/>
        <v>Mattias Ekholm</v>
      </c>
      <c r="P384" s="20">
        <v>39</v>
      </c>
    </row>
    <row r="385" spans="1:16" ht="45" x14ac:dyDescent="0.25">
      <c r="A385" s="17" t="s">
        <v>1099</v>
      </c>
      <c r="B385" s="18">
        <v>78</v>
      </c>
      <c r="C385" s="18">
        <v>7</v>
      </c>
      <c r="D385" s="18">
        <v>30</v>
      </c>
      <c r="E385" s="18">
        <v>37</v>
      </c>
      <c r="F385" s="18">
        <v>12</v>
      </c>
      <c r="G385" s="18">
        <v>11</v>
      </c>
      <c r="H385" s="18">
        <v>0</v>
      </c>
      <c r="I385" s="18">
        <v>30</v>
      </c>
      <c r="J385" s="18">
        <v>155</v>
      </c>
      <c r="M385" t="s">
        <v>329</v>
      </c>
      <c r="N385" t="s">
        <v>1532</v>
      </c>
      <c r="O385" t="str">
        <f t="shared" si="15"/>
        <v>Cam Fowler</v>
      </c>
      <c r="P385" s="18">
        <v>37</v>
      </c>
    </row>
    <row r="386" spans="1:16" ht="45" x14ac:dyDescent="0.25">
      <c r="A386" s="19" t="s">
        <v>1100</v>
      </c>
      <c r="B386" s="20">
        <v>78</v>
      </c>
      <c r="C386" s="20">
        <v>11</v>
      </c>
      <c r="D386" s="20">
        <v>27</v>
      </c>
      <c r="E386" s="20">
        <v>39</v>
      </c>
      <c r="F386" s="20">
        <v>-3</v>
      </c>
      <c r="G386" s="20">
        <v>9</v>
      </c>
      <c r="H386" s="20">
        <v>0</v>
      </c>
      <c r="I386" s="20">
        <v>48</v>
      </c>
      <c r="J386" s="20">
        <v>155</v>
      </c>
      <c r="M386" t="s">
        <v>1533</v>
      </c>
      <c r="N386" t="s">
        <v>1534</v>
      </c>
      <c r="O386" t="str">
        <f t="shared" ref="O386:O449" si="16">M386&amp;" "&amp;N386</f>
        <v>Dougie Hamilton</v>
      </c>
      <c r="P386" s="20">
        <v>39</v>
      </c>
    </row>
    <row r="387" spans="1:16" ht="30" x14ac:dyDescent="0.25">
      <c r="A387" s="17" t="s">
        <v>1101</v>
      </c>
      <c r="B387" s="18">
        <v>78</v>
      </c>
      <c r="C387" s="18">
        <v>9</v>
      </c>
      <c r="D387" s="18">
        <v>26</v>
      </c>
      <c r="E387" s="18">
        <v>36</v>
      </c>
      <c r="F387" s="18">
        <v>21</v>
      </c>
      <c r="G387" s="18">
        <v>3</v>
      </c>
      <c r="H387" s="18">
        <v>0</v>
      </c>
      <c r="I387" s="18">
        <v>32</v>
      </c>
      <c r="J387" s="18">
        <v>154</v>
      </c>
      <c r="M387" t="s">
        <v>188</v>
      </c>
      <c r="N387" t="s">
        <v>1535</v>
      </c>
      <c r="O387" t="str">
        <f t="shared" si="16"/>
        <v>Ryan Ellis</v>
      </c>
      <c r="P387" s="18">
        <v>36</v>
      </c>
    </row>
    <row r="388" spans="1:16" ht="45" x14ac:dyDescent="0.25">
      <c r="A388" s="19" t="s">
        <v>1102</v>
      </c>
      <c r="B388" s="20">
        <v>78</v>
      </c>
      <c r="C388" s="20">
        <v>6</v>
      </c>
      <c r="D388" s="20">
        <v>19</v>
      </c>
      <c r="E388" s="20">
        <v>25</v>
      </c>
      <c r="F388" s="20">
        <v>61</v>
      </c>
      <c r="G388" s="20">
        <v>3</v>
      </c>
      <c r="H388" s="20">
        <v>0</v>
      </c>
      <c r="I388" s="20">
        <v>36</v>
      </c>
      <c r="J388" s="20">
        <v>153</v>
      </c>
      <c r="M388" t="s">
        <v>1536</v>
      </c>
      <c r="N388" t="s">
        <v>1537</v>
      </c>
      <c r="O388" t="str">
        <f t="shared" si="16"/>
        <v>Dan Hamhuis</v>
      </c>
      <c r="P388" s="20">
        <v>25</v>
      </c>
    </row>
    <row r="389" spans="1:16" ht="45" x14ac:dyDescent="0.25">
      <c r="A389" s="17" t="s">
        <v>1103</v>
      </c>
      <c r="B389" s="18">
        <v>78</v>
      </c>
      <c r="C389" s="18">
        <v>11</v>
      </c>
      <c r="D389" s="18">
        <v>19</v>
      </c>
      <c r="E389" s="18">
        <v>31</v>
      </c>
      <c r="F389" s="18">
        <v>29</v>
      </c>
      <c r="G389" s="18">
        <v>8</v>
      </c>
      <c r="H389" s="18">
        <v>0</v>
      </c>
      <c r="I389" s="18">
        <v>17</v>
      </c>
      <c r="J389" s="18">
        <v>153</v>
      </c>
      <c r="M389" t="s">
        <v>231</v>
      </c>
      <c r="N389" t="s">
        <v>1538</v>
      </c>
      <c r="O389" t="str">
        <f t="shared" si="16"/>
        <v>David Schlemko</v>
      </c>
      <c r="P389" s="18">
        <v>31</v>
      </c>
    </row>
    <row r="390" spans="1:16" ht="30" x14ac:dyDescent="0.25">
      <c r="A390" s="19" t="s">
        <v>1104</v>
      </c>
      <c r="B390" s="20">
        <v>78</v>
      </c>
      <c r="C390" s="20">
        <v>6</v>
      </c>
      <c r="D390" s="20">
        <v>23</v>
      </c>
      <c r="E390" s="20">
        <v>29</v>
      </c>
      <c r="F390" s="20">
        <v>34</v>
      </c>
      <c r="G390" s="20">
        <v>5</v>
      </c>
      <c r="H390" s="20">
        <v>0</v>
      </c>
      <c r="I390" s="20">
        <v>45</v>
      </c>
      <c r="J390" s="20">
        <v>152</v>
      </c>
      <c r="M390" t="s">
        <v>1292</v>
      </c>
      <c r="N390" t="s">
        <v>1539</v>
      </c>
      <c r="O390" t="str">
        <f t="shared" si="16"/>
        <v>Trevor Daley</v>
      </c>
      <c r="P390" s="20">
        <v>29</v>
      </c>
    </row>
    <row r="391" spans="1:16" ht="30" x14ac:dyDescent="0.25">
      <c r="A391" s="17" t="s">
        <v>1105</v>
      </c>
      <c r="B391" s="18">
        <v>78</v>
      </c>
      <c r="C391" s="18">
        <v>7</v>
      </c>
      <c r="D391" s="18">
        <v>40</v>
      </c>
      <c r="E391" s="18">
        <v>47</v>
      </c>
      <c r="F391" s="18">
        <v>-20</v>
      </c>
      <c r="G391" s="18">
        <v>10</v>
      </c>
      <c r="H391" s="18">
        <v>0</v>
      </c>
      <c r="I391" s="18">
        <v>42</v>
      </c>
      <c r="J391" s="18">
        <v>152</v>
      </c>
      <c r="M391" t="s">
        <v>188</v>
      </c>
      <c r="N391" t="s">
        <v>389</v>
      </c>
      <c r="O391" t="str">
        <f t="shared" si="16"/>
        <v>Ryan Suter</v>
      </c>
      <c r="P391" s="18">
        <v>47</v>
      </c>
    </row>
    <row r="392" spans="1:16" ht="45" x14ac:dyDescent="0.25">
      <c r="A392" s="19" t="s">
        <v>1106</v>
      </c>
      <c r="B392" s="20">
        <v>78</v>
      </c>
      <c r="C392" s="20">
        <v>10</v>
      </c>
      <c r="D392" s="20">
        <v>21</v>
      </c>
      <c r="E392" s="20">
        <v>32</v>
      </c>
      <c r="F392" s="20">
        <v>17</v>
      </c>
      <c r="G392" s="20">
        <v>7</v>
      </c>
      <c r="H392" s="20">
        <v>0</v>
      </c>
      <c r="I392" s="20">
        <v>33</v>
      </c>
      <c r="J392" s="20">
        <v>151</v>
      </c>
      <c r="M392" t="s">
        <v>1540</v>
      </c>
      <c r="N392" t="s">
        <v>1386</v>
      </c>
      <c r="O392" t="str">
        <f t="shared" si="16"/>
        <v>Hampus Lindholm</v>
      </c>
      <c r="P392" s="20">
        <v>32</v>
      </c>
    </row>
    <row r="393" spans="1:16" ht="45" x14ac:dyDescent="0.25">
      <c r="A393" s="17" t="s">
        <v>1107</v>
      </c>
      <c r="B393" s="18">
        <v>78</v>
      </c>
      <c r="C393" s="18">
        <v>5</v>
      </c>
      <c r="D393" s="18">
        <v>26</v>
      </c>
      <c r="E393" s="18">
        <v>31</v>
      </c>
      <c r="F393" s="18">
        <v>24</v>
      </c>
      <c r="G393" s="18">
        <v>7</v>
      </c>
      <c r="H393" s="18">
        <v>0</v>
      </c>
      <c r="I393" s="18">
        <v>40</v>
      </c>
      <c r="J393" s="18">
        <v>150</v>
      </c>
      <c r="M393" t="s">
        <v>245</v>
      </c>
      <c r="N393" t="s">
        <v>1541</v>
      </c>
      <c r="O393" t="str">
        <f t="shared" si="16"/>
        <v>Matt Niskanen</v>
      </c>
      <c r="P393" s="18">
        <v>31</v>
      </c>
    </row>
    <row r="394" spans="1:16" ht="30" x14ac:dyDescent="0.25">
      <c r="A394" s="19" t="s">
        <v>1108</v>
      </c>
      <c r="B394" s="20">
        <v>78</v>
      </c>
      <c r="C394" s="20">
        <v>6</v>
      </c>
      <c r="D394" s="20">
        <v>20</v>
      </c>
      <c r="E394" s="20">
        <v>27</v>
      </c>
      <c r="F394" s="20">
        <v>53</v>
      </c>
      <c r="G394" s="20">
        <v>1</v>
      </c>
      <c r="H394" s="20">
        <v>0</v>
      </c>
      <c r="I394" s="20">
        <v>31</v>
      </c>
      <c r="J394" s="20">
        <v>150</v>
      </c>
      <c r="M394" t="s">
        <v>1542</v>
      </c>
      <c r="N394" t="s">
        <v>1543</v>
      </c>
      <c r="O394" t="str">
        <f t="shared" si="16"/>
        <v>Olli Maatta</v>
      </c>
      <c r="P394" s="20">
        <v>27</v>
      </c>
    </row>
    <row r="395" spans="1:16" ht="30" x14ac:dyDescent="0.25">
      <c r="A395" s="17" t="s">
        <v>1109</v>
      </c>
      <c r="B395" s="18">
        <v>78</v>
      </c>
      <c r="C395" s="18">
        <v>8</v>
      </c>
      <c r="D395" s="18">
        <v>30</v>
      </c>
      <c r="E395" s="18">
        <v>39</v>
      </c>
      <c r="F395" s="18">
        <v>-2</v>
      </c>
      <c r="G395" s="18">
        <v>11</v>
      </c>
      <c r="H395" s="18">
        <v>0</v>
      </c>
      <c r="I395" s="18">
        <v>48</v>
      </c>
      <c r="J395" s="18">
        <v>148</v>
      </c>
      <c r="M395" t="s">
        <v>290</v>
      </c>
      <c r="N395" t="s">
        <v>1544</v>
      </c>
      <c r="O395" t="str">
        <f t="shared" si="16"/>
        <v>Mike Green</v>
      </c>
      <c r="P395" s="18">
        <v>39</v>
      </c>
    </row>
    <row r="396" spans="1:16" ht="45" x14ac:dyDescent="0.25">
      <c r="A396" s="19" t="s">
        <v>1110</v>
      </c>
      <c r="B396" s="20">
        <v>78</v>
      </c>
      <c r="C396" s="20">
        <v>9</v>
      </c>
      <c r="D396" s="20">
        <v>24</v>
      </c>
      <c r="E396" s="20">
        <v>33</v>
      </c>
      <c r="F396" s="20">
        <v>19</v>
      </c>
      <c r="G396" s="20">
        <v>4</v>
      </c>
      <c r="H396" s="20">
        <v>0</v>
      </c>
      <c r="I396" s="20">
        <v>27</v>
      </c>
      <c r="J396" s="20">
        <v>147</v>
      </c>
      <c r="M396" t="s">
        <v>1305</v>
      </c>
      <c r="N396" t="s">
        <v>1545</v>
      </c>
      <c r="O396" t="str">
        <f t="shared" si="16"/>
        <v>Colton Parayko</v>
      </c>
      <c r="P396" s="20">
        <v>33</v>
      </c>
    </row>
    <row r="397" spans="1:16" ht="45" x14ac:dyDescent="0.25">
      <c r="A397" s="17" t="s">
        <v>1111</v>
      </c>
      <c r="B397" s="18">
        <v>78</v>
      </c>
      <c r="C397" s="18">
        <v>6</v>
      </c>
      <c r="D397" s="18">
        <v>26</v>
      </c>
      <c r="E397" s="18">
        <v>33</v>
      </c>
      <c r="F397" s="18">
        <v>36</v>
      </c>
      <c r="G397" s="18">
        <v>5</v>
      </c>
      <c r="H397" s="18">
        <v>0</v>
      </c>
      <c r="I397" s="18">
        <v>20</v>
      </c>
      <c r="J397" s="18">
        <v>147</v>
      </c>
      <c r="M397" t="s">
        <v>1259</v>
      </c>
      <c r="N397" t="s">
        <v>1546</v>
      </c>
      <c r="O397" t="str">
        <f t="shared" si="16"/>
        <v>Brian Campbell</v>
      </c>
      <c r="P397" s="18">
        <v>33</v>
      </c>
    </row>
    <row r="398" spans="1:16" ht="30" x14ac:dyDescent="0.25">
      <c r="A398" s="19" t="s">
        <v>1112</v>
      </c>
      <c r="B398" s="20">
        <v>78</v>
      </c>
      <c r="C398" s="20">
        <v>5</v>
      </c>
      <c r="D398" s="20">
        <v>37</v>
      </c>
      <c r="E398" s="20">
        <v>42</v>
      </c>
      <c r="F398" s="20">
        <v>-17</v>
      </c>
      <c r="G398" s="20">
        <v>12</v>
      </c>
      <c r="H398" s="20">
        <v>0</v>
      </c>
      <c r="I398" s="20">
        <v>44</v>
      </c>
      <c r="J398" s="20">
        <v>143</v>
      </c>
      <c r="M398" t="s">
        <v>402</v>
      </c>
      <c r="N398" t="s">
        <v>1547</v>
      </c>
      <c r="O398" t="str">
        <f t="shared" si="16"/>
        <v>Keith Yandle</v>
      </c>
      <c r="P398" s="20">
        <v>42</v>
      </c>
    </row>
    <row r="399" spans="1:16" ht="45" x14ac:dyDescent="0.25">
      <c r="A399" s="17" t="s">
        <v>1113</v>
      </c>
      <c r="B399" s="18">
        <v>78</v>
      </c>
      <c r="C399" s="18">
        <v>10</v>
      </c>
      <c r="D399" s="18">
        <v>21</v>
      </c>
      <c r="E399" s="18">
        <v>32</v>
      </c>
      <c r="F399" s="18">
        <v>10</v>
      </c>
      <c r="G399" s="18">
        <v>7</v>
      </c>
      <c r="H399" s="18">
        <v>0</v>
      </c>
      <c r="I399" s="18">
        <v>40</v>
      </c>
      <c r="J399" s="18">
        <v>140</v>
      </c>
      <c r="M399" t="s">
        <v>1548</v>
      </c>
      <c r="N399" t="s">
        <v>1549</v>
      </c>
      <c r="O399" t="str">
        <f t="shared" si="16"/>
        <v>Alec Martinez</v>
      </c>
      <c r="P399" s="18">
        <v>32</v>
      </c>
    </row>
    <row r="400" spans="1:16" ht="30" x14ac:dyDescent="0.25">
      <c r="A400" s="19" t="s">
        <v>1114</v>
      </c>
      <c r="B400" s="20">
        <v>78</v>
      </c>
      <c r="C400" s="20">
        <v>5</v>
      </c>
      <c r="D400" s="20">
        <v>34</v>
      </c>
      <c r="E400" s="20">
        <v>40</v>
      </c>
      <c r="F400" s="20">
        <v>-4</v>
      </c>
      <c r="G400" s="20">
        <v>10</v>
      </c>
      <c r="H400" s="20">
        <v>0</v>
      </c>
      <c r="I400" s="20">
        <v>24</v>
      </c>
      <c r="J400" s="20">
        <v>135</v>
      </c>
      <c r="M400" t="s">
        <v>431</v>
      </c>
      <c r="N400" t="s">
        <v>1550</v>
      </c>
      <c r="O400" t="str">
        <f t="shared" si="16"/>
        <v>Nick Leddy</v>
      </c>
      <c r="P400" s="20">
        <v>40</v>
      </c>
    </row>
    <row r="401" spans="1:16" ht="30" x14ac:dyDescent="0.25">
      <c r="A401" s="17" t="s">
        <v>1115</v>
      </c>
      <c r="B401" s="18">
        <v>78</v>
      </c>
      <c r="C401" s="18">
        <v>6</v>
      </c>
      <c r="D401" s="18">
        <v>39</v>
      </c>
      <c r="E401" s="18">
        <v>46</v>
      </c>
      <c r="F401" s="18">
        <v>-1</v>
      </c>
      <c r="G401" s="18">
        <v>5</v>
      </c>
      <c r="H401" s="18">
        <v>1</v>
      </c>
      <c r="I401" s="18">
        <v>23</v>
      </c>
      <c r="J401" s="18">
        <v>134</v>
      </c>
      <c r="M401" t="s">
        <v>319</v>
      </c>
      <c r="N401" t="s">
        <v>1551</v>
      </c>
      <c r="O401" t="str">
        <f t="shared" si="16"/>
        <v>T.J. Brodie</v>
      </c>
      <c r="P401" s="18">
        <v>46</v>
      </c>
    </row>
    <row r="402" spans="1:16" ht="45" x14ac:dyDescent="0.25">
      <c r="A402" s="19" t="s">
        <v>1116</v>
      </c>
      <c r="B402" s="20">
        <v>78</v>
      </c>
      <c r="C402" s="20">
        <v>7</v>
      </c>
      <c r="D402" s="20">
        <v>16</v>
      </c>
      <c r="E402" s="20">
        <v>24</v>
      </c>
      <c r="F402" s="20">
        <v>31</v>
      </c>
      <c r="G402" s="20">
        <v>2</v>
      </c>
      <c r="H402" s="20">
        <v>0</v>
      </c>
      <c r="I402" s="20">
        <v>27</v>
      </c>
      <c r="J402" s="20">
        <v>127</v>
      </c>
      <c r="M402" t="s">
        <v>1552</v>
      </c>
      <c r="N402" t="s">
        <v>1553</v>
      </c>
      <c r="O402" t="str">
        <f t="shared" si="16"/>
        <v>John-Michael Liles</v>
      </c>
      <c r="P402" s="20">
        <v>24</v>
      </c>
    </row>
    <row r="403" spans="1:16" ht="45" x14ac:dyDescent="0.25">
      <c r="A403" s="17" t="s">
        <v>1117</v>
      </c>
      <c r="B403" s="18">
        <v>78</v>
      </c>
      <c r="C403" s="18">
        <v>10</v>
      </c>
      <c r="D403" s="18">
        <v>20</v>
      </c>
      <c r="E403" s="18">
        <v>31</v>
      </c>
      <c r="F403" s="18">
        <v>-2</v>
      </c>
      <c r="G403" s="18">
        <v>1</v>
      </c>
      <c r="H403" s="18">
        <v>0</v>
      </c>
      <c r="I403" s="18">
        <v>73</v>
      </c>
      <c r="J403" s="18">
        <v>124</v>
      </c>
      <c r="M403" t="s">
        <v>166</v>
      </c>
      <c r="N403" t="s">
        <v>1554</v>
      </c>
      <c r="O403" t="str">
        <f t="shared" si="16"/>
        <v>Tyler Myers</v>
      </c>
      <c r="P403" s="18">
        <v>31</v>
      </c>
    </row>
    <row r="404" spans="1:16" ht="30" x14ac:dyDescent="0.25">
      <c r="A404" s="19" t="s">
        <v>1118</v>
      </c>
      <c r="B404" s="20">
        <v>78</v>
      </c>
      <c r="C404" s="20">
        <v>8</v>
      </c>
      <c r="D404" s="20">
        <v>23</v>
      </c>
      <c r="E404" s="20">
        <v>31</v>
      </c>
      <c r="F404" s="20">
        <v>5</v>
      </c>
      <c r="G404" s="20">
        <v>5</v>
      </c>
      <c r="H404" s="20">
        <v>0</v>
      </c>
      <c r="I404" s="20">
        <v>28</v>
      </c>
      <c r="J404" s="20">
        <v>122</v>
      </c>
      <c r="M404" t="s">
        <v>196</v>
      </c>
      <c r="N404" t="s">
        <v>1555</v>
      </c>
      <c r="O404" t="str">
        <f t="shared" si="16"/>
        <v>Mark Streit</v>
      </c>
      <c r="P404" s="20">
        <v>31</v>
      </c>
    </row>
    <row r="405" spans="1:16" ht="45" x14ac:dyDescent="0.25">
      <c r="A405" s="17" t="s">
        <v>1119</v>
      </c>
      <c r="B405" s="18">
        <v>78</v>
      </c>
      <c r="C405" s="18">
        <v>12</v>
      </c>
      <c r="D405" s="18">
        <v>17</v>
      </c>
      <c r="E405" s="18">
        <v>30</v>
      </c>
      <c r="F405" s="18">
        <v>-10</v>
      </c>
      <c r="G405" s="18">
        <v>3</v>
      </c>
      <c r="H405" s="18">
        <v>1</v>
      </c>
      <c r="I405" s="18">
        <v>55</v>
      </c>
      <c r="J405" s="18">
        <v>121</v>
      </c>
      <c r="M405" t="s">
        <v>176</v>
      </c>
      <c r="N405" t="s">
        <v>316</v>
      </c>
      <c r="O405" t="str">
        <f t="shared" si="16"/>
        <v>Erik Johnson</v>
      </c>
      <c r="P405" s="18">
        <v>30</v>
      </c>
    </row>
    <row r="406" spans="1:16" ht="45" x14ac:dyDescent="0.25">
      <c r="A406" s="19" t="s">
        <v>1120</v>
      </c>
      <c r="B406" s="20">
        <v>78</v>
      </c>
      <c r="C406" s="20">
        <v>5</v>
      </c>
      <c r="D406" s="20">
        <v>14</v>
      </c>
      <c r="E406" s="20">
        <v>19</v>
      </c>
      <c r="F406" s="20">
        <v>16</v>
      </c>
      <c r="G406" s="20">
        <v>3</v>
      </c>
      <c r="H406" s="20">
        <v>0</v>
      </c>
      <c r="I406" s="20">
        <v>94</v>
      </c>
      <c r="J406" s="20">
        <v>119</v>
      </c>
      <c r="M406" t="s">
        <v>426</v>
      </c>
      <c r="N406" t="s">
        <v>1556</v>
      </c>
      <c r="O406" t="str">
        <f t="shared" si="16"/>
        <v>Kevin Bieksa</v>
      </c>
      <c r="P406" s="20">
        <v>19</v>
      </c>
    </row>
    <row r="407" spans="1:16" ht="45" x14ac:dyDescent="0.25">
      <c r="A407" s="17" t="s">
        <v>1121</v>
      </c>
      <c r="B407" s="18">
        <v>78</v>
      </c>
      <c r="C407" s="18">
        <v>9</v>
      </c>
      <c r="D407" s="18">
        <v>16</v>
      </c>
      <c r="E407" s="18">
        <v>26</v>
      </c>
      <c r="F407" s="18">
        <v>1</v>
      </c>
      <c r="G407" s="18">
        <v>3</v>
      </c>
      <c r="H407" s="18">
        <v>0</v>
      </c>
      <c r="I407" s="18">
        <v>39</v>
      </c>
      <c r="J407" s="18">
        <v>118</v>
      </c>
      <c r="M407" t="s">
        <v>172</v>
      </c>
      <c r="N407" t="s">
        <v>1557</v>
      </c>
      <c r="O407" t="str">
        <f t="shared" si="16"/>
        <v>Johnny Boychuk</v>
      </c>
      <c r="P407" s="18">
        <v>26</v>
      </c>
    </row>
    <row r="408" spans="1:16" ht="45" x14ac:dyDescent="0.25">
      <c r="A408" s="19" t="s">
        <v>1122</v>
      </c>
      <c r="B408" s="20">
        <v>78</v>
      </c>
      <c r="C408" s="20">
        <v>8</v>
      </c>
      <c r="D408" s="20">
        <v>25</v>
      </c>
      <c r="E408" s="20">
        <v>34</v>
      </c>
      <c r="F408" s="20">
        <v>-5</v>
      </c>
      <c r="G408" s="20">
        <v>6</v>
      </c>
      <c r="H408" s="20">
        <v>0</v>
      </c>
      <c r="I408" s="20">
        <v>40</v>
      </c>
      <c r="J408" s="20">
        <v>117</v>
      </c>
      <c r="M408" t="s">
        <v>1558</v>
      </c>
      <c r="N408" t="s">
        <v>1559</v>
      </c>
      <c r="O408" t="str">
        <f t="shared" si="16"/>
        <v>Francois Beauchemin</v>
      </c>
      <c r="P408" s="20">
        <v>34</v>
      </c>
    </row>
    <row r="409" spans="1:16" ht="30" x14ac:dyDescent="0.25">
      <c r="A409" s="17" t="s">
        <v>1123</v>
      </c>
      <c r="B409" s="18">
        <v>78</v>
      </c>
      <c r="C409" s="18">
        <v>12</v>
      </c>
      <c r="D409" s="18">
        <v>16</v>
      </c>
      <c r="E409" s="18">
        <v>29</v>
      </c>
      <c r="F409" s="18">
        <v>12</v>
      </c>
      <c r="G409" s="18">
        <v>5</v>
      </c>
      <c r="H409" s="18">
        <v>0</v>
      </c>
      <c r="I409" s="18">
        <v>22</v>
      </c>
      <c r="J409" s="18">
        <v>117</v>
      </c>
      <c r="M409" t="s">
        <v>188</v>
      </c>
      <c r="N409" t="s">
        <v>1560</v>
      </c>
      <c r="O409" t="str">
        <f t="shared" si="16"/>
        <v>Ryan Pulock</v>
      </c>
      <c r="P409" s="18">
        <v>29</v>
      </c>
    </row>
    <row r="410" spans="1:16" ht="45" x14ac:dyDescent="0.25">
      <c r="A410" s="19" t="s">
        <v>1124</v>
      </c>
      <c r="B410" s="20">
        <v>78</v>
      </c>
      <c r="C410" s="20">
        <v>0</v>
      </c>
      <c r="D410" s="20">
        <v>16</v>
      </c>
      <c r="E410" s="20">
        <v>16</v>
      </c>
      <c r="F410" s="20">
        <v>38</v>
      </c>
      <c r="G410" s="20">
        <v>6</v>
      </c>
      <c r="H410" s="20">
        <v>0</v>
      </c>
      <c r="I410" s="20">
        <v>38</v>
      </c>
      <c r="J410" s="20">
        <v>116</v>
      </c>
      <c r="M410" t="s">
        <v>1561</v>
      </c>
      <c r="N410" t="s">
        <v>326</v>
      </c>
      <c r="O410" t="str">
        <f t="shared" si="16"/>
        <v>Yannick Weber</v>
      </c>
      <c r="P410" s="20">
        <v>16</v>
      </c>
    </row>
    <row r="411" spans="1:16" ht="30" x14ac:dyDescent="0.25">
      <c r="A411" s="17" t="s">
        <v>1125</v>
      </c>
      <c r="B411" s="18">
        <v>78</v>
      </c>
      <c r="C411" s="18">
        <v>10</v>
      </c>
      <c r="D411" s="18">
        <v>21</v>
      </c>
      <c r="E411" s="18">
        <v>31</v>
      </c>
      <c r="F411" s="18">
        <v>15</v>
      </c>
      <c r="G411" s="18">
        <v>0</v>
      </c>
      <c r="H411" s="18">
        <v>0</v>
      </c>
      <c r="I411" s="18">
        <v>30</v>
      </c>
      <c r="J411" s="18">
        <v>116</v>
      </c>
      <c r="M411" t="s">
        <v>426</v>
      </c>
      <c r="N411" t="s">
        <v>1562</v>
      </c>
      <c r="O411" t="str">
        <f t="shared" si="16"/>
        <v>Kevin Klein</v>
      </c>
      <c r="P411" s="18">
        <v>31</v>
      </c>
    </row>
    <row r="412" spans="1:16" ht="30" x14ac:dyDescent="0.25">
      <c r="A412" s="19" t="s">
        <v>1126</v>
      </c>
      <c r="B412" s="20">
        <v>78</v>
      </c>
      <c r="C412" s="20">
        <v>10</v>
      </c>
      <c r="D412" s="20">
        <v>26</v>
      </c>
      <c r="E412" s="20">
        <v>36</v>
      </c>
      <c r="F412" s="20">
        <v>-17</v>
      </c>
      <c r="G412" s="20">
        <v>4</v>
      </c>
      <c r="H412" s="20">
        <v>0</v>
      </c>
      <c r="I412" s="20">
        <v>32</v>
      </c>
      <c r="J412" s="20">
        <v>115</v>
      </c>
      <c r="M412" t="s">
        <v>1563</v>
      </c>
      <c r="N412" t="s">
        <v>1564</v>
      </c>
      <c r="O412" t="str">
        <f t="shared" si="16"/>
        <v>Morgan Rielly</v>
      </c>
      <c r="P412" s="20">
        <v>36</v>
      </c>
    </row>
    <row r="413" spans="1:16" ht="30" x14ac:dyDescent="0.25">
      <c r="A413" s="17" t="s">
        <v>1127</v>
      </c>
      <c r="B413" s="18">
        <v>78</v>
      </c>
      <c r="C413" s="18">
        <v>13</v>
      </c>
      <c r="D413" s="18">
        <v>19</v>
      </c>
      <c r="E413" s="18">
        <v>33</v>
      </c>
      <c r="F413" s="18">
        <v>-24</v>
      </c>
      <c r="G413" s="18">
        <v>5</v>
      </c>
      <c r="H413" s="18">
        <v>0</v>
      </c>
      <c r="I413" s="18">
        <v>38</v>
      </c>
      <c r="J413" s="18">
        <v>115</v>
      </c>
      <c r="M413" t="s">
        <v>436</v>
      </c>
      <c r="N413" t="s">
        <v>437</v>
      </c>
      <c r="O413" t="str">
        <f t="shared" si="16"/>
        <v>Aaron Ekblad</v>
      </c>
      <c r="P413" s="18">
        <v>33</v>
      </c>
    </row>
    <row r="414" spans="1:16" ht="30" x14ac:dyDescent="0.25">
      <c r="A414" s="19" t="s">
        <v>1128</v>
      </c>
      <c r="B414" s="20">
        <v>78</v>
      </c>
      <c r="C414" s="20">
        <v>6</v>
      </c>
      <c r="D414" s="20">
        <v>30</v>
      </c>
      <c r="E414" s="20">
        <v>37</v>
      </c>
      <c r="F414" s="20">
        <v>-26</v>
      </c>
      <c r="G414" s="20">
        <v>6</v>
      </c>
      <c r="H414" s="20">
        <v>0</v>
      </c>
      <c r="I414" s="20">
        <v>59</v>
      </c>
      <c r="J414" s="20">
        <v>115</v>
      </c>
      <c r="M414" t="s">
        <v>457</v>
      </c>
      <c r="N414" t="s">
        <v>247</v>
      </c>
      <c r="O414" t="str">
        <f t="shared" si="16"/>
        <v>Michael Stone</v>
      </c>
      <c r="P414" s="20">
        <v>37</v>
      </c>
    </row>
    <row r="415" spans="1:16" ht="45" x14ac:dyDescent="0.25">
      <c r="A415" s="17" t="s">
        <v>1129</v>
      </c>
      <c r="B415" s="18">
        <v>78</v>
      </c>
      <c r="C415" s="18">
        <v>2</v>
      </c>
      <c r="D415" s="18">
        <v>22</v>
      </c>
      <c r="E415" s="18">
        <v>24</v>
      </c>
      <c r="F415" s="18">
        <v>34</v>
      </c>
      <c r="G415" s="18">
        <v>0</v>
      </c>
      <c r="H415" s="18">
        <v>1</v>
      </c>
      <c r="I415" s="18">
        <v>32</v>
      </c>
      <c r="J415" s="18">
        <v>114</v>
      </c>
      <c r="M415" t="s">
        <v>1565</v>
      </c>
      <c r="N415" t="s">
        <v>1566</v>
      </c>
      <c r="O415" t="str">
        <f t="shared" si="16"/>
        <v>Niklas Hjalmarsson</v>
      </c>
      <c r="P415" s="18">
        <v>24</v>
      </c>
    </row>
    <row r="416" spans="1:16" ht="30" x14ac:dyDescent="0.25">
      <c r="A416" s="19" t="s">
        <v>1130</v>
      </c>
      <c r="B416" s="20">
        <v>78</v>
      </c>
      <c r="C416" s="20">
        <v>11</v>
      </c>
      <c r="D416" s="20">
        <v>18</v>
      </c>
      <c r="E416" s="20">
        <v>29</v>
      </c>
      <c r="F416" s="20">
        <v>10</v>
      </c>
      <c r="G416" s="20">
        <v>1</v>
      </c>
      <c r="H416" s="20">
        <v>0</v>
      </c>
      <c r="I416" s="20">
        <v>21</v>
      </c>
      <c r="J416" s="20">
        <v>113</v>
      </c>
      <c r="M416" t="s">
        <v>1241</v>
      </c>
      <c r="N416" t="s">
        <v>1567</v>
      </c>
      <c r="O416" t="str">
        <f t="shared" si="16"/>
        <v>Cody Ceci</v>
      </c>
      <c r="P416" s="20">
        <v>29</v>
      </c>
    </row>
    <row r="417" spans="1:16" ht="45" x14ac:dyDescent="0.25">
      <c r="A417" s="17" t="s">
        <v>1131</v>
      </c>
      <c r="B417" s="18">
        <v>78</v>
      </c>
      <c r="C417" s="18">
        <v>6</v>
      </c>
      <c r="D417" s="18">
        <v>16</v>
      </c>
      <c r="E417" s="18">
        <v>23</v>
      </c>
      <c r="F417" s="18">
        <v>30</v>
      </c>
      <c r="G417" s="18">
        <v>0</v>
      </c>
      <c r="H417" s="18">
        <v>0</v>
      </c>
      <c r="I417" s="18">
        <v>24</v>
      </c>
      <c r="J417" s="18">
        <v>111</v>
      </c>
      <c r="M417" t="s">
        <v>431</v>
      </c>
      <c r="N417" t="s">
        <v>1568</v>
      </c>
      <c r="O417" t="str">
        <f t="shared" si="16"/>
        <v>Nick Holden</v>
      </c>
      <c r="P417" s="18">
        <v>23</v>
      </c>
    </row>
    <row r="418" spans="1:16" ht="45" x14ac:dyDescent="0.25">
      <c r="A418" s="19" t="s">
        <v>1132</v>
      </c>
      <c r="B418" s="20">
        <v>78</v>
      </c>
      <c r="C418" s="20">
        <v>5</v>
      </c>
      <c r="D418" s="20">
        <v>4</v>
      </c>
      <c r="E418" s="20">
        <v>10</v>
      </c>
      <c r="F418" s="20">
        <v>39</v>
      </c>
      <c r="G418" s="20">
        <v>5</v>
      </c>
      <c r="H418" s="20">
        <v>0</v>
      </c>
      <c r="I418" s="20">
        <v>9</v>
      </c>
      <c r="J418" s="20">
        <v>111</v>
      </c>
      <c r="M418" t="s">
        <v>231</v>
      </c>
      <c r="N418" t="s">
        <v>1569</v>
      </c>
      <c r="O418" t="str">
        <f t="shared" si="16"/>
        <v>David Warsofsky</v>
      </c>
      <c r="P418" s="20">
        <v>10</v>
      </c>
    </row>
    <row r="419" spans="1:16" ht="30" x14ac:dyDescent="0.25">
      <c r="A419" s="17" t="s">
        <v>1133</v>
      </c>
      <c r="B419" s="18">
        <v>78</v>
      </c>
      <c r="C419" s="18">
        <v>0</v>
      </c>
      <c r="D419" s="18">
        <v>23</v>
      </c>
      <c r="E419" s="18">
        <v>23</v>
      </c>
      <c r="F419" s="18">
        <v>35</v>
      </c>
      <c r="G419" s="18">
        <v>0</v>
      </c>
      <c r="H419" s="18">
        <v>0</v>
      </c>
      <c r="I419" s="18">
        <v>19</v>
      </c>
      <c r="J419" s="18">
        <v>109</v>
      </c>
      <c r="M419" t="s">
        <v>1570</v>
      </c>
      <c r="N419" t="s">
        <v>1441</v>
      </c>
      <c r="O419" t="str">
        <f t="shared" si="16"/>
        <v>Derrick Pouliot</v>
      </c>
      <c r="P419" s="18">
        <v>23</v>
      </c>
    </row>
    <row r="420" spans="1:16" ht="30" x14ac:dyDescent="0.25">
      <c r="A420" s="19" t="s">
        <v>1134</v>
      </c>
      <c r="B420" s="20">
        <v>78</v>
      </c>
      <c r="C420" s="20">
        <v>6</v>
      </c>
      <c r="D420" s="20">
        <v>15</v>
      </c>
      <c r="E420" s="20">
        <v>21</v>
      </c>
      <c r="F420" s="20">
        <v>27</v>
      </c>
      <c r="G420" s="20">
        <v>0</v>
      </c>
      <c r="H420" s="20">
        <v>0</v>
      </c>
      <c r="I420" s="20">
        <v>56</v>
      </c>
      <c r="J420" s="20">
        <v>108</v>
      </c>
      <c r="M420" t="s">
        <v>1571</v>
      </c>
      <c r="N420" t="s">
        <v>414</v>
      </c>
      <c r="O420" t="str">
        <f t="shared" si="16"/>
        <v>Kevan Miller</v>
      </c>
      <c r="P420" s="20">
        <v>21</v>
      </c>
    </row>
    <row r="421" spans="1:16" ht="45" x14ac:dyDescent="0.25">
      <c r="A421" s="17" t="s">
        <v>1135</v>
      </c>
      <c r="B421" s="18">
        <v>78</v>
      </c>
      <c r="C421" s="18">
        <v>1</v>
      </c>
      <c r="D421" s="18">
        <v>18</v>
      </c>
      <c r="E421" s="18">
        <v>20</v>
      </c>
      <c r="F421" s="18">
        <v>35</v>
      </c>
      <c r="G421" s="18">
        <v>1</v>
      </c>
      <c r="H421" s="18">
        <v>0</v>
      </c>
      <c r="I421" s="18">
        <v>15</v>
      </c>
      <c r="J421" s="18">
        <v>108</v>
      </c>
      <c r="M421" t="s">
        <v>1259</v>
      </c>
      <c r="N421" t="s">
        <v>1572</v>
      </c>
      <c r="O421" t="str">
        <f t="shared" si="16"/>
        <v>Brian Dumoulin</v>
      </c>
      <c r="P421" s="18">
        <v>20</v>
      </c>
    </row>
    <row r="422" spans="1:16" ht="45" x14ac:dyDescent="0.25">
      <c r="A422" s="19" t="s">
        <v>1136</v>
      </c>
      <c r="B422" s="20">
        <v>78</v>
      </c>
      <c r="C422" s="20">
        <v>3</v>
      </c>
      <c r="D422" s="20">
        <v>31</v>
      </c>
      <c r="E422" s="20">
        <v>35</v>
      </c>
      <c r="F422" s="20">
        <v>-12</v>
      </c>
      <c r="G422" s="20">
        <v>9</v>
      </c>
      <c r="H422" s="20">
        <v>0</v>
      </c>
      <c r="I422" s="20">
        <v>41</v>
      </c>
      <c r="J422" s="20">
        <v>107</v>
      </c>
      <c r="M422" t="s">
        <v>1565</v>
      </c>
      <c r="N422" t="s">
        <v>1573</v>
      </c>
      <c r="O422" t="str">
        <f t="shared" si="16"/>
        <v>Niklas Kronwall</v>
      </c>
      <c r="P422" s="20">
        <v>35</v>
      </c>
    </row>
    <row r="423" spans="1:16" ht="45" x14ac:dyDescent="0.25">
      <c r="A423" s="17" t="s">
        <v>1137</v>
      </c>
      <c r="B423" s="18">
        <v>78</v>
      </c>
      <c r="C423" s="18">
        <v>8</v>
      </c>
      <c r="D423" s="18">
        <v>25</v>
      </c>
      <c r="E423" s="18">
        <v>33</v>
      </c>
      <c r="F423" s="18">
        <v>-17</v>
      </c>
      <c r="G423" s="18">
        <v>7</v>
      </c>
      <c r="H423" s="18">
        <v>0</v>
      </c>
      <c r="I423" s="18">
        <v>39</v>
      </c>
      <c r="J423" s="18">
        <v>107</v>
      </c>
      <c r="M423" t="s">
        <v>1407</v>
      </c>
      <c r="N423" t="s">
        <v>1574</v>
      </c>
      <c r="O423" t="str">
        <f t="shared" si="16"/>
        <v>Jake Gardiner</v>
      </c>
      <c r="P423" s="18">
        <v>33</v>
      </c>
    </row>
    <row r="424" spans="1:16" ht="30" x14ac:dyDescent="0.25">
      <c r="A424" s="19" t="s">
        <v>1138</v>
      </c>
      <c r="B424" s="20">
        <v>78</v>
      </c>
      <c r="C424" s="20">
        <v>5</v>
      </c>
      <c r="D424" s="20">
        <v>27</v>
      </c>
      <c r="E424" s="20">
        <v>32</v>
      </c>
      <c r="F424" s="20">
        <v>-14</v>
      </c>
      <c r="G424" s="20">
        <v>3</v>
      </c>
      <c r="H424" s="20">
        <v>0</v>
      </c>
      <c r="I424" s="20">
        <v>51</v>
      </c>
      <c r="J424" s="20">
        <v>106</v>
      </c>
      <c r="M424" t="s">
        <v>231</v>
      </c>
      <c r="N424" t="s">
        <v>1575</v>
      </c>
      <c r="O424" t="str">
        <f t="shared" si="16"/>
        <v>David Savard</v>
      </c>
      <c r="P424" s="20">
        <v>32</v>
      </c>
    </row>
    <row r="425" spans="1:16" ht="45" x14ac:dyDescent="0.25">
      <c r="A425" s="17" t="s">
        <v>1139</v>
      </c>
      <c r="B425" s="18">
        <v>78</v>
      </c>
      <c r="C425" s="18">
        <v>8</v>
      </c>
      <c r="D425" s="18">
        <v>30</v>
      </c>
      <c r="E425" s="18">
        <v>39</v>
      </c>
      <c r="F425" s="18">
        <v>-48</v>
      </c>
      <c r="G425" s="18">
        <v>10</v>
      </c>
      <c r="H425" s="18">
        <v>0</v>
      </c>
      <c r="I425" s="18">
        <v>36</v>
      </c>
      <c r="J425" s="18">
        <v>105</v>
      </c>
      <c r="M425" t="s">
        <v>453</v>
      </c>
      <c r="N425" t="s">
        <v>454</v>
      </c>
      <c r="O425" t="str">
        <f t="shared" si="16"/>
        <v>Rasmus Ristolainen</v>
      </c>
      <c r="P425" s="18">
        <v>39</v>
      </c>
    </row>
    <row r="426" spans="1:16" ht="30" x14ac:dyDescent="0.25">
      <c r="A426" s="19" t="s">
        <v>1140</v>
      </c>
      <c r="B426" s="20">
        <v>78</v>
      </c>
      <c r="C426" s="20">
        <v>4</v>
      </c>
      <c r="D426" s="20">
        <v>18</v>
      </c>
      <c r="E426" s="20">
        <v>23</v>
      </c>
      <c r="F426" s="20">
        <v>16</v>
      </c>
      <c r="G426" s="20">
        <v>0</v>
      </c>
      <c r="H426" s="20">
        <v>0</v>
      </c>
      <c r="I426" s="20">
        <v>35</v>
      </c>
      <c r="J426" s="20">
        <v>104</v>
      </c>
      <c r="M426" t="s">
        <v>374</v>
      </c>
      <c r="N426" t="s">
        <v>1576</v>
      </c>
      <c r="O426" t="str">
        <f t="shared" si="16"/>
        <v>Justin Braun</v>
      </c>
      <c r="P426" s="20">
        <v>23</v>
      </c>
    </row>
    <row r="427" spans="1:16" ht="30" x14ac:dyDescent="0.25">
      <c r="A427" s="17" t="s">
        <v>1141</v>
      </c>
      <c r="B427" s="18">
        <v>78</v>
      </c>
      <c r="C427" s="18">
        <v>5</v>
      </c>
      <c r="D427" s="18">
        <v>12</v>
      </c>
      <c r="E427" s="18">
        <v>18</v>
      </c>
      <c r="F427" s="18">
        <v>30</v>
      </c>
      <c r="G427" s="18">
        <v>0</v>
      </c>
      <c r="H427" s="18">
        <v>0</v>
      </c>
      <c r="I427" s="18">
        <v>63</v>
      </c>
      <c r="J427" s="18">
        <v>103</v>
      </c>
      <c r="M427" t="s">
        <v>1343</v>
      </c>
      <c r="N427" t="s">
        <v>1577</v>
      </c>
      <c r="O427" t="str">
        <f t="shared" si="16"/>
        <v>Brooks Orpik</v>
      </c>
      <c r="P427" s="18">
        <v>18</v>
      </c>
    </row>
    <row r="428" spans="1:16" ht="45" x14ac:dyDescent="0.25">
      <c r="A428" s="19" t="s">
        <v>1142</v>
      </c>
      <c r="B428" s="20">
        <v>78</v>
      </c>
      <c r="C428" s="20">
        <v>6</v>
      </c>
      <c r="D428" s="20">
        <v>17</v>
      </c>
      <c r="E428" s="20">
        <v>24</v>
      </c>
      <c r="F428" s="20">
        <v>-10</v>
      </c>
      <c r="G428" s="20">
        <v>3</v>
      </c>
      <c r="H428" s="20">
        <v>0</v>
      </c>
      <c r="I428" s="20">
        <v>102</v>
      </c>
      <c r="J428" s="20">
        <v>102</v>
      </c>
      <c r="M428" t="s">
        <v>243</v>
      </c>
      <c r="N428" t="s">
        <v>1578</v>
      </c>
      <c r="O428" t="str">
        <f t="shared" si="16"/>
        <v>Jason Demers</v>
      </c>
      <c r="P428" s="20">
        <v>24</v>
      </c>
    </row>
    <row r="429" spans="1:16" ht="30" x14ac:dyDescent="0.25">
      <c r="A429" s="17" t="s">
        <v>1143</v>
      </c>
      <c r="B429" s="18">
        <v>78</v>
      </c>
      <c r="C429" s="18">
        <v>4</v>
      </c>
      <c r="D429" s="18">
        <v>16</v>
      </c>
      <c r="E429" s="18">
        <v>21</v>
      </c>
      <c r="F429" s="18">
        <v>31</v>
      </c>
      <c r="G429" s="18">
        <v>0</v>
      </c>
      <c r="H429" s="18">
        <v>0</v>
      </c>
      <c r="I429" s="18">
        <v>28</v>
      </c>
      <c r="J429" s="18">
        <v>101</v>
      </c>
      <c r="M429" t="s">
        <v>172</v>
      </c>
      <c r="N429" t="s">
        <v>1579</v>
      </c>
      <c r="O429" t="str">
        <f t="shared" si="16"/>
        <v>Johnny Oduya</v>
      </c>
      <c r="P429" s="18">
        <v>21</v>
      </c>
    </row>
    <row r="430" spans="1:16" ht="45" x14ac:dyDescent="0.25">
      <c r="A430" s="19" t="s">
        <v>1144</v>
      </c>
      <c r="B430" s="20">
        <v>78</v>
      </c>
      <c r="C430" s="20">
        <v>12</v>
      </c>
      <c r="D430" s="20">
        <v>19</v>
      </c>
      <c r="E430" s="20">
        <v>32</v>
      </c>
      <c r="F430" s="20">
        <v>-26</v>
      </c>
      <c r="G430" s="20">
        <v>8</v>
      </c>
      <c r="H430" s="20">
        <v>1</v>
      </c>
      <c r="I430" s="20">
        <v>24</v>
      </c>
      <c r="J430" s="20">
        <v>101</v>
      </c>
      <c r="M430" t="s">
        <v>1281</v>
      </c>
      <c r="N430" t="s">
        <v>1580</v>
      </c>
      <c r="O430" t="str">
        <f t="shared" si="16"/>
        <v>Jared Spurgeon</v>
      </c>
      <c r="P430" s="20">
        <v>32</v>
      </c>
    </row>
    <row r="431" spans="1:16" ht="30" x14ac:dyDescent="0.25">
      <c r="A431" s="17" t="s">
        <v>1145</v>
      </c>
      <c r="B431" s="18">
        <v>78</v>
      </c>
      <c r="C431" s="18">
        <v>0</v>
      </c>
      <c r="D431" s="18">
        <v>12</v>
      </c>
      <c r="E431" s="18">
        <v>13</v>
      </c>
      <c r="F431" s="18">
        <v>34</v>
      </c>
      <c r="G431" s="18">
        <v>0</v>
      </c>
      <c r="H431" s="18">
        <v>0</v>
      </c>
      <c r="I431" s="18">
        <v>74</v>
      </c>
      <c r="J431" s="18">
        <v>100</v>
      </c>
      <c r="M431" t="s">
        <v>1581</v>
      </c>
      <c r="N431" t="s">
        <v>1582</v>
      </c>
      <c r="O431" t="str">
        <f t="shared" si="16"/>
        <v>Ian Cole</v>
      </c>
      <c r="P431" s="18">
        <v>13</v>
      </c>
    </row>
    <row r="432" spans="1:16" ht="45" x14ac:dyDescent="0.25">
      <c r="A432" s="19" t="s">
        <v>1146</v>
      </c>
      <c r="B432" s="20">
        <v>78</v>
      </c>
      <c r="C432" s="20">
        <v>6</v>
      </c>
      <c r="D432" s="20">
        <v>12</v>
      </c>
      <c r="E432" s="20">
        <v>19</v>
      </c>
      <c r="F432" s="20">
        <v>20</v>
      </c>
      <c r="G432" s="20">
        <v>1</v>
      </c>
      <c r="H432" s="20">
        <v>0</v>
      </c>
      <c r="I432" s="20">
        <v>26</v>
      </c>
      <c r="J432" s="20">
        <v>99</v>
      </c>
      <c r="M432" t="s">
        <v>243</v>
      </c>
      <c r="N432" t="s">
        <v>1583</v>
      </c>
      <c r="O432" t="str">
        <f t="shared" si="16"/>
        <v>Jason Garrison</v>
      </c>
      <c r="P432" s="20">
        <v>19</v>
      </c>
    </row>
    <row r="433" spans="1:17" ht="45" x14ac:dyDescent="0.25">
      <c r="A433" s="17" t="s">
        <v>1147</v>
      </c>
      <c r="B433" s="18">
        <v>78</v>
      </c>
      <c r="C433" s="18">
        <v>6</v>
      </c>
      <c r="D433" s="18">
        <v>18</v>
      </c>
      <c r="E433" s="18">
        <v>24</v>
      </c>
      <c r="F433" s="18">
        <v>-4</v>
      </c>
      <c r="G433" s="18">
        <v>0</v>
      </c>
      <c r="H433" s="18">
        <v>0</v>
      </c>
      <c r="I433" s="18">
        <v>49</v>
      </c>
      <c r="J433" s="18">
        <v>95</v>
      </c>
      <c r="M433" t="s">
        <v>424</v>
      </c>
      <c r="N433" t="s">
        <v>1584</v>
      </c>
      <c r="O433" t="str">
        <f t="shared" si="16"/>
        <v>Travis Hamonic</v>
      </c>
      <c r="P433" s="18">
        <v>24</v>
      </c>
    </row>
    <row r="434" spans="1:17" ht="45" x14ac:dyDescent="0.25">
      <c r="A434" s="19" t="s">
        <v>1148</v>
      </c>
      <c r="B434" s="20">
        <v>78</v>
      </c>
      <c r="C434" s="20">
        <v>1</v>
      </c>
      <c r="D434" s="20">
        <v>18</v>
      </c>
      <c r="E434" s="20">
        <v>19</v>
      </c>
      <c r="F434" s="20">
        <v>23</v>
      </c>
      <c r="G434" s="20">
        <v>1</v>
      </c>
      <c r="H434" s="20">
        <v>0</v>
      </c>
      <c r="I434" s="20">
        <v>51</v>
      </c>
      <c r="J434" s="20">
        <v>95</v>
      </c>
      <c r="M434" t="s">
        <v>1585</v>
      </c>
      <c r="N434" t="s">
        <v>1586</v>
      </c>
      <c r="O434" t="str">
        <f t="shared" si="16"/>
        <v>Michal Rozsival</v>
      </c>
      <c r="P434" s="20">
        <v>19</v>
      </c>
    </row>
    <row r="435" spans="1:17" ht="30" x14ac:dyDescent="0.25">
      <c r="A435" s="17" t="s">
        <v>1149</v>
      </c>
      <c r="B435" s="18">
        <v>78</v>
      </c>
      <c r="C435" s="18">
        <v>4</v>
      </c>
      <c r="D435" s="18">
        <v>18</v>
      </c>
      <c r="E435" s="18">
        <v>23</v>
      </c>
      <c r="F435" s="18">
        <v>18</v>
      </c>
      <c r="G435" s="18">
        <v>0</v>
      </c>
      <c r="H435" s="18">
        <v>0</v>
      </c>
      <c r="I435" s="18">
        <v>38</v>
      </c>
      <c r="J435" s="18">
        <v>94</v>
      </c>
      <c r="M435" t="s">
        <v>1587</v>
      </c>
      <c r="N435" t="s">
        <v>1588</v>
      </c>
      <c r="O435" t="str">
        <f t="shared" si="16"/>
        <v>Andrej Sustr</v>
      </c>
      <c r="P435" s="18">
        <v>23</v>
      </c>
    </row>
    <row r="436" spans="1:17" ht="45" x14ac:dyDescent="0.25">
      <c r="A436" s="19" t="s">
        <v>1150</v>
      </c>
      <c r="B436" s="20">
        <v>78</v>
      </c>
      <c r="C436" s="20">
        <v>6</v>
      </c>
      <c r="D436" s="20">
        <v>15</v>
      </c>
      <c r="E436" s="20">
        <v>22</v>
      </c>
      <c r="F436" s="20">
        <v>-4</v>
      </c>
      <c r="G436" s="20">
        <v>2</v>
      </c>
      <c r="H436" s="20">
        <v>1</v>
      </c>
      <c r="I436" s="20">
        <v>58</v>
      </c>
      <c r="J436" s="20">
        <v>94</v>
      </c>
      <c r="M436" t="s">
        <v>1327</v>
      </c>
      <c r="N436" t="s">
        <v>1589</v>
      </c>
      <c r="O436" t="str">
        <f t="shared" si="16"/>
        <v>Jacob Trouba</v>
      </c>
      <c r="P436" s="20">
        <v>22</v>
      </c>
    </row>
    <row r="437" spans="1:17" ht="30" x14ac:dyDescent="0.25">
      <c r="A437" s="17" t="s">
        <v>1151</v>
      </c>
      <c r="B437" s="18">
        <v>78</v>
      </c>
      <c r="C437" s="18">
        <v>5</v>
      </c>
      <c r="D437" s="18">
        <v>9</v>
      </c>
      <c r="E437" s="18">
        <v>15</v>
      </c>
      <c r="F437" s="18">
        <v>-5</v>
      </c>
      <c r="G437" s="18">
        <v>0</v>
      </c>
      <c r="H437" s="18">
        <v>0</v>
      </c>
      <c r="I437" s="18">
        <v>127</v>
      </c>
      <c r="J437" s="18">
        <v>94</v>
      </c>
      <c r="M437" t="s">
        <v>1590</v>
      </c>
      <c r="N437" t="s">
        <v>1591</v>
      </c>
      <c r="O437" t="str">
        <f t="shared" si="16"/>
        <v>Radko Gudas</v>
      </c>
      <c r="P437" s="18">
        <v>15</v>
      </c>
    </row>
    <row r="438" spans="1:17" ht="45" x14ac:dyDescent="0.25">
      <c r="A438" s="19" t="s">
        <v>1152</v>
      </c>
      <c r="B438" s="20">
        <v>78</v>
      </c>
      <c r="C438" s="20">
        <v>2</v>
      </c>
      <c r="D438" s="20">
        <v>18</v>
      </c>
      <c r="E438" s="20">
        <v>21</v>
      </c>
      <c r="F438" s="20">
        <v>12</v>
      </c>
      <c r="G438" s="20">
        <v>0</v>
      </c>
      <c r="H438" s="20">
        <v>0</v>
      </c>
      <c r="I438" s="20">
        <v>38</v>
      </c>
      <c r="J438" s="20">
        <v>92</v>
      </c>
      <c r="M438" t="s">
        <v>1270</v>
      </c>
      <c r="N438" t="s">
        <v>1592</v>
      </c>
      <c r="O438" t="str">
        <f t="shared" si="16"/>
        <v>Jay Bouwmeester</v>
      </c>
      <c r="P438" s="20">
        <v>21</v>
      </c>
    </row>
    <row r="439" spans="1:17" ht="45" x14ac:dyDescent="0.25">
      <c r="A439" s="17" t="s">
        <v>1153</v>
      </c>
      <c r="B439" s="18">
        <v>78</v>
      </c>
      <c r="C439" s="18">
        <v>8</v>
      </c>
      <c r="D439" s="18">
        <v>9</v>
      </c>
      <c r="E439" s="18">
        <v>17</v>
      </c>
      <c r="F439" s="18">
        <v>12</v>
      </c>
      <c r="G439" s="18">
        <v>1</v>
      </c>
      <c r="H439" s="18">
        <v>0</v>
      </c>
      <c r="I439" s="18">
        <v>43</v>
      </c>
      <c r="J439" s="18">
        <v>91</v>
      </c>
      <c r="M439" t="s">
        <v>419</v>
      </c>
      <c r="N439" t="s">
        <v>1593</v>
      </c>
      <c r="O439" t="str">
        <f t="shared" si="16"/>
        <v>Chris Wideman</v>
      </c>
      <c r="P439" s="18">
        <v>17</v>
      </c>
    </row>
    <row r="440" spans="1:17" ht="30" x14ac:dyDescent="0.25">
      <c r="A440" s="19" t="s">
        <v>1154</v>
      </c>
      <c r="B440" s="20">
        <v>78</v>
      </c>
      <c r="C440" s="20">
        <v>3</v>
      </c>
      <c r="D440" s="20">
        <v>29</v>
      </c>
      <c r="E440" s="20">
        <v>32</v>
      </c>
      <c r="F440" s="20">
        <v>-31</v>
      </c>
      <c r="G440" s="20">
        <v>7</v>
      </c>
      <c r="H440" s="20">
        <v>0</v>
      </c>
      <c r="I440" s="20">
        <v>23</v>
      </c>
      <c r="J440" s="20">
        <v>90</v>
      </c>
      <c r="M440" t="s">
        <v>1246</v>
      </c>
      <c r="N440" t="s">
        <v>1594</v>
      </c>
      <c r="O440" t="str">
        <f t="shared" si="16"/>
        <v>Seth Jones</v>
      </c>
      <c r="P440" s="20">
        <v>32</v>
      </c>
    </row>
    <row r="441" spans="1:17" ht="45" x14ac:dyDescent="0.25">
      <c r="A441" s="17" t="s">
        <v>1155</v>
      </c>
      <c r="B441" s="18">
        <v>78</v>
      </c>
      <c r="C441" s="18">
        <v>6</v>
      </c>
      <c r="D441" s="18">
        <v>24</v>
      </c>
      <c r="E441" s="18">
        <v>30</v>
      </c>
      <c r="F441" s="18">
        <v>-25</v>
      </c>
      <c r="G441" s="18">
        <v>8</v>
      </c>
      <c r="H441" s="18">
        <v>0</v>
      </c>
      <c r="I441" s="18">
        <v>12</v>
      </c>
      <c r="J441" s="18">
        <v>89</v>
      </c>
      <c r="M441" t="s">
        <v>1587</v>
      </c>
      <c r="N441" t="s">
        <v>1595</v>
      </c>
      <c r="O441" t="str">
        <f t="shared" si="16"/>
        <v>Andrej Sekera</v>
      </c>
      <c r="P441" s="18">
        <v>30</v>
      </c>
    </row>
    <row r="442" spans="1:17" ht="30" x14ac:dyDescent="0.25">
      <c r="A442" s="19" t="s">
        <v>1156</v>
      </c>
      <c r="B442" s="20">
        <v>78</v>
      </c>
      <c r="C442" s="20">
        <v>8</v>
      </c>
      <c r="D442" s="20">
        <v>16</v>
      </c>
      <c r="E442" s="20">
        <v>24</v>
      </c>
      <c r="F442" s="20">
        <v>1</v>
      </c>
      <c r="G442" s="20">
        <v>1</v>
      </c>
      <c r="H442" s="20">
        <v>0</v>
      </c>
      <c r="I442" s="20">
        <v>47</v>
      </c>
      <c r="J442" s="20">
        <v>88</v>
      </c>
      <c r="M442" t="s">
        <v>376</v>
      </c>
      <c r="N442" t="s">
        <v>1596</v>
      </c>
      <c r="O442" t="str">
        <f t="shared" si="16"/>
        <v>Thomas Hickey</v>
      </c>
      <c r="P442" s="20">
        <v>24</v>
      </c>
    </row>
    <row r="443" spans="1:17" ht="45" x14ac:dyDescent="0.25">
      <c r="A443" s="17" t="s">
        <v>1157</v>
      </c>
      <c r="B443" s="18">
        <v>78</v>
      </c>
      <c r="C443" s="18">
        <v>9</v>
      </c>
      <c r="D443" s="18">
        <v>15</v>
      </c>
      <c r="E443" s="18">
        <v>24</v>
      </c>
      <c r="F443" s="18">
        <v>-28</v>
      </c>
      <c r="G443" s="18">
        <v>6</v>
      </c>
      <c r="H443" s="18">
        <v>0</v>
      </c>
      <c r="I443" s="18">
        <v>55</v>
      </c>
      <c r="J443" s="18">
        <v>86</v>
      </c>
      <c r="M443" t="s">
        <v>245</v>
      </c>
      <c r="N443" t="s">
        <v>1597</v>
      </c>
      <c r="O443" t="str">
        <f t="shared" si="16"/>
        <v>Matt Dumba</v>
      </c>
      <c r="P443" s="18">
        <v>24</v>
      </c>
    </row>
    <row r="444" spans="1:17" ht="45" x14ac:dyDescent="0.25">
      <c r="A444" s="19" t="s">
        <v>1158</v>
      </c>
      <c r="B444" s="20">
        <v>78</v>
      </c>
      <c r="C444" s="20">
        <v>4</v>
      </c>
      <c r="D444" s="20">
        <v>10</v>
      </c>
      <c r="E444" s="20">
        <v>14</v>
      </c>
      <c r="F444" s="20">
        <v>22</v>
      </c>
      <c r="G444" s="20">
        <v>0</v>
      </c>
      <c r="H444" s="20">
        <v>0</v>
      </c>
      <c r="I444" s="20">
        <v>33</v>
      </c>
      <c r="J444" s="20">
        <v>86</v>
      </c>
      <c r="M444" t="s">
        <v>1292</v>
      </c>
      <c r="N444" t="s">
        <v>1434</v>
      </c>
      <c r="O444" t="str">
        <f t="shared" si="16"/>
        <v>Trevor van</v>
      </c>
      <c r="P444" s="20">
        <v>14</v>
      </c>
      <c r="Q444" t="s">
        <v>1227</v>
      </c>
    </row>
    <row r="445" spans="1:17" ht="45" x14ac:dyDescent="0.25">
      <c r="A445" s="17" t="s">
        <v>1159</v>
      </c>
      <c r="B445" s="18">
        <v>78</v>
      </c>
      <c r="C445" s="18">
        <v>4</v>
      </c>
      <c r="D445" s="18">
        <v>10</v>
      </c>
      <c r="E445" s="18">
        <v>14</v>
      </c>
      <c r="F445" s="18">
        <v>15</v>
      </c>
      <c r="G445" s="18">
        <v>0</v>
      </c>
      <c r="H445" s="18">
        <v>0</v>
      </c>
      <c r="I445" s="18">
        <v>43</v>
      </c>
      <c r="J445" s="18">
        <v>86</v>
      </c>
      <c r="M445" t="s">
        <v>353</v>
      </c>
      <c r="N445" t="s">
        <v>1598</v>
      </c>
      <c r="O445" t="str">
        <f t="shared" si="16"/>
        <v>Zach Trotman</v>
      </c>
      <c r="P445" s="18">
        <v>14</v>
      </c>
    </row>
    <row r="446" spans="1:17" ht="30" x14ac:dyDescent="0.25">
      <c r="A446" s="19" t="s">
        <v>1160</v>
      </c>
      <c r="B446" s="20">
        <v>78</v>
      </c>
      <c r="C446" s="20">
        <v>3</v>
      </c>
      <c r="D446" s="20">
        <v>11</v>
      </c>
      <c r="E446" s="20">
        <v>14</v>
      </c>
      <c r="F446" s="20">
        <v>25</v>
      </c>
      <c r="G446" s="20">
        <v>0</v>
      </c>
      <c r="H446" s="20">
        <v>0</v>
      </c>
      <c r="I446" s="20">
        <v>34</v>
      </c>
      <c r="J446" s="20">
        <v>85</v>
      </c>
      <c r="M446" t="s">
        <v>1599</v>
      </c>
      <c r="N446" t="s">
        <v>159</v>
      </c>
      <c r="O446" t="str">
        <f t="shared" si="16"/>
        <v>Jordie Benn</v>
      </c>
      <c r="P446" s="20">
        <v>14</v>
      </c>
    </row>
    <row r="447" spans="1:17" ht="45" x14ac:dyDescent="0.25">
      <c r="A447" s="17" t="s">
        <v>1161</v>
      </c>
      <c r="B447" s="18">
        <v>78</v>
      </c>
      <c r="C447" s="18">
        <v>1</v>
      </c>
      <c r="D447" s="18">
        <v>28</v>
      </c>
      <c r="E447" s="18">
        <v>30</v>
      </c>
      <c r="F447" s="18">
        <v>-13</v>
      </c>
      <c r="G447" s="18">
        <v>5</v>
      </c>
      <c r="H447" s="18">
        <v>0</v>
      </c>
      <c r="I447" s="18">
        <v>16</v>
      </c>
      <c r="J447" s="18">
        <v>84</v>
      </c>
      <c r="M447" t="s">
        <v>1600</v>
      </c>
      <c r="N447" t="s">
        <v>1601</v>
      </c>
      <c r="O447" t="str">
        <f t="shared" si="16"/>
        <v>Ben Hutton</v>
      </c>
      <c r="P447" s="18">
        <v>30</v>
      </c>
    </row>
    <row r="448" spans="1:17" ht="30" x14ac:dyDescent="0.25">
      <c r="A448" s="19" t="s">
        <v>1162</v>
      </c>
      <c r="B448" s="20">
        <v>78</v>
      </c>
      <c r="C448" s="20">
        <v>3</v>
      </c>
      <c r="D448" s="20">
        <v>16</v>
      </c>
      <c r="E448" s="20">
        <v>20</v>
      </c>
      <c r="F448" s="20">
        <v>-5</v>
      </c>
      <c r="G448" s="20">
        <v>0</v>
      </c>
      <c r="H448" s="20">
        <v>0</v>
      </c>
      <c r="I448" s="20">
        <v>80</v>
      </c>
      <c r="J448" s="20">
        <v>81</v>
      </c>
      <c r="M448" t="s">
        <v>312</v>
      </c>
      <c r="N448" t="s">
        <v>429</v>
      </c>
      <c r="O448" t="str">
        <f t="shared" si="16"/>
        <v>Brendan Smith</v>
      </c>
      <c r="P448" s="20">
        <v>20</v>
      </c>
    </row>
    <row r="449" spans="1:16" ht="45" x14ac:dyDescent="0.25">
      <c r="A449" s="17" t="s">
        <v>1163</v>
      </c>
      <c r="B449" s="18">
        <v>78</v>
      </c>
      <c r="C449" s="18">
        <v>0</v>
      </c>
      <c r="D449" s="18">
        <v>11</v>
      </c>
      <c r="E449" s="18">
        <v>11</v>
      </c>
      <c r="F449" s="18">
        <v>20</v>
      </c>
      <c r="G449" s="18">
        <v>0</v>
      </c>
      <c r="H449" s="18">
        <v>0</v>
      </c>
      <c r="I449" s="18">
        <v>103</v>
      </c>
      <c r="J449" s="18">
        <v>81</v>
      </c>
      <c r="M449" t="s">
        <v>339</v>
      </c>
      <c r="N449" t="s">
        <v>1602</v>
      </c>
      <c r="O449" t="str">
        <f t="shared" si="16"/>
        <v>Adam McQuaid</v>
      </c>
      <c r="P449" s="18">
        <v>11</v>
      </c>
    </row>
    <row r="450" spans="1:16" ht="45" x14ac:dyDescent="0.25">
      <c r="A450" s="19" t="s">
        <v>1164</v>
      </c>
      <c r="B450" s="20">
        <v>78</v>
      </c>
      <c r="C450" s="20">
        <v>6</v>
      </c>
      <c r="D450" s="20">
        <v>9</v>
      </c>
      <c r="E450" s="20">
        <v>15</v>
      </c>
      <c r="F450" s="20">
        <v>15</v>
      </c>
      <c r="G450" s="20">
        <v>0</v>
      </c>
      <c r="H450" s="20">
        <v>0</v>
      </c>
      <c r="I450" s="20">
        <v>41</v>
      </c>
      <c r="J450" s="20">
        <v>80</v>
      </c>
      <c r="M450" t="s">
        <v>1603</v>
      </c>
      <c r="N450" t="s">
        <v>1604</v>
      </c>
      <c r="O450" t="str">
        <f t="shared" ref="O450:O511" si="17">M450&amp;" "&amp;N450</f>
        <v>Marc Methot</v>
      </c>
      <c r="P450" s="20">
        <v>15</v>
      </c>
    </row>
    <row r="451" spans="1:16" ht="30" x14ac:dyDescent="0.25">
      <c r="A451" s="17" t="s">
        <v>1165</v>
      </c>
      <c r="B451" s="18">
        <v>78</v>
      </c>
      <c r="C451" s="18">
        <v>1</v>
      </c>
      <c r="D451" s="18">
        <v>11</v>
      </c>
      <c r="E451" s="18">
        <v>13</v>
      </c>
      <c r="F451" s="18">
        <v>6</v>
      </c>
      <c r="G451" s="18">
        <v>0</v>
      </c>
      <c r="H451" s="18">
        <v>0</v>
      </c>
      <c r="I451" s="18">
        <v>89</v>
      </c>
      <c r="J451" s="18">
        <v>80</v>
      </c>
      <c r="M451" t="s">
        <v>288</v>
      </c>
      <c r="N451" t="s">
        <v>1605</v>
      </c>
      <c r="O451" t="str">
        <f t="shared" si="17"/>
        <v>Brayden McNabb</v>
      </c>
      <c r="P451" s="18">
        <v>13</v>
      </c>
    </row>
    <row r="452" spans="1:16" ht="45" x14ac:dyDescent="0.25">
      <c r="A452" s="19" t="s">
        <v>1166</v>
      </c>
      <c r="B452" s="20">
        <v>78</v>
      </c>
      <c r="C452" s="20">
        <v>3</v>
      </c>
      <c r="D452" s="20">
        <v>19</v>
      </c>
      <c r="E452" s="20">
        <v>22</v>
      </c>
      <c r="F452" s="20">
        <v>-7</v>
      </c>
      <c r="G452" s="20">
        <v>0</v>
      </c>
      <c r="H452" s="20">
        <v>0</v>
      </c>
      <c r="I452" s="20">
        <v>100</v>
      </c>
      <c r="J452" s="20">
        <v>79</v>
      </c>
      <c r="M452" t="s">
        <v>233</v>
      </c>
      <c r="N452" t="s">
        <v>1606</v>
      </c>
      <c r="O452" t="str">
        <f t="shared" si="17"/>
        <v>Alex Petrovic</v>
      </c>
      <c r="P452" s="20">
        <v>22</v>
      </c>
    </row>
    <row r="453" spans="1:16" ht="45" x14ac:dyDescent="0.25">
      <c r="A453" s="17" t="s">
        <v>1167</v>
      </c>
      <c r="B453" s="18">
        <v>78</v>
      </c>
      <c r="C453" s="18">
        <v>7</v>
      </c>
      <c r="D453" s="18">
        <v>14</v>
      </c>
      <c r="E453" s="18">
        <v>22</v>
      </c>
      <c r="F453" s="18">
        <v>-1</v>
      </c>
      <c r="G453" s="18">
        <v>0</v>
      </c>
      <c r="H453" s="18">
        <v>0</v>
      </c>
      <c r="I453" s="18">
        <v>44</v>
      </c>
      <c r="J453" s="18">
        <v>78</v>
      </c>
      <c r="M453" t="s">
        <v>1607</v>
      </c>
      <c r="N453" t="s">
        <v>1608</v>
      </c>
      <c r="O453" t="str">
        <f t="shared" si="17"/>
        <v>Danny DeKeyser</v>
      </c>
      <c r="P453" s="18">
        <v>22</v>
      </c>
    </row>
    <row r="454" spans="1:16" ht="30" x14ac:dyDescent="0.25">
      <c r="A454" s="19" t="s">
        <v>1168</v>
      </c>
      <c r="B454" s="20">
        <v>78</v>
      </c>
      <c r="C454" s="20">
        <v>0</v>
      </c>
      <c r="D454" s="20">
        <v>10</v>
      </c>
      <c r="E454" s="20">
        <v>11</v>
      </c>
      <c r="F454" s="20">
        <v>21</v>
      </c>
      <c r="G454" s="20">
        <v>0</v>
      </c>
      <c r="H454" s="20">
        <v>0</v>
      </c>
      <c r="I454" s="20">
        <v>52</v>
      </c>
      <c r="J454" s="20">
        <v>77</v>
      </c>
      <c r="M454" t="s">
        <v>1609</v>
      </c>
      <c r="N454" t="s">
        <v>1610</v>
      </c>
      <c r="O454" t="str">
        <f t="shared" si="17"/>
        <v>Braydon Coburn</v>
      </c>
      <c r="P454" s="20">
        <v>11</v>
      </c>
    </row>
    <row r="455" spans="1:16" ht="45" x14ac:dyDescent="0.25">
      <c r="A455" s="17" t="s">
        <v>1169</v>
      </c>
      <c r="B455" s="18">
        <v>78</v>
      </c>
      <c r="C455" s="18">
        <v>2</v>
      </c>
      <c r="D455" s="18">
        <v>16</v>
      </c>
      <c r="E455" s="18">
        <v>18</v>
      </c>
      <c r="F455" s="18">
        <v>14</v>
      </c>
      <c r="G455" s="18">
        <v>0</v>
      </c>
      <c r="H455" s="18">
        <v>0</v>
      </c>
      <c r="I455" s="18">
        <v>24</v>
      </c>
      <c r="J455" s="18">
        <v>77</v>
      </c>
      <c r="M455" t="s">
        <v>1536</v>
      </c>
      <c r="N455" t="s">
        <v>1611</v>
      </c>
      <c r="O455" t="str">
        <f t="shared" si="17"/>
        <v>Dan Girardi</v>
      </c>
      <c r="P455" s="18">
        <v>18</v>
      </c>
    </row>
    <row r="456" spans="1:16" ht="45" x14ac:dyDescent="0.25">
      <c r="A456" s="19" t="s">
        <v>1170</v>
      </c>
      <c r="B456" s="20">
        <v>78</v>
      </c>
      <c r="C456" s="20">
        <v>5</v>
      </c>
      <c r="D456" s="20">
        <v>16</v>
      </c>
      <c r="E456" s="20">
        <v>21</v>
      </c>
      <c r="F456" s="20">
        <v>4</v>
      </c>
      <c r="G456" s="20">
        <v>2</v>
      </c>
      <c r="H456" s="20">
        <v>0</v>
      </c>
      <c r="I456" s="20">
        <v>20</v>
      </c>
      <c r="J456" s="20">
        <v>76</v>
      </c>
      <c r="M456" t="s">
        <v>310</v>
      </c>
      <c r="N456" t="s">
        <v>1612</v>
      </c>
      <c r="O456" t="str">
        <f t="shared" si="17"/>
        <v>Andrew MacDonald</v>
      </c>
      <c r="P456" s="20">
        <v>21</v>
      </c>
    </row>
    <row r="457" spans="1:16" ht="30" x14ac:dyDescent="0.25">
      <c r="A457" s="17" t="s">
        <v>1171</v>
      </c>
      <c r="B457" s="18">
        <v>78</v>
      </c>
      <c r="C457" s="18">
        <v>2</v>
      </c>
      <c r="D457" s="18">
        <v>17</v>
      </c>
      <c r="E457" s="18">
        <v>19</v>
      </c>
      <c r="F457" s="18">
        <v>14</v>
      </c>
      <c r="G457" s="18">
        <v>1</v>
      </c>
      <c r="H457" s="18">
        <v>0</v>
      </c>
      <c r="I457" s="18">
        <v>24</v>
      </c>
      <c r="J457" s="18">
        <v>76</v>
      </c>
      <c r="M457" t="s">
        <v>341</v>
      </c>
      <c r="N457" t="s">
        <v>367</v>
      </c>
      <c r="O457" t="str">
        <f t="shared" si="17"/>
        <v>Paul Martin</v>
      </c>
      <c r="P457" s="18">
        <v>19</v>
      </c>
    </row>
    <row r="458" spans="1:16" ht="45" x14ac:dyDescent="0.25">
      <c r="A458" s="19" t="s">
        <v>1172</v>
      </c>
      <c r="B458" s="20">
        <v>78</v>
      </c>
      <c r="C458" s="20">
        <v>1</v>
      </c>
      <c r="D458" s="20">
        <v>10</v>
      </c>
      <c r="E458" s="20">
        <v>12</v>
      </c>
      <c r="F458" s="20">
        <v>4</v>
      </c>
      <c r="G458" s="20">
        <v>0</v>
      </c>
      <c r="H458" s="20">
        <v>0</v>
      </c>
      <c r="I458" s="20">
        <v>95</v>
      </c>
      <c r="J458" s="20">
        <v>76</v>
      </c>
      <c r="M458" t="s">
        <v>303</v>
      </c>
      <c r="N458" t="s">
        <v>1613</v>
      </c>
      <c r="O458" t="str">
        <f t="shared" si="17"/>
        <v>Brandon Manning</v>
      </c>
      <c r="P458" s="20">
        <v>12</v>
      </c>
    </row>
    <row r="459" spans="1:16" ht="30" x14ac:dyDescent="0.25">
      <c r="A459" s="17" t="s">
        <v>1173</v>
      </c>
      <c r="B459" s="18">
        <v>78</v>
      </c>
      <c r="C459" s="18">
        <v>4</v>
      </c>
      <c r="D459" s="18">
        <v>20</v>
      </c>
      <c r="E459" s="18">
        <v>24</v>
      </c>
      <c r="F459" s="18">
        <v>-17</v>
      </c>
      <c r="G459" s="18">
        <v>6</v>
      </c>
      <c r="H459" s="18">
        <v>0</v>
      </c>
      <c r="I459" s="18">
        <v>37</v>
      </c>
      <c r="J459" s="18">
        <v>76</v>
      </c>
      <c r="M459" t="s">
        <v>188</v>
      </c>
      <c r="N459" t="s">
        <v>1614</v>
      </c>
      <c r="O459" t="str">
        <f t="shared" si="17"/>
        <v>Ryan Murray</v>
      </c>
      <c r="P459" s="18">
        <v>24</v>
      </c>
    </row>
    <row r="460" spans="1:16" ht="45" x14ac:dyDescent="0.25">
      <c r="A460" s="19" t="s">
        <v>1174</v>
      </c>
      <c r="B460" s="20">
        <v>78</v>
      </c>
      <c r="C460" s="20">
        <v>0</v>
      </c>
      <c r="D460" s="20">
        <v>13</v>
      </c>
      <c r="E460" s="20">
        <v>13</v>
      </c>
      <c r="F460" s="20">
        <v>7</v>
      </c>
      <c r="G460" s="20">
        <v>0</v>
      </c>
      <c r="H460" s="20">
        <v>0</v>
      </c>
      <c r="I460" s="20">
        <v>89</v>
      </c>
      <c r="J460" s="20">
        <v>74</v>
      </c>
      <c r="M460" t="s">
        <v>1615</v>
      </c>
      <c r="N460" t="s">
        <v>1616</v>
      </c>
      <c r="O460" t="str">
        <f t="shared" si="17"/>
        <v>Alexei Emelin</v>
      </c>
      <c r="P460" s="20">
        <v>13</v>
      </c>
    </row>
    <row r="461" spans="1:16" ht="30" x14ac:dyDescent="0.25">
      <c r="A461" s="17" t="s">
        <v>1175</v>
      </c>
      <c r="B461" s="18">
        <v>78</v>
      </c>
      <c r="C461" s="18">
        <v>2</v>
      </c>
      <c r="D461" s="18">
        <v>15</v>
      </c>
      <c r="E461" s="18">
        <v>17</v>
      </c>
      <c r="F461" s="18">
        <v>10</v>
      </c>
      <c r="G461" s="18">
        <v>0</v>
      </c>
      <c r="H461" s="18">
        <v>0</v>
      </c>
      <c r="I461" s="18">
        <v>43</v>
      </c>
      <c r="J461" s="18">
        <v>74</v>
      </c>
      <c r="M461" t="s">
        <v>1603</v>
      </c>
      <c r="N461" t="s">
        <v>373</v>
      </c>
      <c r="O461" t="str">
        <f t="shared" si="17"/>
        <v>Marc Staal</v>
      </c>
      <c r="P461" s="18">
        <v>17</v>
      </c>
    </row>
    <row r="462" spans="1:16" ht="45" x14ac:dyDescent="0.25">
      <c r="A462" s="19" t="s">
        <v>1176</v>
      </c>
      <c r="B462" s="20">
        <v>78</v>
      </c>
      <c r="C462" s="20">
        <v>6</v>
      </c>
      <c r="D462" s="20">
        <v>16</v>
      </c>
      <c r="E462" s="20">
        <v>23</v>
      </c>
      <c r="F462" s="20">
        <v>-23</v>
      </c>
      <c r="G462" s="20">
        <v>2</v>
      </c>
      <c r="H462" s="20">
        <v>0</v>
      </c>
      <c r="I462" s="20">
        <v>37</v>
      </c>
      <c r="J462" s="20">
        <v>73</v>
      </c>
      <c r="M462" t="s">
        <v>1617</v>
      </c>
      <c r="N462" t="s">
        <v>1618</v>
      </c>
      <c r="O462" t="str">
        <f t="shared" si="17"/>
        <v>Marco Scandella</v>
      </c>
      <c r="P462" s="20">
        <v>23</v>
      </c>
    </row>
    <row r="463" spans="1:16" ht="30" x14ac:dyDescent="0.25">
      <c r="A463" s="17" t="s">
        <v>1177</v>
      </c>
      <c r="B463" s="18">
        <v>78</v>
      </c>
      <c r="C463" s="18">
        <v>1</v>
      </c>
      <c r="D463" s="18">
        <v>9</v>
      </c>
      <c r="E463" s="18">
        <v>10</v>
      </c>
      <c r="F463" s="18">
        <v>11</v>
      </c>
      <c r="G463" s="18">
        <v>0</v>
      </c>
      <c r="H463" s="18">
        <v>0</v>
      </c>
      <c r="I463" s="18">
        <v>63</v>
      </c>
      <c r="J463" s="18">
        <v>72</v>
      </c>
      <c r="M463" t="s">
        <v>1619</v>
      </c>
      <c r="N463" t="s">
        <v>1620</v>
      </c>
      <c r="O463" t="str">
        <f t="shared" si="17"/>
        <v>Brenden Dillon</v>
      </c>
      <c r="P463" s="18">
        <v>10</v>
      </c>
    </row>
    <row r="464" spans="1:16" ht="45" x14ac:dyDescent="0.25">
      <c r="A464" s="19" t="s">
        <v>1178</v>
      </c>
      <c r="B464" s="20">
        <v>78</v>
      </c>
      <c r="C464" s="20">
        <v>3</v>
      </c>
      <c r="D464" s="20">
        <v>9</v>
      </c>
      <c r="E464" s="20">
        <v>13</v>
      </c>
      <c r="F464" s="20">
        <v>8</v>
      </c>
      <c r="G464" s="20">
        <v>0</v>
      </c>
      <c r="H464" s="20">
        <v>0</v>
      </c>
      <c r="I464" s="20">
        <v>64</v>
      </c>
      <c r="J464" s="20">
        <v>71</v>
      </c>
      <c r="M464" t="s">
        <v>1621</v>
      </c>
      <c r="N464" t="s">
        <v>1622</v>
      </c>
      <c r="O464" t="str">
        <f t="shared" si="17"/>
        <v>Deryk Engelland</v>
      </c>
      <c r="P464" s="20">
        <v>13</v>
      </c>
    </row>
    <row r="465" spans="1:17" ht="45" x14ac:dyDescent="0.25">
      <c r="A465" s="17" t="s">
        <v>1179</v>
      </c>
      <c r="B465" s="18">
        <v>78</v>
      </c>
      <c r="C465" s="18">
        <v>2</v>
      </c>
      <c r="D465" s="18">
        <v>13</v>
      </c>
      <c r="E465" s="18">
        <v>16</v>
      </c>
      <c r="F465" s="18">
        <v>3</v>
      </c>
      <c r="G465" s="18">
        <v>2</v>
      </c>
      <c r="H465" s="18">
        <v>0</v>
      </c>
      <c r="I465" s="18">
        <v>7</v>
      </c>
      <c r="J465" s="18">
        <v>67</v>
      </c>
      <c r="M465" t="s">
        <v>168</v>
      </c>
      <c r="N465" t="s">
        <v>1623</v>
      </c>
      <c r="O465" t="str">
        <f t="shared" si="17"/>
        <v>Joe Morrow</v>
      </c>
      <c r="P465" s="18">
        <v>16</v>
      </c>
    </row>
    <row r="466" spans="1:17" ht="30" x14ac:dyDescent="0.25">
      <c r="A466" s="19" t="s">
        <v>1180</v>
      </c>
      <c r="B466" s="20">
        <v>78</v>
      </c>
      <c r="C466" s="20">
        <v>3</v>
      </c>
      <c r="D466" s="20">
        <v>6</v>
      </c>
      <c r="E466" s="20">
        <v>9</v>
      </c>
      <c r="F466" s="20">
        <v>20</v>
      </c>
      <c r="G466" s="20">
        <v>0</v>
      </c>
      <c r="H466" s="20">
        <v>0</v>
      </c>
      <c r="I466" s="20">
        <v>44</v>
      </c>
      <c r="J466" s="20">
        <v>67</v>
      </c>
      <c r="M466" t="s">
        <v>1320</v>
      </c>
      <c r="N466" t="s">
        <v>1624</v>
      </c>
      <c r="O466" t="str">
        <f t="shared" si="17"/>
        <v>Stephen Johns</v>
      </c>
      <c r="P466" s="20">
        <v>9</v>
      </c>
    </row>
    <row r="467" spans="1:17" ht="30" x14ac:dyDescent="0.25">
      <c r="A467" s="17" t="s">
        <v>1181</v>
      </c>
      <c r="B467" s="18">
        <v>78</v>
      </c>
      <c r="C467" s="18">
        <v>2</v>
      </c>
      <c r="D467" s="18">
        <v>16</v>
      </c>
      <c r="E467" s="18">
        <v>18</v>
      </c>
      <c r="F467" s="18">
        <v>0</v>
      </c>
      <c r="G467" s="18">
        <v>0</v>
      </c>
      <c r="H467" s="18">
        <v>0</v>
      </c>
      <c r="I467" s="18">
        <v>23</v>
      </c>
      <c r="J467" s="18">
        <v>67</v>
      </c>
      <c r="M467" t="s">
        <v>1625</v>
      </c>
      <c r="N467" t="s">
        <v>1626</v>
      </c>
      <c r="O467" t="str">
        <f t="shared" si="17"/>
        <v>Calvin de</v>
      </c>
      <c r="P467" s="18">
        <v>18</v>
      </c>
      <c r="Q467" t="s">
        <v>1226</v>
      </c>
    </row>
    <row r="468" spans="1:17" ht="45" x14ac:dyDescent="0.25">
      <c r="A468" s="19" t="s">
        <v>1182</v>
      </c>
      <c r="B468" s="20">
        <v>78</v>
      </c>
      <c r="C468" s="20">
        <v>6</v>
      </c>
      <c r="D468" s="20">
        <v>22</v>
      </c>
      <c r="E468" s="20">
        <v>29</v>
      </c>
      <c r="F468" s="20">
        <v>-40</v>
      </c>
      <c r="G468" s="20">
        <v>1</v>
      </c>
      <c r="H468" s="20">
        <v>0</v>
      </c>
      <c r="I468" s="20">
        <v>42</v>
      </c>
      <c r="J468" s="20">
        <v>65</v>
      </c>
      <c r="M468" t="s">
        <v>233</v>
      </c>
      <c r="N468" t="s">
        <v>1627</v>
      </c>
      <c r="O468" t="str">
        <f t="shared" si="17"/>
        <v>Alex Goligoski</v>
      </c>
      <c r="P468" s="20">
        <v>29</v>
      </c>
    </row>
    <row r="469" spans="1:17" ht="45" x14ac:dyDescent="0.25">
      <c r="A469" s="17" t="s">
        <v>1183</v>
      </c>
      <c r="B469" s="18">
        <v>78</v>
      </c>
      <c r="C469" s="18">
        <v>2</v>
      </c>
      <c r="D469" s="18">
        <v>9</v>
      </c>
      <c r="E469" s="18">
        <v>11</v>
      </c>
      <c r="F469" s="18">
        <v>15</v>
      </c>
      <c r="G469" s="18">
        <v>0</v>
      </c>
      <c r="H469" s="18">
        <v>0</v>
      </c>
      <c r="I469" s="18">
        <v>48</v>
      </c>
      <c r="J469" s="18">
        <v>65</v>
      </c>
      <c r="M469" t="s">
        <v>390</v>
      </c>
      <c r="N469" t="s">
        <v>1628</v>
      </c>
      <c r="O469" t="str">
        <f t="shared" si="17"/>
        <v>Anthony Bitetto</v>
      </c>
      <c r="P469" s="18">
        <v>11</v>
      </c>
    </row>
    <row r="470" spans="1:17" ht="30" x14ac:dyDescent="0.25">
      <c r="A470" s="19" t="s">
        <v>1184</v>
      </c>
      <c r="B470" s="20">
        <v>78</v>
      </c>
      <c r="C470" s="20">
        <v>0</v>
      </c>
      <c r="D470" s="20">
        <v>13</v>
      </c>
      <c r="E470" s="20">
        <v>13</v>
      </c>
      <c r="F470" s="20">
        <v>24</v>
      </c>
      <c r="G470" s="20">
        <v>0</v>
      </c>
      <c r="H470" s="20">
        <v>0</v>
      </c>
      <c r="I470" s="20">
        <v>17</v>
      </c>
      <c r="J470" s="20">
        <v>65</v>
      </c>
      <c r="M470" t="s">
        <v>1629</v>
      </c>
      <c r="N470" t="s">
        <v>1630</v>
      </c>
      <c r="O470" t="str">
        <f t="shared" si="17"/>
        <v>Rob Scuderi</v>
      </c>
      <c r="P470" s="20">
        <v>13</v>
      </c>
    </row>
    <row r="471" spans="1:17" ht="45" x14ac:dyDescent="0.25">
      <c r="A471" s="17" t="s">
        <v>1185</v>
      </c>
      <c r="B471" s="18">
        <v>78</v>
      </c>
      <c r="C471" s="18">
        <v>3</v>
      </c>
      <c r="D471" s="18">
        <v>14</v>
      </c>
      <c r="E471" s="18">
        <v>17</v>
      </c>
      <c r="F471" s="18">
        <v>-5</v>
      </c>
      <c r="G471" s="18">
        <v>0</v>
      </c>
      <c r="H471" s="18">
        <v>0</v>
      </c>
      <c r="I471" s="18">
        <v>57</v>
      </c>
      <c r="J471" s="18">
        <v>63</v>
      </c>
      <c r="M471" t="s">
        <v>218</v>
      </c>
      <c r="N471" t="s">
        <v>1631</v>
      </c>
      <c r="O471" t="str">
        <f t="shared" si="17"/>
        <v>Jonathan Ericsson</v>
      </c>
      <c r="P471" s="18">
        <v>17</v>
      </c>
    </row>
    <row r="472" spans="1:17" ht="45" x14ac:dyDescent="0.25">
      <c r="A472" s="19" t="s">
        <v>1186</v>
      </c>
      <c r="B472" s="20">
        <v>78</v>
      </c>
      <c r="C472" s="20">
        <v>3</v>
      </c>
      <c r="D472" s="20">
        <v>7</v>
      </c>
      <c r="E472" s="20">
        <v>10</v>
      </c>
      <c r="F472" s="20">
        <v>17</v>
      </c>
      <c r="G472" s="20">
        <v>0</v>
      </c>
      <c r="H472" s="20">
        <v>0</v>
      </c>
      <c r="I472" s="20">
        <v>37</v>
      </c>
      <c r="J472" s="20">
        <v>62</v>
      </c>
      <c r="M472" t="s">
        <v>333</v>
      </c>
      <c r="N472" t="s">
        <v>1632</v>
      </c>
      <c r="O472" t="str">
        <f t="shared" si="17"/>
        <v>Carl Gunnarsson</v>
      </c>
      <c r="P472" s="20">
        <v>10</v>
      </c>
    </row>
    <row r="473" spans="1:17" ht="45" x14ac:dyDescent="0.25">
      <c r="A473" s="17" t="s">
        <v>1187</v>
      </c>
      <c r="B473" s="18">
        <v>78</v>
      </c>
      <c r="C473" s="18">
        <v>2</v>
      </c>
      <c r="D473" s="18">
        <v>16</v>
      </c>
      <c r="E473" s="18">
        <v>19</v>
      </c>
      <c r="F473" s="18">
        <v>-2</v>
      </c>
      <c r="G473" s="18">
        <v>0</v>
      </c>
      <c r="H473" s="18">
        <v>0</v>
      </c>
      <c r="I473" s="18">
        <v>44</v>
      </c>
      <c r="J473" s="18">
        <v>62</v>
      </c>
      <c r="M473" t="s">
        <v>1633</v>
      </c>
      <c r="N473" t="s">
        <v>1634</v>
      </c>
      <c r="O473" t="str">
        <f t="shared" si="17"/>
        <v>Toby Enstrom</v>
      </c>
      <c r="P473" s="18">
        <v>19</v>
      </c>
    </row>
    <row r="474" spans="1:17" ht="30" x14ac:dyDescent="0.25">
      <c r="A474" s="19" t="s">
        <v>1188</v>
      </c>
      <c r="B474" s="20">
        <v>78</v>
      </c>
      <c r="C474" s="20">
        <v>3</v>
      </c>
      <c r="D474" s="20">
        <v>3</v>
      </c>
      <c r="E474" s="20">
        <v>7</v>
      </c>
      <c r="F474" s="20">
        <v>12</v>
      </c>
      <c r="G474" s="20">
        <v>2</v>
      </c>
      <c r="H474" s="20">
        <v>0</v>
      </c>
      <c r="I474" s="20">
        <v>28</v>
      </c>
      <c r="J474" s="20">
        <v>62</v>
      </c>
      <c r="M474" t="s">
        <v>286</v>
      </c>
      <c r="N474" t="s">
        <v>1635</v>
      </c>
      <c r="O474" t="str">
        <f t="shared" si="17"/>
        <v>Dylan DeMelo</v>
      </c>
      <c r="P474" s="20">
        <v>7</v>
      </c>
    </row>
    <row r="475" spans="1:17" ht="30" x14ac:dyDescent="0.25">
      <c r="A475" s="17" t="s">
        <v>1189</v>
      </c>
      <c r="B475" s="18">
        <v>78</v>
      </c>
      <c r="C475" s="18">
        <v>1</v>
      </c>
      <c r="D475" s="18">
        <v>16</v>
      </c>
      <c r="E475" s="18">
        <v>18</v>
      </c>
      <c r="F475" s="18">
        <v>-2</v>
      </c>
      <c r="G475" s="18">
        <v>0</v>
      </c>
      <c r="H475" s="18">
        <v>0</v>
      </c>
      <c r="I475" s="18">
        <v>44</v>
      </c>
      <c r="J475" s="18">
        <v>62</v>
      </c>
      <c r="M475" t="s">
        <v>196</v>
      </c>
      <c r="N475" t="s">
        <v>1636</v>
      </c>
      <c r="O475" t="str">
        <f t="shared" si="17"/>
        <v>Mark Pysyk</v>
      </c>
      <c r="P475" s="18">
        <v>18</v>
      </c>
    </row>
    <row r="476" spans="1:17" ht="45" x14ac:dyDescent="0.25">
      <c r="A476" s="19" t="s">
        <v>1190</v>
      </c>
      <c r="B476" s="20">
        <v>78</v>
      </c>
      <c r="C476" s="20">
        <v>1</v>
      </c>
      <c r="D476" s="20">
        <v>7</v>
      </c>
      <c r="E476" s="20">
        <v>9</v>
      </c>
      <c r="F476" s="20">
        <v>24</v>
      </c>
      <c r="G476" s="20">
        <v>0</v>
      </c>
      <c r="H476" s="20">
        <v>0</v>
      </c>
      <c r="I476" s="20">
        <v>34</v>
      </c>
      <c r="J476" s="20">
        <v>61</v>
      </c>
      <c r="M476" t="s">
        <v>224</v>
      </c>
      <c r="N476" t="s">
        <v>1637</v>
      </c>
      <c r="O476" t="str">
        <f t="shared" si="17"/>
        <v>Taylor Chorney</v>
      </c>
      <c r="P476" s="20">
        <v>9</v>
      </c>
    </row>
    <row r="477" spans="1:17" ht="45" x14ac:dyDescent="0.25">
      <c r="A477" s="17" t="s">
        <v>1191</v>
      </c>
      <c r="B477" s="18">
        <v>78</v>
      </c>
      <c r="C477" s="18">
        <v>4</v>
      </c>
      <c r="D477" s="18">
        <v>17</v>
      </c>
      <c r="E477" s="18">
        <v>21</v>
      </c>
      <c r="F477" s="18">
        <v>-32</v>
      </c>
      <c r="G477" s="18">
        <v>4</v>
      </c>
      <c r="H477" s="18">
        <v>0</v>
      </c>
      <c r="I477" s="18">
        <v>27</v>
      </c>
      <c r="J477" s="18">
        <v>60</v>
      </c>
      <c r="M477" t="s">
        <v>1638</v>
      </c>
      <c r="N477" t="s">
        <v>1639</v>
      </c>
      <c r="O477" t="str">
        <f t="shared" si="17"/>
        <v>Noah Hanifin</v>
      </c>
      <c r="P477" s="18">
        <v>21</v>
      </c>
    </row>
    <row r="478" spans="1:17" ht="30" x14ac:dyDescent="0.25">
      <c r="A478" s="19" t="s">
        <v>1192</v>
      </c>
      <c r="B478" s="20">
        <v>78</v>
      </c>
      <c r="C478" s="20">
        <v>3</v>
      </c>
      <c r="D478" s="20">
        <v>10</v>
      </c>
      <c r="E478" s="20">
        <v>13</v>
      </c>
      <c r="F478" s="20">
        <v>-6</v>
      </c>
      <c r="G478" s="20">
        <v>1</v>
      </c>
      <c r="H478" s="20">
        <v>0</v>
      </c>
      <c r="I478" s="20">
        <v>35</v>
      </c>
      <c r="J478" s="20">
        <v>60</v>
      </c>
      <c r="M478" t="s">
        <v>212</v>
      </c>
      <c r="N478" t="s">
        <v>1640</v>
      </c>
      <c r="O478" t="str">
        <f t="shared" si="17"/>
        <v>Jakub Kindl</v>
      </c>
      <c r="P478" s="20">
        <v>13</v>
      </c>
    </row>
    <row r="479" spans="1:17" ht="30" x14ac:dyDescent="0.25">
      <c r="A479" s="17" t="s">
        <v>1193</v>
      </c>
      <c r="B479" s="18">
        <v>78</v>
      </c>
      <c r="C479" s="18">
        <v>4</v>
      </c>
      <c r="D479" s="18">
        <v>18</v>
      </c>
      <c r="E479" s="18">
        <v>23</v>
      </c>
      <c r="F479" s="18">
        <v>-27</v>
      </c>
      <c r="G479" s="18">
        <v>3</v>
      </c>
      <c r="H479" s="18">
        <v>0</v>
      </c>
      <c r="I479" s="18">
        <v>30</v>
      </c>
      <c r="J479" s="18">
        <v>59</v>
      </c>
      <c r="M479" t="s">
        <v>170</v>
      </c>
      <c r="N479" t="s">
        <v>1641</v>
      </c>
      <c r="O479" t="str">
        <f t="shared" si="17"/>
        <v>John Moore</v>
      </c>
      <c r="P479" s="18">
        <v>23</v>
      </c>
    </row>
    <row r="480" spans="1:17" ht="30" x14ac:dyDescent="0.25">
      <c r="A480" s="19" t="s">
        <v>1194</v>
      </c>
      <c r="B480" s="20">
        <v>78</v>
      </c>
      <c r="C480" s="20">
        <v>3</v>
      </c>
      <c r="D480" s="20">
        <v>7</v>
      </c>
      <c r="E480" s="20">
        <v>11</v>
      </c>
      <c r="F480" s="20">
        <v>-17</v>
      </c>
      <c r="G480" s="20">
        <v>0</v>
      </c>
      <c r="H480" s="20">
        <v>0</v>
      </c>
      <c r="I480" s="20">
        <v>120</v>
      </c>
      <c r="J480" s="20">
        <v>55</v>
      </c>
      <c r="M480" t="s">
        <v>1642</v>
      </c>
      <c r="N480" t="s">
        <v>1643</v>
      </c>
      <c r="O480" t="str">
        <f t="shared" si="17"/>
        <v>Dalton Prout</v>
      </c>
      <c r="P480" s="20">
        <v>11</v>
      </c>
    </row>
    <row r="481" spans="1:16" ht="45" x14ac:dyDescent="0.25">
      <c r="A481" s="17" t="s">
        <v>1195</v>
      </c>
      <c r="B481" s="18">
        <v>78</v>
      </c>
      <c r="C481" s="18">
        <v>2</v>
      </c>
      <c r="D481" s="18">
        <v>10</v>
      </c>
      <c r="E481" s="18">
        <v>13</v>
      </c>
      <c r="F481" s="18">
        <v>-12</v>
      </c>
      <c r="G481" s="18">
        <v>1</v>
      </c>
      <c r="H481" s="18">
        <v>0</v>
      </c>
      <c r="I481" s="18">
        <v>60</v>
      </c>
      <c r="J481" s="18">
        <v>53</v>
      </c>
      <c r="M481" t="s">
        <v>1256</v>
      </c>
      <c r="N481" t="s">
        <v>1644</v>
      </c>
      <c r="O481" t="str">
        <f t="shared" si="17"/>
        <v>Frank Corrado</v>
      </c>
      <c r="P481" s="18">
        <v>13</v>
      </c>
    </row>
    <row r="482" spans="1:16" ht="45" x14ac:dyDescent="0.25">
      <c r="A482" s="19" t="s">
        <v>1196</v>
      </c>
      <c r="B482" s="20">
        <v>78</v>
      </c>
      <c r="C482" s="20">
        <v>6</v>
      </c>
      <c r="D482" s="20">
        <v>10</v>
      </c>
      <c r="E482" s="20">
        <v>17</v>
      </c>
      <c r="F482" s="20">
        <v>-20</v>
      </c>
      <c r="G482" s="20">
        <v>1</v>
      </c>
      <c r="H482" s="20">
        <v>0</v>
      </c>
      <c r="I482" s="20">
        <v>42</v>
      </c>
      <c r="J482" s="20">
        <v>53</v>
      </c>
      <c r="M482" t="s">
        <v>160</v>
      </c>
      <c r="N482" t="s">
        <v>1645</v>
      </c>
      <c r="O482" t="str">
        <f t="shared" si="17"/>
        <v>Connor Murphy</v>
      </c>
      <c r="P482" s="20">
        <v>17</v>
      </c>
    </row>
    <row r="483" spans="1:16" ht="45" x14ac:dyDescent="0.25">
      <c r="A483" s="17" t="s">
        <v>1197</v>
      </c>
      <c r="B483" s="18">
        <v>78</v>
      </c>
      <c r="C483" s="18">
        <v>3</v>
      </c>
      <c r="D483" s="18">
        <v>16</v>
      </c>
      <c r="E483" s="18">
        <v>20</v>
      </c>
      <c r="F483" s="18">
        <v>-23</v>
      </c>
      <c r="G483" s="18">
        <v>0</v>
      </c>
      <c r="H483" s="18">
        <v>0</v>
      </c>
      <c r="I483" s="18">
        <v>77</v>
      </c>
      <c r="J483" s="18">
        <v>53</v>
      </c>
      <c r="M483" t="s">
        <v>339</v>
      </c>
      <c r="N483" t="s">
        <v>1507</v>
      </c>
      <c r="O483" t="str">
        <f t="shared" si="17"/>
        <v>Adam Larsson</v>
      </c>
      <c r="P483" s="18">
        <v>20</v>
      </c>
    </row>
    <row r="484" spans="1:16" ht="30" x14ac:dyDescent="0.25">
      <c r="A484" s="19" t="s">
        <v>1198</v>
      </c>
      <c r="B484" s="20">
        <v>78</v>
      </c>
      <c r="C484" s="20">
        <v>5</v>
      </c>
      <c r="D484" s="20">
        <v>17</v>
      </c>
      <c r="E484" s="20">
        <v>22</v>
      </c>
      <c r="F484" s="20">
        <v>-13</v>
      </c>
      <c r="G484" s="20">
        <v>2</v>
      </c>
      <c r="H484" s="20">
        <v>0</v>
      </c>
      <c r="I484" s="20">
        <v>10</v>
      </c>
      <c r="J484" s="20">
        <v>52</v>
      </c>
      <c r="M484" t="s">
        <v>419</v>
      </c>
      <c r="N484" t="s">
        <v>1646</v>
      </c>
      <c r="O484" t="str">
        <f t="shared" si="17"/>
        <v>Chris Tanev</v>
      </c>
      <c r="P484" s="20">
        <v>22</v>
      </c>
    </row>
    <row r="485" spans="1:16" ht="45" x14ac:dyDescent="0.25">
      <c r="A485" s="17" t="s">
        <v>1199</v>
      </c>
      <c r="B485" s="18">
        <v>78</v>
      </c>
      <c r="C485" s="18">
        <v>0</v>
      </c>
      <c r="D485" s="18">
        <v>9</v>
      </c>
      <c r="E485" s="18">
        <v>9</v>
      </c>
      <c r="F485" s="18">
        <v>7</v>
      </c>
      <c r="G485" s="18">
        <v>1</v>
      </c>
      <c r="H485" s="18">
        <v>0</v>
      </c>
      <c r="I485" s="18">
        <v>30</v>
      </c>
      <c r="J485" s="18">
        <v>51</v>
      </c>
      <c r="M485" t="s">
        <v>1647</v>
      </c>
      <c r="N485" t="s">
        <v>1648</v>
      </c>
      <c r="O485" t="str">
        <f t="shared" si="17"/>
        <v>Simon Despres</v>
      </c>
      <c r="P485" s="18">
        <v>9</v>
      </c>
    </row>
    <row r="486" spans="1:16" ht="45" x14ac:dyDescent="0.25">
      <c r="A486" s="19" t="s">
        <v>1200</v>
      </c>
      <c r="B486" s="20">
        <v>78</v>
      </c>
      <c r="C486" s="20">
        <v>5</v>
      </c>
      <c r="D486" s="20">
        <v>13</v>
      </c>
      <c r="E486" s="20">
        <v>18</v>
      </c>
      <c r="F486" s="20">
        <v>-32</v>
      </c>
      <c r="G486" s="20">
        <v>0</v>
      </c>
      <c r="H486" s="20">
        <v>0</v>
      </c>
      <c r="I486" s="20">
        <v>45</v>
      </c>
      <c r="J486" s="20">
        <v>51</v>
      </c>
      <c r="M486" t="s">
        <v>1649</v>
      </c>
      <c r="N486" t="s">
        <v>1650</v>
      </c>
      <c r="O486" t="str">
        <f t="shared" si="17"/>
        <v>Ron Hainsey</v>
      </c>
      <c r="P486" s="20">
        <v>18</v>
      </c>
    </row>
    <row r="487" spans="1:16" ht="30" x14ac:dyDescent="0.25">
      <c r="A487" s="17" t="s">
        <v>1201</v>
      </c>
      <c r="B487" s="18">
        <v>78</v>
      </c>
      <c r="C487" s="18">
        <v>2</v>
      </c>
      <c r="D487" s="18">
        <v>22</v>
      </c>
      <c r="E487" s="18">
        <v>24</v>
      </c>
      <c r="F487" s="18">
        <v>-34</v>
      </c>
      <c r="G487" s="18">
        <v>3</v>
      </c>
      <c r="H487" s="18">
        <v>0</v>
      </c>
      <c r="I487" s="18">
        <v>12</v>
      </c>
      <c r="J487" s="18">
        <v>50</v>
      </c>
      <c r="M487" t="s">
        <v>1651</v>
      </c>
      <c r="N487" t="s">
        <v>1652</v>
      </c>
      <c r="O487" t="str">
        <f t="shared" si="17"/>
        <v>Jaccob Slavin</v>
      </c>
      <c r="P487" s="18">
        <v>24</v>
      </c>
    </row>
    <row r="488" spans="1:16" ht="30" x14ac:dyDescent="0.25">
      <c r="A488" s="19" t="s">
        <v>1202</v>
      </c>
      <c r="B488" s="20">
        <v>78</v>
      </c>
      <c r="C488" s="20">
        <v>3</v>
      </c>
      <c r="D488" s="20">
        <v>5</v>
      </c>
      <c r="E488" s="20">
        <v>9</v>
      </c>
      <c r="F488" s="20">
        <v>6</v>
      </c>
      <c r="G488" s="20">
        <v>0</v>
      </c>
      <c r="H488" s="20">
        <v>0</v>
      </c>
      <c r="I488" s="20">
        <v>45</v>
      </c>
      <c r="J488" s="20">
        <v>49</v>
      </c>
      <c r="M488" t="s">
        <v>419</v>
      </c>
      <c r="N488" t="s">
        <v>1653</v>
      </c>
      <c r="O488" t="str">
        <f t="shared" si="17"/>
        <v>Chris Bigras</v>
      </c>
      <c r="P488" s="20">
        <v>9</v>
      </c>
    </row>
    <row r="489" spans="1:16" ht="30" x14ac:dyDescent="0.25">
      <c r="A489" s="17" t="s">
        <v>1203</v>
      </c>
      <c r="B489" s="18">
        <v>78</v>
      </c>
      <c r="C489" s="18">
        <v>1</v>
      </c>
      <c r="D489" s="18">
        <v>9</v>
      </c>
      <c r="E489" s="18">
        <v>10</v>
      </c>
      <c r="F489" s="18">
        <v>4</v>
      </c>
      <c r="G489" s="18">
        <v>0</v>
      </c>
      <c r="H489" s="18">
        <v>0</v>
      </c>
      <c r="I489" s="18">
        <v>39</v>
      </c>
      <c r="J489" s="18">
        <v>49</v>
      </c>
      <c r="M489" t="s">
        <v>431</v>
      </c>
      <c r="N489" t="s">
        <v>1654</v>
      </c>
      <c r="O489" t="str">
        <f t="shared" si="17"/>
        <v>Nick Schultz</v>
      </c>
      <c r="P489" s="18">
        <v>10</v>
      </c>
    </row>
    <row r="490" spans="1:16" ht="45" x14ac:dyDescent="0.25">
      <c r="A490" s="19" t="s">
        <v>1204</v>
      </c>
      <c r="B490" s="20">
        <v>78</v>
      </c>
      <c r="C490" s="20">
        <v>3</v>
      </c>
      <c r="D490" s="20">
        <v>11</v>
      </c>
      <c r="E490" s="20">
        <v>14</v>
      </c>
      <c r="F490" s="20">
        <v>-19</v>
      </c>
      <c r="G490" s="20">
        <v>1</v>
      </c>
      <c r="H490" s="20">
        <v>0</v>
      </c>
      <c r="I490" s="20">
        <v>51</v>
      </c>
      <c r="J490" s="20">
        <v>48</v>
      </c>
      <c r="M490" t="s">
        <v>245</v>
      </c>
      <c r="N490" t="s">
        <v>1655</v>
      </c>
      <c r="O490" t="str">
        <f t="shared" si="17"/>
        <v>Matt Hunwick</v>
      </c>
      <c r="P490" s="20">
        <v>14</v>
      </c>
    </row>
    <row r="491" spans="1:16" ht="30" x14ac:dyDescent="0.25">
      <c r="A491" s="17" t="s">
        <v>1205</v>
      </c>
      <c r="B491" s="18">
        <v>78</v>
      </c>
      <c r="C491" s="18">
        <v>0</v>
      </c>
      <c r="D491" s="18">
        <v>12</v>
      </c>
      <c r="E491" s="18">
        <v>12</v>
      </c>
      <c r="F491" s="18">
        <v>-6</v>
      </c>
      <c r="G491" s="18">
        <v>0</v>
      </c>
      <c r="H491" s="18">
        <v>0</v>
      </c>
      <c r="I491" s="18">
        <v>40</v>
      </c>
      <c r="J491" s="18">
        <v>45</v>
      </c>
      <c r="M491" t="s">
        <v>233</v>
      </c>
      <c r="N491" t="s">
        <v>1656</v>
      </c>
      <c r="O491" t="str">
        <f t="shared" si="17"/>
        <v>Alex Biega</v>
      </c>
      <c r="P491" s="18">
        <v>12</v>
      </c>
    </row>
    <row r="492" spans="1:16" ht="30" x14ac:dyDescent="0.25">
      <c r="A492" s="19" t="s">
        <v>1206</v>
      </c>
      <c r="B492" s="20">
        <v>78</v>
      </c>
      <c r="C492" s="20">
        <v>4</v>
      </c>
      <c r="D492" s="20">
        <v>13</v>
      </c>
      <c r="E492" s="20">
        <v>18</v>
      </c>
      <c r="F492" s="20">
        <v>-34</v>
      </c>
      <c r="G492" s="20">
        <v>3</v>
      </c>
      <c r="H492" s="20">
        <v>0</v>
      </c>
      <c r="I492" s="20">
        <v>22</v>
      </c>
      <c r="J492" s="20">
        <v>42</v>
      </c>
      <c r="M492" t="s">
        <v>1657</v>
      </c>
      <c r="N492" t="s">
        <v>1658</v>
      </c>
      <c r="O492" t="str">
        <f t="shared" si="17"/>
        <v>Brett Pesce</v>
      </c>
      <c r="P492" s="20">
        <v>18</v>
      </c>
    </row>
    <row r="493" spans="1:16" ht="30" x14ac:dyDescent="0.25">
      <c r="A493" s="17" t="s">
        <v>1207</v>
      </c>
      <c r="B493" s="18">
        <v>78</v>
      </c>
      <c r="C493" s="18">
        <v>4</v>
      </c>
      <c r="D493" s="18">
        <v>10</v>
      </c>
      <c r="E493" s="18">
        <v>14</v>
      </c>
      <c r="F493" s="18">
        <v>-13</v>
      </c>
      <c r="G493" s="18">
        <v>0</v>
      </c>
      <c r="H493" s="18">
        <v>0</v>
      </c>
      <c r="I493" s="18">
        <v>25</v>
      </c>
      <c r="J493" s="18">
        <v>39</v>
      </c>
      <c r="M493" t="s">
        <v>1310</v>
      </c>
      <c r="N493" t="s">
        <v>1659</v>
      </c>
      <c r="O493" t="str">
        <f t="shared" si="17"/>
        <v>Andy Greene</v>
      </c>
      <c r="P493" s="18">
        <v>14</v>
      </c>
    </row>
    <row r="494" spans="1:16" ht="45" x14ac:dyDescent="0.25">
      <c r="A494" s="19" t="s">
        <v>1208</v>
      </c>
      <c r="B494" s="20">
        <v>78</v>
      </c>
      <c r="C494" s="20">
        <v>1</v>
      </c>
      <c r="D494" s="20">
        <v>10</v>
      </c>
      <c r="E494" s="20">
        <v>12</v>
      </c>
      <c r="F494" s="20">
        <v>-16</v>
      </c>
      <c r="G494" s="20">
        <v>0</v>
      </c>
      <c r="H494" s="20">
        <v>0</v>
      </c>
      <c r="I494" s="20">
        <v>48</v>
      </c>
      <c r="J494" s="20">
        <v>38</v>
      </c>
      <c r="M494" t="s">
        <v>1600</v>
      </c>
      <c r="N494" t="s">
        <v>1660</v>
      </c>
      <c r="O494" t="str">
        <f t="shared" si="17"/>
        <v>Ben Chiarot</v>
      </c>
      <c r="P494" s="20">
        <v>12</v>
      </c>
    </row>
    <row r="495" spans="1:16" ht="45" x14ac:dyDescent="0.25">
      <c r="A495" s="17" t="s">
        <v>1209</v>
      </c>
      <c r="B495" s="18">
        <v>78</v>
      </c>
      <c r="C495" s="18">
        <v>2</v>
      </c>
      <c r="D495" s="18">
        <v>11</v>
      </c>
      <c r="E495" s="18">
        <v>13</v>
      </c>
      <c r="F495" s="18">
        <v>-9</v>
      </c>
      <c r="G495" s="18">
        <v>0</v>
      </c>
      <c r="H495" s="18">
        <v>0</v>
      </c>
      <c r="I495" s="18">
        <v>22</v>
      </c>
      <c r="J495" s="18">
        <v>37</v>
      </c>
      <c r="M495" t="s">
        <v>1615</v>
      </c>
      <c r="N495" t="s">
        <v>1661</v>
      </c>
      <c r="O495" t="str">
        <f t="shared" si="17"/>
        <v>Alexei Marchenko</v>
      </c>
      <c r="P495" s="18">
        <v>13</v>
      </c>
    </row>
    <row r="496" spans="1:16" ht="45" x14ac:dyDescent="0.25">
      <c r="A496" s="19" t="s">
        <v>1210</v>
      </c>
      <c r="B496" s="20">
        <v>78</v>
      </c>
      <c r="C496" s="20">
        <v>0</v>
      </c>
      <c r="D496" s="20">
        <v>8</v>
      </c>
      <c r="E496" s="20">
        <v>8</v>
      </c>
      <c r="F496" s="20">
        <v>-4</v>
      </c>
      <c r="G496" s="20">
        <v>0</v>
      </c>
      <c r="H496" s="20">
        <v>0</v>
      </c>
      <c r="I496" s="20">
        <v>42</v>
      </c>
      <c r="J496" s="20">
        <v>35</v>
      </c>
      <c r="M496" t="s">
        <v>208</v>
      </c>
      <c r="N496" t="s">
        <v>1662</v>
      </c>
      <c r="O496" t="str">
        <f t="shared" si="17"/>
        <v>Nikita Zadorov</v>
      </c>
      <c r="P496" s="20">
        <v>8</v>
      </c>
    </row>
    <row r="497" spans="1:16" ht="45" x14ac:dyDescent="0.25">
      <c r="A497" s="17" t="s">
        <v>1211</v>
      </c>
      <c r="B497" s="18">
        <v>78</v>
      </c>
      <c r="C497" s="18">
        <v>0</v>
      </c>
      <c r="D497" s="18">
        <v>6</v>
      </c>
      <c r="E497" s="18">
        <v>6</v>
      </c>
      <c r="F497" s="18">
        <v>-11</v>
      </c>
      <c r="G497" s="18">
        <v>1</v>
      </c>
      <c r="H497" s="18">
        <v>0</v>
      </c>
      <c r="I497" s="18">
        <v>43</v>
      </c>
      <c r="J497" s="18">
        <v>35</v>
      </c>
      <c r="M497" t="s">
        <v>186</v>
      </c>
      <c r="N497" t="s">
        <v>1663</v>
      </c>
      <c r="O497" t="str">
        <f t="shared" si="17"/>
        <v>Steven Kampfer</v>
      </c>
      <c r="P497" s="18">
        <v>6</v>
      </c>
    </row>
    <row r="498" spans="1:16" ht="45" x14ac:dyDescent="0.25">
      <c r="A498" s="19" t="s">
        <v>1212</v>
      </c>
      <c r="B498" s="20">
        <v>78</v>
      </c>
      <c r="C498" s="20">
        <v>1</v>
      </c>
      <c r="D498" s="20">
        <v>7</v>
      </c>
      <c r="E498" s="20">
        <v>9</v>
      </c>
      <c r="F498" s="20">
        <v>-12</v>
      </c>
      <c r="G498" s="20">
        <v>0</v>
      </c>
      <c r="H498" s="20">
        <v>0</v>
      </c>
      <c r="I498" s="20">
        <v>48</v>
      </c>
      <c r="J498" s="20">
        <v>32</v>
      </c>
      <c r="M498" t="s">
        <v>367</v>
      </c>
      <c r="N498" t="s">
        <v>1664</v>
      </c>
      <c r="O498" t="str">
        <f t="shared" si="17"/>
        <v>Martin Marincin</v>
      </c>
      <c r="P498" s="20">
        <v>9</v>
      </c>
    </row>
    <row r="499" spans="1:16" ht="45" x14ac:dyDescent="0.25">
      <c r="A499" s="17" t="s">
        <v>1213</v>
      </c>
      <c r="B499" s="18">
        <v>78</v>
      </c>
      <c r="C499" s="18">
        <v>0</v>
      </c>
      <c r="D499" s="18">
        <v>5</v>
      </c>
      <c r="E499" s="18">
        <v>5</v>
      </c>
      <c r="F499" s="18">
        <v>0</v>
      </c>
      <c r="G499" s="18">
        <v>0</v>
      </c>
      <c r="H499" s="18">
        <v>0</v>
      </c>
      <c r="I499" s="18">
        <v>40</v>
      </c>
      <c r="J499" s="18">
        <v>29</v>
      </c>
      <c r="M499" t="s">
        <v>1665</v>
      </c>
      <c r="N499" t="s">
        <v>1666</v>
      </c>
      <c r="O499" t="str">
        <f t="shared" si="17"/>
        <v>Petter Granberg</v>
      </c>
      <c r="P499" s="18">
        <v>5</v>
      </c>
    </row>
    <row r="500" spans="1:16" ht="30" x14ac:dyDescent="0.25">
      <c r="A500" s="19" t="s">
        <v>1214</v>
      </c>
      <c r="B500" s="20">
        <v>78</v>
      </c>
      <c r="C500" s="20">
        <v>0</v>
      </c>
      <c r="D500" s="20">
        <v>11</v>
      </c>
      <c r="E500" s="20">
        <v>11</v>
      </c>
      <c r="F500" s="20">
        <v>-35</v>
      </c>
      <c r="G500" s="20">
        <v>0</v>
      </c>
      <c r="H500" s="20">
        <v>0</v>
      </c>
      <c r="I500" s="20">
        <v>83</v>
      </c>
      <c r="J500" s="20">
        <v>28</v>
      </c>
      <c r="M500" t="s">
        <v>317</v>
      </c>
      <c r="N500" t="s">
        <v>1667</v>
      </c>
      <c r="O500" t="str">
        <f t="shared" si="17"/>
        <v>Roman Polak</v>
      </c>
      <c r="P500" s="20">
        <v>11</v>
      </c>
    </row>
    <row r="501" spans="1:16" ht="45" x14ac:dyDescent="0.25">
      <c r="A501" s="17" t="s">
        <v>1215</v>
      </c>
      <c r="B501" s="18">
        <v>78</v>
      </c>
      <c r="C501" s="18">
        <v>6</v>
      </c>
      <c r="D501" s="18">
        <v>0</v>
      </c>
      <c r="E501" s="18">
        <v>6</v>
      </c>
      <c r="F501" s="18">
        <v>-11</v>
      </c>
      <c r="G501" s="18">
        <v>0</v>
      </c>
      <c r="H501" s="18">
        <v>0</v>
      </c>
      <c r="I501" s="18">
        <v>15</v>
      </c>
      <c r="J501" s="18">
        <v>27</v>
      </c>
      <c r="M501" t="s">
        <v>341</v>
      </c>
      <c r="N501" t="s">
        <v>1668</v>
      </c>
      <c r="O501" t="str">
        <f t="shared" si="17"/>
        <v>Paul Postma</v>
      </c>
      <c r="P501" s="18">
        <v>6</v>
      </c>
    </row>
    <row r="502" spans="1:16" ht="45" x14ac:dyDescent="0.25">
      <c r="A502" s="19" t="s">
        <v>1216</v>
      </c>
      <c r="B502" s="20">
        <v>78</v>
      </c>
      <c r="C502" s="20">
        <v>2</v>
      </c>
      <c r="D502" s="20">
        <v>5</v>
      </c>
      <c r="E502" s="20">
        <v>7</v>
      </c>
      <c r="F502" s="20">
        <v>-14</v>
      </c>
      <c r="G502" s="20">
        <v>0</v>
      </c>
      <c r="H502" s="20">
        <v>0</v>
      </c>
      <c r="I502" s="20">
        <v>19</v>
      </c>
      <c r="J502" s="20">
        <v>24</v>
      </c>
      <c r="M502" t="s">
        <v>1669</v>
      </c>
      <c r="N502" t="s">
        <v>1492</v>
      </c>
      <c r="O502" t="str">
        <f t="shared" si="17"/>
        <v>Zbynek Michalek</v>
      </c>
      <c r="P502" s="20">
        <v>7</v>
      </c>
    </row>
    <row r="503" spans="1:16" ht="45" x14ac:dyDescent="0.25">
      <c r="A503" s="17" t="s">
        <v>1217</v>
      </c>
      <c r="B503" s="18">
        <v>78</v>
      </c>
      <c r="C503" s="18">
        <v>3</v>
      </c>
      <c r="D503" s="18">
        <v>7</v>
      </c>
      <c r="E503" s="18">
        <v>11</v>
      </c>
      <c r="F503" s="18">
        <v>-25</v>
      </c>
      <c r="G503" s="18">
        <v>0</v>
      </c>
      <c r="H503" s="18">
        <v>0</v>
      </c>
      <c r="I503" s="18">
        <v>27</v>
      </c>
      <c r="J503" s="18">
        <v>20</v>
      </c>
      <c r="M503" t="s">
        <v>1670</v>
      </c>
      <c r="N503" t="s">
        <v>1671</v>
      </c>
      <c r="O503" t="str">
        <f t="shared" si="17"/>
        <v>Jonas Brodin</v>
      </c>
      <c r="P503" s="18">
        <v>11</v>
      </c>
    </row>
    <row r="504" spans="1:16" ht="45" x14ac:dyDescent="0.25">
      <c r="A504" s="19" t="s">
        <v>1218</v>
      </c>
      <c r="B504" s="20">
        <v>78</v>
      </c>
      <c r="C504" s="20">
        <v>3</v>
      </c>
      <c r="D504" s="20">
        <v>9</v>
      </c>
      <c r="E504" s="20">
        <v>13</v>
      </c>
      <c r="F504" s="20">
        <v>-39</v>
      </c>
      <c r="G504" s="20">
        <v>0</v>
      </c>
      <c r="H504" s="20">
        <v>0</v>
      </c>
      <c r="I504" s="20">
        <v>59</v>
      </c>
      <c r="J504" s="20">
        <v>19</v>
      </c>
      <c r="M504" t="s">
        <v>1407</v>
      </c>
      <c r="N504" t="s">
        <v>1672</v>
      </c>
      <c r="O504" t="str">
        <f t="shared" si="17"/>
        <v>Jake McCabe</v>
      </c>
      <c r="P504" s="20">
        <v>13</v>
      </c>
    </row>
    <row r="505" spans="1:16" ht="45" x14ac:dyDescent="0.25">
      <c r="A505" s="17" t="s">
        <v>1219</v>
      </c>
      <c r="B505" s="18">
        <v>78</v>
      </c>
      <c r="C505" s="18">
        <v>2</v>
      </c>
      <c r="D505" s="18">
        <v>12</v>
      </c>
      <c r="E505" s="18">
        <v>15</v>
      </c>
      <c r="F505" s="18">
        <v>-30</v>
      </c>
      <c r="G505" s="18">
        <v>0</v>
      </c>
      <c r="H505" s="18">
        <v>0</v>
      </c>
      <c r="I505" s="18">
        <v>22</v>
      </c>
      <c r="J505" s="18">
        <v>19</v>
      </c>
      <c r="M505" t="s">
        <v>1673</v>
      </c>
      <c r="N505" t="s">
        <v>1674</v>
      </c>
      <c r="O505" t="str">
        <f t="shared" si="17"/>
        <v>Jyrki Jokipakka</v>
      </c>
      <c r="P505" s="18">
        <v>15</v>
      </c>
    </row>
    <row r="506" spans="1:16" ht="45" x14ac:dyDescent="0.25">
      <c r="A506" s="19" t="s">
        <v>1220</v>
      </c>
      <c r="B506" s="20">
        <v>78</v>
      </c>
      <c r="C506" s="20">
        <v>1</v>
      </c>
      <c r="D506" s="20">
        <v>2</v>
      </c>
      <c r="E506" s="20">
        <v>3</v>
      </c>
      <c r="F506" s="20">
        <v>-19</v>
      </c>
      <c r="G506" s="20">
        <v>0</v>
      </c>
      <c r="H506" s="20">
        <v>0</v>
      </c>
      <c r="I506" s="20">
        <v>75</v>
      </c>
      <c r="J506" s="20">
        <v>19</v>
      </c>
      <c r="M506" t="s">
        <v>196</v>
      </c>
      <c r="N506" t="s">
        <v>1675</v>
      </c>
      <c r="O506" t="str">
        <f t="shared" si="17"/>
        <v>Mark Stuart</v>
      </c>
      <c r="P506" s="20">
        <v>3</v>
      </c>
    </row>
    <row r="507" spans="1:16" ht="45" x14ac:dyDescent="0.25">
      <c r="A507" s="17" t="s">
        <v>1221</v>
      </c>
      <c r="B507" s="18">
        <v>78</v>
      </c>
      <c r="C507" s="18">
        <v>2</v>
      </c>
      <c r="D507" s="18">
        <v>10</v>
      </c>
      <c r="E507" s="18">
        <v>12</v>
      </c>
      <c r="F507" s="18">
        <v>-41</v>
      </c>
      <c r="G507" s="18">
        <v>0</v>
      </c>
      <c r="H507" s="18">
        <v>0</v>
      </c>
      <c r="I507" s="18">
        <v>90</v>
      </c>
      <c r="J507" s="18">
        <v>18</v>
      </c>
      <c r="M507" t="s">
        <v>1474</v>
      </c>
      <c r="N507" t="s">
        <v>1676</v>
      </c>
      <c r="O507" t="str">
        <f t="shared" si="17"/>
        <v>Josh Gorges</v>
      </c>
      <c r="P507" s="18">
        <v>12</v>
      </c>
    </row>
    <row r="508" spans="1:16" ht="30" x14ac:dyDescent="0.25">
      <c r="A508" s="19" t="s">
        <v>1222</v>
      </c>
      <c r="B508" s="20">
        <v>78</v>
      </c>
      <c r="C508" s="20">
        <v>4</v>
      </c>
      <c r="D508" s="20">
        <v>7</v>
      </c>
      <c r="E508" s="20">
        <v>12</v>
      </c>
      <c r="F508" s="20">
        <v>-41</v>
      </c>
      <c r="G508" s="20">
        <v>0</v>
      </c>
      <c r="H508" s="20">
        <v>0</v>
      </c>
      <c r="I508" s="20">
        <v>45</v>
      </c>
      <c r="J508" s="20">
        <v>18</v>
      </c>
      <c r="M508" t="s">
        <v>1600</v>
      </c>
      <c r="N508" t="s">
        <v>1677</v>
      </c>
      <c r="O508" t="str">
        <f t="shared" si="17"/>
        <v>Ben Lovejoy</v>
      </c>
      <c r="P508" s="20">
        <v>12</v>
      </c>
    </row>
    <row r="509" spans="1:16" ht="45" x14ac:dyDescent="0.25">
      <c r="A509" s="17" t="s">
        <v>1223</v>
      </c>
      <c r="B509" s="18">
        <v>78</v>
      </c>
      <c r="C509" s="18">
        <v>1</v>
      </c>
      <c r="D509" s="18">
        <v>15</v>
      </c>
      <c r="E509" s="18">
        <v>17</v>
      </c>
      <c r="F509" s="18">
        <v>-60</v>
      </c>
      <c r="G509" s="18">
        <v>3</v>
      </c>
      <c r="H509" s="18">
        <v>0</v>
      </c>
      <c r="I509" s="18">
        <v>55</v>
      </c>
      <c r="J509" s="18">
        <v>16</v>
      </c>
      <c r="M509" t="s">
        <v>1678</v>
      </c>
      <c r="N509" t="s">
        <v>1679</v>
      </c>
      <c r="O509" t="str">
        <f t="shared" si="17"/>
        <v>Dmitry Kulikov</v>
      </c>
      <c r="P509" s="18">
        <v>17</v>
      </c>
    </row>
    <row r="510" spans="1:16" ht="30" x14ac:dyDescent="0.25">
      <c r="A510" s="19" t="s">
        <v>1224</v>
      </c>
      <c r="B510" s="20">
        <v>78</v>
      </c>
      <c r="C510" s="20">
        <v>2</v>
      </c>
      <c r="D510" s="20">
        <v>6</v>
      </c>
      <c r="E510" s="20">
        <v>8</v>
      </c>
      <c r="F510" s="20">
        <v>-22</v>
      </c>
      <c r="G510" s="20">
        <v>0</v>
      </c>
      <c r="H510" s="20">
        <v>0</v>
      </c>
      <c r="I510" s="20">
        <v>21</v>
      </c>
      <c r="J510" s="20">
        <v>16</v>
      </c>
      <c r="M510" t="s">
        <v>196</v>
      </c>
      <c r="N510" t="s">
        <v>1680</v>
      </c>
      <c r="O510" t="str">
        <f t="shared" si="17"/>
        <v>Mark Fayne</v>
      </c>
      <c r="P510" s="20">
        <v>8</v>
      </c>
    </row>
    <row r="511" spans="1:16" ht="45" x14ac:dyDescent="0.25">
      <c r="A511" s="17" t="s">
        <v>1225</v>
      </c>
      <c r="B511" s="18">
        <v>78</v>
      </c>
      <c r="C511" s="18">
        <v>2</v>
      </c>
      <c r="D511" s="18">
        <v>7</v>
      </c>
      <c r="E511" s="18">
        <v>9</v>
      </c>
      <c r="F511" s="18">
        <v>-45</v>
      </c>
      <c r="G511" s="18">
        <v>0</v>
      </c>
      <c r="H511" s="18">
        <v>0</v>
      </c>
      <c r="I511" s="18">
        <v>64</v>
      </c>
      <c r="J511" s="18">
        <v>10</v>
      </c>
      <c r="M511" t="s">
        <v>176</v>
      </c>
      <c r="N511" t="s">
        <v>1681</v>
      </c>
      <c r="O511" t="str">
        <f t="shared" si="17"/>
        <v>Erik Gudbranson</v>
      </c>
      <c r="P511" s="18">
        <v>9</v>
      </c>
    </row>
  </sheetData>
  <hyperlinks>
    <hyperlink ref="A1" r:id="rId1" display="http://www.cbssports.com/fantasyhockey/players/playerpage/1128973/evgeni-malkin"/>
    <hyperlink ref="A2" r:id="rId2" display="http://www.cbssports.com/fantasyhockey/players/playerpage/559301/sidney-crosby"/>
    <hyperlink ref="A3" r:id="rId3" display="http://www.cbssports.com/fantasyhockey/players/playerpage/1757712/tyler-seguin"/>
    <hyperlink ref="A4" r:id="rId4" display="http://www.cbssports.com/fantasyhockey/players/playerpage/1628816/steven-stamkos"/>
    <hyperlink ref="A5" r:id="rId5" display="http://www.cbssports.com/fantasyhockey/players/playerpage/433588/patrice-bergeron"/>
    <hyperlink ref="A6" r:id="rId6" display="http://www.cbssports.com/fantasyhockey/players/playerpage/1133717/joe-pavelski"/>
    <hyperlink ref="A7" r:id="rId7" display="http://www.cbssports.com/fantasyhockey/players/playerpage/273557/jason-spezza"/>
    <hyperlink ref="A8" r:id="rId8" display="http://www.cbssports.com/fantasyhockey/players/playerpage/1685406/john-tavares"/>
    <hyperlink ref="A9" r:id="rId9" display="http://www.cbssports.com/fantasyhockey/players/playerpage/1133460/nicklas-backstrom"/>
    <hyperlink ref="A10" r:id="rId10" display="http://www.cbssports.com/fantasyhockey/players/playerpage/433595/ryan-getzlaf"/>
    <hyperlink ref="A11" r:id="rId11" display="http://www.cbssports.com/fantasyhockey/players/playerpage/565682/anze-kopitar"/>
    <hyperlink ref="A12" r:id="rId12" display="http://www.cbssports.com/fantasyhockey/players/playerpage/1282469/claude-giroux"/>
    <hyperlink ref="A13" r:id="rId13" display="http://www.cbssports.com/fantasyhockey/players/playerpage/1282456/jonathan-toews"/>
    <hyperlink ref="A14" r:id="rId14" display="http://www.cbssports.com/fantasyhockey/players/playerpage/434820/jeff-carter"/>
    <hyperlink ref="A15" r:id="rId15" display="http://www.cbssports.com/fantasyhockey/players/playerpage/1133596/david-krejci"/>
    <hyperlink ref="A16" r:id="rId16" display="http://www.cbssports.com/fantasyhockey/players/playerpage/2119761/evgeny-kuznetsov"/>
    <hyperlink ref="A17" r:id="rId17" display="http://www.cbssports.com/fantasyhockey/players/playerpage/19634/joe-thornton"/>
    <hyperlink ref="A18" r:id="rId18" display="http://www.cbssports.com/fantasyhockey/players/playerpage/1282170/logan-couture"/>
    <hyperlink ref="A19" r:id="rId19" display="http://www.cbssports.com/fantasyhockey/players/playerpage/1769716/ryan-johansen"/>
    <hyperlink ref="A20" r:id="rId20" display="http://www.cbssports.com/fantasyhockey/players/playerpage/1897780/mark-scheifele"/>
    <hyperlink ref="A21" r:id="rId21" display="http://www.cbssports.com/fantasyhockey/players/playerpage/433666/ryan-kesler"/>
    <hyperlink ref="A22" r:id="rId22" display="http://www.cbssports.com/fantasyhockey/players/playerpage/1903257/tyler-johnson"/>
    <hyperlink ref="A23" r:id="rId23" display="http://www.cbssports.com/fantasyhockey/players/playerpage/1133462/derick-brassard"/>
    <hyperlink ref="A24" r:id="rId24" display="http://www.cbssports.com/fantasyhockey/players/playerpage/1770995/derek-stepan"/>
    <hyperlink ref="A25" r:id="rId25" display="http://www.cbssports.com/fantasyhockey/players/playerpage/2178633/connor-mcdavid"/>
    <hyperlink ref="A26" r:id="rId26" display="http://www.cbssports.com/fantasyhockey/players/playerpage/1707454/brayden-schenn"/>
    <hyperlink ref="A27" r:id="rId27" display="http://www.cbssports.com/fantasyhockey/players/playerpage/2000657/alex-galchenyuk"/>
    <hyperlink ref="A28" r:id="rId28" display="http://www.cbssports.com/fantasyhockey/players/playerpage/274304/antoine-vermette"/>
    <hyperlink ref="A29" r:id="rId29" display="http://www.cbssports.com/fantasyhockey/players/playerpage/1685404/matt-duchene"/>
    <hyperlink ref="A30" r:id="rId30" display="http://www.cbssports.com/fantasyhockey/players/playerpage/2076030/sean-monahan"/>
    <hyperlink ref="A31" r:id="rId31" display="http://www.cbssports.com/fantasyhockey/players/playerpage/1897821/mika-zibanejad"/>
    <hyperlink ref="A32" r:id="rId32" display="http://www.cbssports.com/fantasyhockey/players/playerpage/2076014/aleksander-barkov"/>
    <hyperlink ref="A33" r:id="rId33" display="http://www.cbssports.com/fantasyhockey/players/playerpage/369005/tomas-plekanec"/>
    <hyperlink ref="A34" r:id="rId34" display="http://www.cbssports.com/fantasyhockey/players/playerpage/2076027/nathan-mackinnon"/>
    <hyperlink ref="A35" r:id="rId35" display="http://www.cbssports.com/fantasyhockey/players/playerpage/1899132/rickard-rakell"/>
    <hyperlink ref="A36" r:id="rId36" display="http://www.cbssports.com/fantasyhockey/players/playerpage/1707417/nazem-kadri"/>
    <hyperlink ref="A37" r:id="rId37" display="http://www.cbssports.com/fantasyhockey/players/playerpage/151204/henrik-sedin"/>
    <hyperlink ref="A38" r:id="rId38" display="http://www.cbssports.com/fantasyhockey/players/playerpage/1133423/bryan-little"/>
    <hyperlink ref="A39" r:id="rId39" display="http://www.cbssports.com/fantasyhockey/players/playerpage/1114920/paul-stastny"/>
    <hyperlink ref="A40" r:id="rId40" display="http://www.cbssports.com/fantasyhockey/players/playerpage/1769728/ryan-spooner"/>
    <hyperlink ref="A41" r:id="rId41" display="http://www.cbssports.com/fantasyhockey/players/playerpage/1743550/nick-bonino"/>
    <hyperlink ref="A42" r:id="rId42" display="http://www.cbssports.com/fantasyhockey/players/playerpage/1286409/artem-anisimov"/>
    <hyperlink ref="A43" r:id="rId43" display="http://www.cbssports.com/fantasyhockey/players/playerpage/1897806/vincent-trocheck"/>
    <hyperlink ref="A44" r:id="rId44" display="http://www.cbssports.com/fantasyhockey/players/playerpage/2147354/dylan-larkin"/>
    <hyperlink ref="A45" r:id="rId45" display="http://www.cbssports.com/fantasyhockey/players/playerpage/1639405/adam-henrique"/>
    <hyperlink ref="A46" r:id="rId46" display="http://www.cbssports.com/fantasyhockey/players/playerpage/152183/mike-ribeiro"/>
    <hyperlink ref="A47" r:id="rId47" display="http://www.cbssports.com/fantasyhockey/players/playerpage/1639481/zack-smith"/>
    <hyperlink ref="A48" r:id="rId48" display="http://www.cbssports.com/fantasyhockey/players/playerpage/2147285/robby-fabbri"/>
    <hyperlink ref="A49" r:id="rId49" display="http://www.cbssports.com/fantasyhockey/players/playerpage/1892911/jt-miller"/>
    <hyperlink ref="A50" r:id="rId50" display="http://www.cbssports.com/fantasyhockey/players/playerpage/1282477/mathieu-perreault"/>
    <hyperlink ref="A51" r:id="rId51" display="http://www.cbssports.com/fantasyhockey/players/playerpage/1897634/sean-couturier"/>
    <hyperlink ref="A52" r:id="rId52" display="http://www.cbssports.com/fantasyhockey/players/playerpage/566104/brandon-dubinsky"/>
    <hyperlink ref="A53" r:id="rId53" display="http://www.cbssports.com/fantasyhockey/players/playerpage/1770972/brandon-pirri"/>
    <hyperlink ref="A54" r:id="rId54" display="http://www.cbssports.com/fantasyhockey/players/playerpage/1897752/jean-gabriel-pageau"/>
    <hyperlink ref="A55" r:id="rId55" display="http://www.cbssports.com/fantasyhockey/players/playerpage/566114/mikko-koivu"/>
    <hyperlink ref="A56" r:id="rId56" display="http://www.cbssports.com/fantasyhockey/players/playerpage/1134138/frans-nielsen"/>
    <hyperlink ref="A57" r:id="rId57" display="http://www.cbssports.com/fantasyhockey/players/playerpage/1707441/ryan-oreilly"/>
    <hyperlink ref="A58" r:id="rId58" display="http://www.cbssports.com/fantasyhockey/players/playerpage/2076018/max-domi"/>
    <hyperlink ref="A59" r:id="rId59" display="http://www.cbssports.com/fantasyhockey/players/playerpage/1280555/mikael-backlund"/>
    <hyperlink ref="A60" r:id="rId60" display="http://www.cbssports.com/fantasyhockey/players/playerpage/1897763/victor-rask"/>
    <hyperlink ref="A61" r:id="rId61" display="http://www.cbssports.com/fantasyhockey/players/playerpage/2147463/william-nylander"/>
    <hyperlink ref="A62" r:id="rId62" display="http://www.cbssports.com/fantasyhockey/players/playerpage/1134121/martin-hanzal"/>
    <hyperlink ref="A63" r:id="rId63" display="http://www.cbssports.com/fantasyhockey/players/playerpage/1606858/kyle-turris"/>
    <hyperlink ref="A64" r:id="rId64" display="http://www.cbssports.com/fantasyhockey/players/playerpage/1707514/cody-eakin"/>
    <hyperlink ref="A65" r:id="rId65" display="http://www.cbssports.com/fantasyhockey/players/playerpage/1770957/riley-nash"/>
    <hyperlink ref="A66" r:id="rId66" display="http://www.cbssports.com/fantasyhockey/players/playerpage/1628807/lars-eller"/>
    <hyperlink ref="A67" r:id="rId67" display="http://www.cbssports.com/fantasyhockey/players/playerpage/1134156/carl-soderberg"/>
    <hyperlink ref="A68" r:id="rId68" display="http://www.cbssports.com/fantasyhockey/players/playerpage/2147141/leon-draisaitl"/>
    <hyperlink ref="A69" r:id="rId69" display="http://www.cbssports.com/fantasyhockey/players/playerpage/2094401/seth-griffith"/>
    <hyperlink ref="A70" r:id="rId70" display="http://www.cbssports.com/fantasyhockey/players/playerpage/1707849/tyler-bozak"/>
    <hyperlink ref="A71" r:id="rId71" display="http://www.cbssports.com/fantasyhockey/players/playerpage/2059787/brock-nelson"/>
    <hyperlink ref="A72" r:id="rId72" display="http://www.cbssports.com/fantasyhockey/players/playerpage/2178632/jack-eichel"/>
    <hyperlink ref="A73" r:id="rId73" display="http://www.cbssports.com/fantasyhockey/players/playerpage/2054009/nick-bjugstad"/>
    <hyperlink ref="A74" r:id="rId74" display="http://www.cbssports.com/fantasyhockey/players/playerpage/1134161/travis-zajac"/>
    <hyperlink ref="A75" r:id="rId75" display="http://www.cbssports.com/fantasyhockey/players/playerpage/1133726/jordan-staal"/>
    <hyperlink ref="A76" r:id="rId76" display="http://www.cbssports.com/fantasyhockey/players/playerpage/19630/matt-cullen"/>
    <hyperlink ref="A77" r:id="rId77" display="http://www.cbssports.com/fantasyhockey/players/playerpage/566179/valtteri-filppula"/>
    <hyperlink ref="A78" r:id="rId78" display="http://www.cbssports.com/fantasyhockey/players/playerpage/2197831/mattias-janmark"/>
    <hyperlink ref="A79" r:id="rId79" display="http://www.cbssports.com/fantasyhockey/players/playerpage/1897737/vladislav-namestnikov"/>
    <hyperlink ref="A80" r:id="rId80" display="http://www.cbssports.com/fantasyhockey/players/playerpage/1770889/joe-colborne"/>
    <hyperlink ref="A81" r:id="rId81" display="http://www.cbssports.com/fantasyhockey/players/playerpage/1899125/ryan-nugent-hopkins"/>
    <hyperlink ref="A82" r:id="rId82" display="http://www.cbssports.com/fantasyhockey/players/playerpage/2076022/bo-horvat"/>
    <hyperlink ref="A83" r:id="rId83" display="http://www.cbssports.com/fantasyhockey/players/playerpage/2197887/frank-vatrano"/>
    <hyperlink ref="A84" r:id="rId84" display="http://www.cbssports.com/fantasyhockey/players/playerpage/1639390/tyler-ennis"/>
    <hyperlink ref="A85" r:id="rId85" display="http://www.cbssports.com/fantasyhockey/players/playerpage/2076042/alexander-wennberg"/>
    <hyperlink ref="A86" r:id="rId86" display="http://www.cbssports.com/fantasyhockey/players/playerpage/1282214/brian-boyle"/>
    <hyperlink ref="A87" r:id="rId87" display="http://www.cbssports.com/fantasyhockey/players/playerpage/2147297/jori-lehtera"/>
    <hyperlink ref="A88" r:id="rId88" display="http://www.cbssports.com/fantasyhockey/players/playerpage/2000655/radek-faksa"/>
    <hyperlink ref="A89" r:id="rId89" display="http://www.cbssports.com/fantasyhockey/players/playerpage/1282417/patrik-berglund"/>
    <hyperlink ref="A90" r:id="rId90" display="http://www.cbssports.com/fantasyhockey/players/playerpage/20424/mike-fisher"/>
    <hyperlink ref="A91" r:id="rId91" display="http://www.cbssports.com/fantasyhockey/players/playerpage/1707465/linden-vey"/>
    <hyperlink ref="A92" r:id="rId92" display="http://www.cbssports.com/fantasyhockey/players/playerpage/433611/eric-staal"/>
    <hyperlink ref="A93" r:id="rId93" display="http://www.cbssports.com/fantasyhockey/players/playerpage/1639595/david-desharnais"/>
    <hyperlink ref="A94" r:id="rId94" display="http://www.cbssports.com/fantasyhockey/players/playerpage/1605163/jay-beagle"/>
    <hyperlink ref="A95" r:id="rId95" display="http://www.cbssports.com/fantasyhockey/players/playerpage/2094584/calle-jarnkrok"/>
    <hyperlink ref="A96" r:id="rId96" display="http://www.cbssports.com/fantasyhockey/players/playerpage/2094655/chris-wagner"/>
    <hyperlink ref="A97" r:id="rId97" display="http://www.cbssports.com/fantasyhockey/players/playerpage/2036205/mikael-granlund"/>
    <hyperlink ref="A98" r:id="rId98" display="http://www.cbssports.com/fantasyhockey/players/playerpage/565675/darren-helm"/>
    <hyperlink ref="A99" r:id="rId99" display="http://www.cbssports.com/fantasyhockey/players/playerpage/2041394/charlie-coyle"/>
    <hyperlink ref="A100" r:id="rId100" display="http://www.cbssports.com/fantasyhockey/players/playerpage/1280611/brandon-sutter"/>
    <hyperlink ref="A101" r:id="rId101" display="http://www.cbssports.com/fantasyhockey/players/playerpage/151109/chris-kelly"/>
    <hyperlink ref="A102" r:id="rId102" display="http://www.cbssports.com/fantasyhockey/players/playerpage/2147185/melker-karlsson"/>
    <hyperlink ref="A103" r:id="rId103" display="http://www.cbssports.com/fantasyhockey/players/playerpage/1282169/paul-byron"/>
    <hyperlink ref="A104" r:id="rId104" display="http://www.cbssports.com/fantasyhockey/players/playerpage/2198231/pavel-zacha"/>
    <hyperlink ref="A105" r:id="rId105" display="http://www.cbssports.com/fantasyhockey/players/playerpage/2147496/sam-reinhart"/>
    <hyperlink ref="A106" r:id="rId106" display="http://www.cbssports.com/fantasyhockey/players/playerpage/2198317/jared-mccann"/>
    <hyperlink ref="A107" r:id="rId107" display="http://www.cbssports.com/fantasyhockey/players/playerpage/1133476/shawn-matthias"/>
    <hyperlink ref="A108" r:id="rId108" display="http://www.cbssports.com/fantasyhockey/players/playerpage/2245506/auston-matthews"/>
    <hyperlink ref="A109" r:id="rId109" display="http://www.cbssports.com/fantasyhockey/players/playerpage/2184557/mitchell-marner"/>
    <hyperlink ref="A110" r:id="rId110" display="http://www.cbssports.com/fantasyhockey/players/playerpage/2093845/joseph-blandisi"/>
    <hyperlink ref="A111" r:id="rId111" display="http://www.cbssports.com/fantasyhockey/players/playerpage/2094579/erik-haula"/>
    <hyperlink ref="A112" r:id="rId112" display="http://www.cbssports.com/fantasyhockey/players/playerpage/1897598/jonathan-marchessault"/>
    <hyperlink ref="A113" r:id="rId113" display="http://www.cbssports.com/fantasyhockey/players/playerpage/1899096/tyler-graovac"/>
    <hyperlink ref="A114" r:id="rId114" display="http://www.cbssports.com/fantasyhockey/players/playerpage/2178635/dylan-strome"/>
    <hyperlink ref="A115" r:id="rId115" display="http://www.cbssports.com/fantasyhockey/players/playerpage/1133473/trevor-lewis"/>
    <hyperlink ref="A116" r:id="rId116" display="http://www.cbssports.com/fantasyhockey/players/playerpage/566122/john-mitchell"/>
    <hyperlink ref="A117" r:id="rId117" display="http://www.cbssports.com/fantasyhockey/players/playerpage/1964559/riley-sheahan"/>
    <hyperlink ref="A118" r:id="rId118" display="http://www.cbssports.com/fantasyhockey/players/playerpage/2000664/scott-laughton"/>
    <hyperlink ref="A119" r:id="rId119" display="http://www.cbssports.com/fantasyhockey/players/playerpage/2094650/chris-tierney"/>
    <hyperlink ref="A120" r:id="rId120" display="http://www.cbssports.com/fantasyhockey/players/playerpage/2000660/mikhail-grigorenko"/>
    <hyperlink ref="A121" r:id="rId121" display="http://www.cbssports.com/fantasyhockey/players/playerpage/433607/brad-richardson"/>
    <hyperlink ref="A122" r:id="rId122" display="http://www.cbssports.com/fantasyhockey/players/playerpage/2147494/dennis-rasmussen"/>
    <hyperlink ref="A123" r:id="rId123" display="http://www.cbssports.com/fantasyhockey/players/playerpage/2094056/cedric-paquette"/>
    <hyperlink ref="A124" r:id="rId124" display="http://www.cbssports.com/fantasyhockey/players/playerpage/1707933/andrew-desjardins"/>
    <hyperlink ref="A125" r:id="rId125" display="http://www.cbssports.com/fantasyhockey/players/playerpage/2093866/colton-sissons"/>
    <hyperlink ref="A126" r:id="rId126" display="http://www.cbssports.com/fantasyhockey/players/playerpage/1280567/sam-gagner"/>
    <hyperlink ref="A127" r:id="rId127" display="http://www.cbssports.com/fantasyhockey/players/playerpage/2095135/luke-glendening"/>
    <hyperlink ref="A128" r:id="rId128" display="http://www.cbssports.com/fantasyhockey/players/playerpage/1897594/andy-andreoff"/>
    <hyperlink ref="A129" r:id="rId129" display="http://www.cbssports.com/fantasyhockey/players/playerpage/1812123/marcus-kruger"/>
    <hyperlink ref="A130" r:id="rId130" display="http://www.cbssports.com/fantasyhockey/players/playerpage/2094620/joakim-nordstrom"/>
    <hyperlink ref="A131" r:id="rId131" display="http://www.cbssports.com/fantasyhockey/players/playerpage/1899080/phillip-danault"/>
    <hyperlink ref="A132" r:id="rId132" display="http://www.cbssports.com/fantasyhockey/players/playerpage/2094558/laurent-dauphin"/>
    <hyperlink ref="A133" r:id="rId133" display="http://www.cbssports.com/fantasyhockey/players/playerpage/1713505/mark-letestu"/>
    <hyperlink ref="A134" r:id="rId134" display="http://www.cbssports.com/fantasyhockey/players/playerpage/1133593/stephen-gionta"/>
    <hyperlink ref="A135" r:id="rId135" display="http://www.cbssports.com/fantasyhockey/players/playerpage/2094643/nick-shore"/>
    <hyperlink ref="A136" r:id="rId136" display="http://www.cbssports.com/fantasyhockey/players/playerpage/2044867/brian-flynn"/>
    <hyperlink ref="A137" r:id="rId137" display="http://www.cbssports.com/fantasyhockey/players/playerpage/2076016/marko-dano"/>
    <hyperlink ref="A138" r:id="rId138" display="http://www.cbssports.com/fantasyhockey/players/playerpage/435114/kyle-brodziak"/>
    <hyperlink ref="A139" r:id="rId139" display="http://www.cbssports.com/fantasyhockey/players/playerpage/1770930/jacob-josefson"/>
    <hyperlink ref="A140" r:id="rId140" display="http://www.cbssports.com/fantasyhockey/players/playerpage/2000678/teuvo-teravainen"/>
    <hyperlink ref="A141" r:id="rId141" display="http://www.cbssports.com/fantasyhockey/players/playerpage/1771009/chris-vandevelde"/>
    <hyperlink ref="A142" r:id="rId142" display="http://www.cbssports.com/fantasyhockey/players/playerpage/2147184/william-karlsson"/>
    <hyperlink ref="A143" r:id="rId143" display="http://www.cbssports.com/fantasyhockey/players/playerpage/2198225/sergey-kalinin"/>
    <hyperlink ref="A144" r:id="rId144" display="http://www.cbssports.com/fantasyhockey/players/playerpage/2094573/markus-granlund"/>
    <hyperlink ref="A145" r:id="rId145" display="http://www.cbssports.com/fantasyhockey/players/playerpage/152173/derek-mackenzie"/>
    <hyperlink ref="A146" r:id="rId146" display="http://www.cbssports.com/fantasyhockey/players/playerpage/1137120/ryan-carter"/>
    <hyperlink ref="A147" r:id="rId147" display="http://www.cbssports.com/fantasyhockey/players/playerpage/204707/steve-ott"/>
    <hyperlink ref="A148" r:id="rId148" display="http://www.cbssports.com/fantasyhockey/players/playerpage/368528/boyd-gordon"/>
    <hyperlink ref="A149" r:id="rId149" display="http://www.cbssports.com/fantasyhockey/players/playerpage/2000659/zemgus-girgensons"/>
    <hyperlink ref="A150" r:id="rId150" display="http://www.cbssports.com/fantasyhockey/players/playerpage/565361/dave-bolland"/>
    <hyperlink ref="A151" r:id="rId151" display="http://www.cbssports.com/fantasyhockey/players/playerpage/274275/jay-mcclement"/>
    <hyperlink ref="A152" r:id="rId152" display="http://www.cbssports.com/fantasyhockey/players/playerpage/368994/brooks-laich"/>
    <hyperlink ref="A153" r:id="rId153" display="http://www.cbssports.com/fantasyhockey/players/playerpage/1240390/patrick-kane"/>
    <hyperlink ref="A154" r:id="rId154" display="http://www.cbssports.com/fantasyhockey/players/playerpage/2094594/nikita-kucherov"/>
    <hyperlink ref="A155" r:id="rId155" display="http://www.cbssports.com/fantasyhockey/players/playerpage/1133422/phil-kessel"/>
    <hyperlink ref="A156" r:id="rId156" display="http://www.cbssports.com/fantasyhockey/players/playerpage/1778768/vladimir-tarasenko"/>
    <hyperlink ref="A157" r:id="rId157" display="http://www.cbssports.com/fantasyhockey/players/playerpage/433603/corey-perry"/>
    <hyperlink ref="A158" r:id="rId158" display="http://www.cbssports.com/fantasyhockey/players/playerpage/565402/james-neal"/>
    <hyperlink ref="A159" r:id="rId159" display="http://www.cbssports.com/fantasyhockey/players/playerpage/1280606/wayne-simmonds"/>
    <hyperlink ref="A160" r:id="rId160" display="http://www.cbssports.com/fantasyhockey/players/playerpage/1622609/blake-wheeler"/>
    <hyperlink ref="A161" r:id="rId161" display="http://www.cbssports.com/fantasyhockey/players/playerpage/1280574/patric-hornqvist"/>
    <hyperlink ref="A162" r:id="rId162" display="http://www.cbssports.com/fantasyhockey/players/playerpage/1770996/mark-stone"/>
    <hyperlink ref="A163" r:id="rId163" display="http://www.cbssports.com/fantasyhockey/players/playerpage/1280617/jakub-voracek"/>
    <hyperlink ref="A164" r:id="rId164" display="http://www.cbssports.com/fantasyhockey/players/playerpage/1771071/brendan-gallagher"/>
    <hyperlink ref="A165" r:id="rId165" display="http://www.cbssports.com/fantasyhockey/players/playerpage/1628812/tj-oshie"/>
    <hyperlink ref="A166" r:id="rId166" display="http://www.cbssports.com/fantasyhockey/players/playerpage/1771018/mats-zuccarello"/>
    <hyperlink ref="A167" r:id="rId167" display="http://www.cbssports.com/fantasyhockey/players/playerpage/19668/marian-hossa"/>
    <hyperlink ref="A168" r:id="rId168" display="http://www.cbssports.com/fantasyhockey/players/playerpage/1771005/tyler-toffoli"/>
    <hyperlink ref="A169" r:id="rId169" display="http://www.cbssports.com/fantasyhockey/players/playerpage/273227/pa-parenteau"/>
    <hyperlink ref="A170" r:id="rId170" display="http://www.cbssports.com/fantasyhockey/players/playerpage/433597/jiri-hudler"/>
    <hyperlink ref="A171" r:id="rId171" display="http://www.cbssports.com/fantasyhockey/players/playerpage/204851/justin-williams"/>
    <hyperlink ref="A172" r:id="rId172" display="http://www.cbssports.com/fantasyhockey/players/playerpage/1134106/david-backes"/>
    <hyperlink ref="A173" r:id="rId173" display="http://www.cbssports.com/fantasyhockey/players/playerpage/1770966/kyle-palmieri"/>
    <hyperlink ref="A174" r:id="rId174" display="http://www.cbssports.com/fantasyhockey/players/playerpage/565257/bobby-ryan"/>
    <hyperlink ref="A175" r:id="rId175" display="http://www.cbssports.com/fantasyhockey/players/playerpage/2147516/nick-schmaltz"/>
    <hyperlink ref="A176" r:id="rId176" display="http://www.cbssports.com/fantasyhockey/players/playerpage/19368/shane-doan"/>
    <hyperlink ref="A177" r:id="rId177" display="http://www.cbssports.com/fantasyhockey/players/playerpage/1970778/jakob-silfverberg"/>
    <hyperlink ref="A178" r:id="rId178" display="http://www.cbssports.com/fantasyhockey/players/playerpage/19278/jaromir-jagr"/>
    <hyperlink ref="A179" r:id="rId179" display="http://www.cbssports.com/fantasyhockey/players/playerpage/1283869/teddy-purcell"/>
    <hyperlink ref="A180" r:id="rId180" display="http://www.cbssports.com/fantasyhockey/players/playerpage/2076021/ryan-hartman"/>
    <hyperlink ref="A181" r:id="rId181" display="http://www.cbssports.com/fantasyhockey/players/playerpage/2147475/david-pastrnak"/>
    <hyperlink ref="A182" r:id="rId182" display="http://www.cbssports.com/fantasyhockey/players/playerpage/1639388/jordan-eberle"/>
    <hyperlink ref="A183" r:id="rId183" display="http://www.cbssports.com/fantasyhockey/players/playerpage/1897597/cam-atkinson"/>
    <hyperlink ref="A184" r:id="rId184" display="http://www.cbssports.com/fantasyhockey/players/playerpage/274306/joel-ward"/>
    <hyperlink ref="A185" r:id="rId185" display="http://www.cbssports.com/fantasyhockey/players/playerpage/273213/ales-hemsky"/>
    <hyperlink ref="A186" r:id="rId186" display="http://www.cbssports.com/fantasyhockey/players/playerpage/1960631/reilly-smith"/>
    <hyperlink ref="A187" r:id="rId187" display="http://www.cbssports.com/fantasyhockey/players/playerpage/19096/jarome-iginla"/>
    <hyperlink ref="A188" r:id="rId188" display="http://www.cbssports.com/fantasyhockey/players/playerpage/565668/loui-eriksson"/>
    <hyperlink ref="A189" r:id="rId189" display="http://www.cbssports.com/fantasyhockey/players/playerpage/1899139/andrew-shaw"/>
    <hyperlink ref="A190" r:id="rId190" display="http://www.cbssports.com/fantasyhockey/players/playerpage/1897791/craig-smith"/>
    <hyperlink ref="A191" r:id="rId191" display="http://www.cbssports.com/fantasyhockey/players/playerpage/566017/jannik-hansen"/>
    <hyperlink ref="A192" r:id="rId192" display="http://www.cbssports.com/fantasyhockey/players/playerpage/566058/lee-stempniak"/>
    <hyperlink ref="A193" r:id="rId193" display="http://www.cbssports.com/fantasyhockey/players/playerpage/1897745/gustav-nyquist"/>
    <hyperlink ref="A194" r:id="rId194" display="http://www.cbssports.com/fantasyhockey/players/playerpage/565839/alexander-radulov"/>
    <hyperlink ref="A195" r:id="rId195" display="http://www.cbssports.com/fantasyhockey/players/playerpage/1493839/kyle-okposo"/>
    <hyperlink ref="A196" r:id="rId196" display="http://www.cbssports.com/fantasyhockey/players/playerpage/2145886/kevin-hayes"/>
    <hyperlink ref="A197" r:id="rId197" display="http://www.cbssports.com/fantasyhockey/players/playerpage/205109/marian-gaborik"/>
    <hyperlink ref="A198" r:id="rId198" display="http://www.cbssports.com/fantasyhockey/players/playerpage/2147507/bryan-rust"/>
    <hyperlink ref="A199" r:id="rId199" display="http://www.cbssports.com/fantasyhockey/players/playerpage/1899100/jimmy-hayes"/>
    <hyperlink ref="A200" r:id="rId200" display="http://www.cbssports.com/fantasyhockey/players/playerpage/1133619/drew-stafford"/>
    <hyperlink ref="A201" r:id="rId201" display="http://www.cbssports.com/fantasyhockey/players/playerpage/2197818/joonas-donskoi"/>
    <hyperlink ref="A202" r:id="rId202" display="http://www.cbssports.com/fantasyhockey/players/playerpage/565363/troy-brouwer"/>
    <hyperlink ref="A203" r:id="rId203" display="http://www.cbssports.com/fantasyhockey/players/playerpage/1765199/nino-niederreiter"/>
    <hyperlink ref="A204" r:id="rId204" display="http://www.cbssports.com/fantasyhockey/players/playerpage/272751/jason-pominville"/>
    <hyperlink ref="A205" r:id="rId205" display="http://www.cbssports.com/fantasyhockey/players/playerpage/2197880/nikita-soshnikov"/>
    <hyperlink ref="A206" r:id="rId206" display="http://www.cbssports.com/fantasyhockey/players/playerpage/2000681/tom-wilson"/>
    <hyperlink ref="A207" r:id="rId207" display="http://www.cbssports.com/fantasyhockey/players/playerpage/151231/radim-vrbata"/>
    <hyperlink ref="A208" r:id="rId208" display="http://www.cbssports.com/fantasyhockey/players/playerpage/273354/jordin-tootoo"/>
    <hyperlink ref="A209" r:id="rId209" display="http://www.cbssports.com/fantasyhockey/players/playerpage/1961381/jt-brown"/>
    <hyperlink ref="A210" r:id="rId210" display="http://www.cbssports.com/fantasyhockey/players/playerpage/433636/dustin-brown"/>
    <hyperlink ref="A211" r:id="rId211" display="http://www.cbssports.com/fantasyhockey/players/playerpage/1707443/richard-panik"/>
    <hyperlink ref="A212" r:id="rId212" display="http://www.cbssports.com/fantasyhockey/players/playerpage/433648/eric-fehr"/>
    <hyperlink ref="A213" r:id="rId213" display="http://www.cbssports.com/fantasyhockey/players/playerpage/2094595/tom-kuhnhackl"/>
    <hyperlink ref="A214" r:id="rId214" display="http://www.cbssports.com/fantasyhockey/players/playerpage/2094395/oliver-bjorkstrand"/>
    <hyperlink ref="A215" r:id="rId215" display="http://www.cbssports.com/fantasyhockey/players/playerpage/1897797/ryan-strome"/>
    <hyperlink ref="A216" r:id="rId216" display="http://www.cbssports.com/fantasyhockey/players/playerpage/2076026/elias-lindholm"/>
    <hyperlink ref="A217" r:id="rId217" display="http://www.cbssports.com/fantasyhockey/players/playerpage/1639496/dale-weise"/>
    <hyperlink ref="A218" r:id="rId218" display="http://www.cbssports.com/fantasyhockey/players/playerpage/1133704/michael-grabner"/>
    <hyperlink ref="A219" r:id="rId219" display="http://www.cbssports.com/fantasyhockey/players/playerpage/2245503/patrik-laine"/>
    <hyperlink ref="A220" r:id="rId220" display="http://www.cbssports.com/fantasyhockey/players/playerpage/1285575/torrey-mitchell"/>
    <hyperlink ref="A221" r:id="rId221" display="http://www.cbssports.com/fantasyhockey/players/playerpage/1707567/tyler-randell"/>
    <hyperlink ref="A222" r:id="rId222" display="http://www.cbssports.com/fantasyhockey/players/playerpage/2094564/jesper-fast"/>
    <hyperlink ref="A223" r:id="rId223" display="http://www.cbssports.com/fantasyhockey/players/playerpage/565360/jared-boll"/>
    <hyperlink ref="A224" r:id="rId224" display="http://www.cbssports.com/fantasyhockey/players/playerpage/1897766/matt-read"/>
    <hyperlink ref="A225" r:id="rId225" display="http://www.cbssports.com/fantasyhockey/players/playerpage/1771015/tommy-wingels"/>
    <hyperlink ref="A226" r:id="rId226" display="http://www.cbssports.com/fantasyhockey/players/playerpage/2076028/anthony-mantha"/>
    <hyperlink ref="A227" r:id="rId227" display="http://www.cbssports.com/fantasyhockey/players/playerpage/1280563/derek-dorsett"/>
    <hyperlink ref="A228" r:id="rId228" display="http://www.cbssports.com/fantasyhockey/players/playerpage/371763/alex-burrows"/>
    <hyperlink ref="A229" r:id="rId229" display="http://www.cbssports.com/fantasyhockey/players/playerpage/1133466/cal-clutterbuck"/>
    <hyperlink ref="A230" r:id="rId230" display="http://www.cbssports.com/fantasyhockey/players/playerpage/1133489/chris-stewart"/>
    <hyperlink ref="A231" r:id="rId231" display="http://www.cbssports.com/fantasyhockey/players/playerpage/204694/chris-neil"/>
    <hyperlink ref="A232" r:id="rId232" display="http://www.cbssports.com/fantasyhockey/players/playerpage/2076025/curtis-lazar"/>
    <hyperlink ref="A233" r:id="rId233" display="http://www.cbssports.com/fantasyhockey/players/playerpage/2198328/jake-virtanen"/>
    <hyperlink ref="A234" r:id="rId234" display="http://www.cbssports.com/fantasyhockey/players/playerpage/1639425/nikolay-kulemin"/>
    <hyperlink ref="A235" r:id="rId235" display="http://www.cbssports.com/fantasyhockey/players/playerpage/2000682/nail-yakupov"/>
    <hyperlink ref="A236" r:id="rId236" display="http://www.cbssports.com/fantasyhockey/players/playerpage/2245512/jesse-puljujarvi"/>
    <hyperlink ref="A237" r:id="rId237" display="http://www.cbssports.com/fantasyhockey/players/playerpage/1707586/erik-condra"/>
    <hyperlink ref="A238" r:id="rId238" display="http://www.cbssports.com/fantasyhockey/players/playerpage/1897665/ryan-garbutt"/>
    <hyperlink ref="A239" r:id="rId239" display="http://www.cbssports.com/fantasyhockey/players/playerpage/2054434/dmitrij-jaskin"/>
    <hyperlink ref="A240" r:id="rId240" display="http://www.cbssports.com/fantasyhockey/players/playerpage/2094638/miikka-salomaki"/>
    <hyperlink ref="A241" r:id="rId241" display="http://www.cbssports.com/fantasyhockey/players/playerpage/1707418/zack-kassian"/>
    <hyperlink ref="A242" r:id="rId242" display="http://www.cbssports.com/fantasyhockey/players/playerpage/1639479/colton-sceviour"/>
    <hyperlink ref="A243" r:id="rId243" display="http://www.cbssports.com/fantasyhockey/players/playerpage/274253/brian-gionta"/>
    <hyperlink ref="A244" r:id="rId244" display="http://www.cbssports.com/fantasyhockey/players/playerpage/1770901/emerson-etem"/>
    <hyperlink ref="A245" r:id="rId245" display="http://www.cbssports.com/fantasyhockey/players/playerpage/2178852/mikko-rantanen"/>
    <hyperlink ref="A246" r:id="rId246" display="http://www.cbssports.com/fantasyhockey/players/playerpage/1899092/stanislav-galiev"/>
    <hyperlink ref="A247" r:id="rId247" display="http://www.cbssports.com/fantasyhockey/players/playerpage/2095130/joel-armia"/>
    <hyperlink ref="A248" r:id="rId248" display="http://www.cbssports.com/fantasyhockey/players/playerpage/566097/david-clarkson"/>
    <hyperlink ref="A249" r:id="rId249" display="http://www.cbssports.com/fantasyhockey/players/playerpage/2050261/alex-chiasson"/>
    <hyperlink ref="A250" r:id="rId250" display="http://www.cbssports.com/fantasyhockey/players/playerpage/272754/chris-thorburn"/>
    <hyperlink ref="A251" r:id="rId251" display="http://www.cbssports.com/fantasyhockey/players/playerpage/2038300/beau-bennett"/>
    <hyperlink ref="A252" r:id="rId252" display="http://www.cbssports.com/fantasyhockey/players/playerpage/1639346/jamie-benn"/>
    <hyperlink ref="A253" r:id="rId253" display="http://www.cbssports.com/fantasyhockey/players/playerpage/559829/alex-ovechkin"/>
    <hyperlink ref="A254" r:id="rId254" display="http://www.cbssports.com/fantasyhockey/players/playerpage/2197859/artemi-panarin"/>
    <hyperlink ref="A255" r:id="rId255" display="http://www.cbssports.com/fantasyhockey/players/playerpage/1133425/brad-marchand"/>
    <hyperlink ref="A256" r:id="rId256" display="http://www.cbssports.com/fantasyhockey/players/playerpage/1628813/max-pacioretty"/>
    <hyperlink ref="A257" r:id="rId257" display="http://www.cbssports.com/fantasyhockey/players/playerpage/2123003/johnny-gaudreau"/>
    <hyperlink ref="A258" r:id="rId258" display="http://www.cbssports.com/fantasyhockey/players/playerpage/2000656/filip-forsberg"/>
    <hyperlink ref="A259" r:id="rId259" display="http://www.cbssports.com/fantasyhockey/players/playerpage/369012/patrick-sharp"/>
    <hyperlink ref="A260" r:id="rId260" display="http://www.cbssports.com/fantasyhockey/players/playerpage/1137449/mike-hoffman"/>
    <hyperlink ref="A261" r:id="rId261" display="http://www.cbssports.com/fantasyhockey/players/playerpage/151203/daniel-sedin"/>
    <hyperlink ref="A262" r:id="rId262" display="http://www.cbssports.com/fantasyhockey/players/playerpage/367818/alexander-steen"/>
    <hyperlink ref="A263" r:id="rId263" display="http://www.cbssports.com/fantasyhockey/players/playerpage/1628803/mikkel-boedker"/>
    <hyperlink ref="A264" r:id="rId264" display="http://www.cbssports.com/fantasyhockey/players/playerpage/368971/michael-cammalleri"/>
    <hyperlink ref="A265" r:id="rId265" display="http://www.cbssports.com/fantasyhockey/players/playerpage/2076019/jonathan-drouin"/>
    <hyperlink ref="A266" r:id="rId266" display="http://www.cbssports.com/fantasyhockey/players/playerpage/346970/rick-nash"/>
    <hyperlink ref="A267" r:id="rId267" display="http://www.cbssports.com/fantasyhockey/players/playerpage/1757713/taylor-hall"/>
    <hyperlink ref="A268" r:id="rId268" display="http://www.cbssports.com/fantasyhockey/players/playerpage/1897673/carl-hagelin"/>
    <hyperlink ref="A269" r:id="rId269" display="http://www.cbssports.com/fantasyhockey/players/playerpage/557239/zach-parise"/>
    <hyperlink ref="A270" r:id="rId270" display="http://www.cbssports.com/fantasyhockey/players/playerpage/1897753/ondrej-palat"/>
    <hyperlink ref="A271" r:id="rId271" display="http://www.cbssports.com/fantasyhockey/players/playerpage/435197/chris-kunitz"/>
    <hyperlink ref="A272" r:id="rId272" display="http://www.cbssports.com/fantasyhockey/players/playerpage/1897704/gabriel-landeskog"/>
    <hyperlink ref="A273" r:id="rId273" display="http://www.cbssports.com/fantasyhockey/players/playerpage/1771123/marcus-johansson"/>
    <hyperlink ref="A274" r:id="rId274" display="http://www.cbssports.com/fantasyhockey/players/playerpage/565239/andrew-ladd"/>
    <hyperlink ref="A275" r:id="rId275" display="http://www.cbssports.com/fantasyhockey/players/playerpage/19674/patrick-marleau"/>
    <hyperlink ref="A276" r:id="rId276" display="http://www.cbssports.com/fantasyhockey/players/playerpage/1966327/chris-kreider"/>
    <hyperlink ref="A277" r:id="rId277" display="http://www.cbssports.com/fantasyhockey/players/playerpage/2042076/alex-killorn"/>
    <hyperlink ref="A278" r:id="rId278" display="http://www.cbssports.com/fantasyhockey/players/playerpage/1689413/james-van-riemsdyk"/>
    <hyperlink ref="A279" r:id="rId279" display="http://www.cbssports.com/fantasyhockey/players/playerpage/2000661/tomas-hertl"/>
    <hyperlink ref="A280" r:id="rId280" display="http://www.cbssports.com/fantasyhockey/players/playerpage/2147277/daniel-carr"/>
    <hyperlink ref="A281" r:id="rId281" display="http://www.cbssports.com/fantasyhockey/players/playerpage/1899136/brandon-saad"/>
    <hyperlink ref="A282" r:id="rId282" display="http://www.cbssports.com/fantasyhockey/players/playerpage/1897686/jonathan-huberdeau"/>
    <hyperlink ref="A283" r:id="rId283" display="http://www.cbssports.com/fantasyhockey/players/playerpage/1897689/boone-jenner"/>
    <hyperlink ref="A284" r:id="rId284" display="http://www.cbssports.com/fantasyhockey/players/playerpage/1770990/jeff-skinner"/>
    <hyperlink ref="A285" r:id="rId285" display="http://www.cbssports.com/fantasyhockey/players/playerpage/151240/henrik-zetterberg"/>
    <hyperlink ref="A286" r:id="rId286" display="http://www.cbssports.com/fantasyhockey/players/playerpage/1639343/matt-beleskey"/>
    <hyperlink ref="A287" r:id="rId287" display="http://www.cbssports.com/fantasyhockey/players/playerpage/2094409/curtis-mckenzie"/>
    <hyperlink ref="A288" r:id="rId288" display="http://www.cbssports.com/fantasyhockey/players/playerpage/204569/scott-hartnell"/>
    <hyperlink ref="A289" r:id="rId289" display="http://www.cbssports.com/fantasyhockey/players/playerpage/1606856/justin-abdelkader"/>
    <hyperlink ref="A290" r:id="rId290" display="http://www.cbssports.com/fantasyhockey/players/playerpage/565389/jussi-jokinen"/>
    <hyperlink ref="A291" r:id="rId291" display="http://www.cbssports.com/fantasyhockey/players/playerpage/1707561/evander-kane"/>
    <hyperlink ref="A292" r:id="rId292" display="http://www.cbssports.com/fantasyhockey/players/playerpage/1707461/tomas-tatar"/>
    <hyperlink ref="A293" r:id="rId293" display="http://www.cbssports.com/fantasyhockey/players/playerpage/566127/benoit-pouliot"/>
    <hyperlink ref="A294" r:id="rId294" display="http://www.cbssports.com/fantasyhockey/players/playerpage/2260805/jimmy-vesey"/>
    <hyperlink ref="A295" r:id="rId295" display="http://www.cbssports.com/fantasyhockey/players/playerpage/1778767/jaden-schwartz"/>
    <hyperlink ref="A296" r:id="rId296" display="http://www.cbssports.com/fantasyhockey/players/playerpage/2038244/leo-komarov"/>
    <hyperlink ref="A297" r:id="rId297" display="http://www.cbssports.com/fantasyhockey/players/playerpage/1899135/antoine-roussel"/>
    <hyperlink ref="A298" r:id="rId298" display="http://www.cbssports.com/fantasyhockey/players/playerpage/1282181/david-perron"/>
    <hyperlink ref="A299" r:id="rId299" display="http://www.cbssports.com/fantasyhockey/players/playerpage/1282428/michael-frolik"/>
    <hyperlink ref="A300" r:id="rId300" display="http://www.cbssports.com/fantasyhockey/players/playerpage/2053408/anders-lee"/>
    <hyperlink ref="A301" r:id="rId301" display="http://www.cbssports.com/fantasyhockey/players/playerpage/2146557/kevin-fiala"/>
    <hyperlink ref="A302" r:id="rId302" display="http://www.cbssports.com/fantasyhockey/players/playerpage/1689412/colin-wilson"/>
    <hyperlink ref="A303" r:id="rId303" display="http://www.cbssports.com/fantasyhockey/players/playerpage/2076015/andre-burakovsky"/>
    <hyperlink ref="A304" r:id="rId304" display="http://www.cbssports.com/fantasyhockey/players/playerpage/2147336/nikolaj-ehlers"/>
    <hyperlink ref="A305" r:id="rId305" display="http://www.cbssports.com/fantasyhockey/players/playerpage/2000670/tanner-pearson"/>
    <hyperlink ref="A306" r:id="rId306" display="http://www.cbssports.com/fantasyhockey/players/playerpage/1134160/daniel-winnik"/>
    <hyperlink ref="A307" r:id="rId307" display="http://www.cbssports.com/fantasyhockey/players/playerpage/565429/thomas-vanek"/>
    <hyperlink ref="A308" r:id="rId308" display="http://www.cbssports.com/fantasyhockey/players/playerpage/2147081/sam-bennett"/>
    <hyperlink ref="A309" r:id="rId309" display="http://www.cbssports.com/fantasyhockey/players/playerpage/1133703/nick-foligno"/>
    <hyperlink ref="A310" r:id="rId310" display="http://www.cbssports.com/fantasyhockey/players/playerpage/1284625/andrew-cogliano"/>
    <hyperlink ref="A311" r:id="rId311" display="http://www.cbssports.com/fantasyhockey/players/playerpage/2094560/anthony-duclair"/>
    <hyperlink ref="A312" r:id="rId312" display="http://www.cbssports.com/fantasyhockey/players/playerpage/2147521/conor-sheary"/>
    <hyperlink ref="A313" r:id="rId313" display="http://www.cbssports.com/fantasyhockey/players/playerpage/565815/blake-comeau"/>
    <hyperlink ref="A314" r:id="rId314" display="http://www.cbssports.com/fantasyhockey/players/playerpage/2245520/matthew-tkachuk"/>
    <hyperlink ref="A315" r:id="rId315" display="http://www.cbssports.com/fantasyhockey/players/playerpage/434880/clarke-macarthur"/>
    <hyperlink ref="A316" r:id="rId316" display="http://www.cbssports.com/fantasyhockey/players/playerpage/2076034/valeri-nichushkin"/>
    <hyperlink ref="A317" r:id="rId317" display="http://www.cbssports.com/fantasyhockey/players/playerpage/1133424/milan-lucic"/>
    <hyperlink ref="A318" r:id="rId318" display="http://www.cbssports.com/fantasyhockey/players/playerpage/1897611/reid-boucher"/>
    <hyperlink ref="A319" r:id="rId319" display="http://www.cbssports.com/fantasyhockey/players/playerpage/2146553/viktor-arvidsson"/>
    <hyperlink ref="A320" r:id="rId320" display="http://www.cbssports.com/fantasyhockey/players/playerpage/152286/jason-chimera"/>
    <hyperlink ref="A321" r:id="rId321" display="http://www.cbssports.com/fantasyhockey/players/playerpage/2095287/michael-raffl"/>
    <hyperlink ref="A322" r:id="rId322" display="http://www.cbssports.com/fantasyhockey/players/playerpage/1897762/shane-prince"/>
    <hyperlink ref="A323" r:id="rId323" display="http://www.cbssports.com/fantasyhockey/players/playerpage/1899072/sven-baertschi"/>
    <hyperlink ref="A324" r:id="rId324" display="http://www.cbssports.com/fantasyhockey/players/playerpage/1639341/josh-bailey"/>
    <hyperlink ref="A325" r:id="rId325" display="http://www.cbssports.com/fantasyhockey/players/playerpage/372289/joffrey-lupul"/>
    <hyperlink ref="A326" r:id="rId326" display="http://www.cbssports.com/fantasyhockey/players/playerpage/1133712/jamie-mcginn"/>
    <hyperlink ref="A327" r:id="rId327" display="http://www.cbssports.com/fantasyhockey/players/playerpage/2147085/christian-dvorak"/>
    <hyperlink ref="A328" r:id="rId328" display="http://www.cbssports.com/fantasyhockey/players/playerpage/1282478/mason-raymond"/>
    <hyperlink ref="A329" r:id="rId329" display="http://www.cbssports.com/fantasyhockey/players/playerpage/2094796/matt-nieto"/>
    <hyperlink ref="A330" r:id="rId330" display="http://www.cbssports.com/fantasyhockey/players/playerpage/1280578/dwight-king"/>
    <hyperlink ref="A331" r:id="rId331" display="http://www.cbssports.com/fantasyhockey/players/playerpage/1639361/matt-calvert"/>
    <hyperlink ref="A332" r:id="rId332" display="http://www.cbssports.com/fantasyhockey/players/playerpage/1960880/jason-zucker"/>
    <hyperlink ref="A333" r:id="rId333" display="http://www.cbssports.com/fantasyhockey/players/playerpage/1137195/cody-mcleod"/>
    <hyperlink ref="A334" r:id="rId334" display="http://www.cbssports.com/fantasyhockey/players/playerpage/2147499/nick-ritchie"/>
    <hyperlink ref="A335" r:id="rId335" display="http://www.cbssports.com/fantasyhockey/players/playerpage/347857/scottie-upshall"/>
    <hyperlink ref="A336" r:id="rId336" display="http://www.cbssports.com/fantasyhockey/players/playerpage/433214/milan-michalek"/>
    <hyperlink ref="A337" r:id="rId337" display="http://www.cbssports.com/fantasyhockey/players/playerpage/1707392/kyle-clifford"/>
    <hyperlink ref="A338" r:id="rId338" display="http://www.cbssports.com/fantasyhockey/players/playerpage/1776606/brandon-bollig"/>
    <hyperlink ref="A339" r:id="rId339" display="http://www.cbssports.com/fantasyhockey/players/playerpage/1280586/patrick-maroon"/>
    <hyperlink ref="A340" r:id="rId340" display="http://www.cbssports.com/fantasyhockey/players/playerpage/2147137/phil-di-giuseppe"/>
    <hyperlink ref="A341" r:id="rId341" display="http://www.cbssports.com/fantasyhockey/players/playerpage/1769712/micheal-ferland"/>
    <hyperlink ref="A342" r:id="rId342" display="http://www.cbssports.com/fantasyhockey/players/playerpage/2147108/pierre-edouard-bellemare"/>
    <hyperlink ref="A343" r:id="rId343" display="http://www.cbssports.com/fantasyhockey/players/playerpage/1707405/marcus-foligno"/>
    <hyperlink ref="A344" r:id="rId344" display="http://www.cbssports.com/fantasyhockey/players/playerpage/2094050/jordan-martinook"/>
    <hyperlink ref="A345" r:id="rId345" display="http://www.cbssports.com/fantasyhockey/players/playerpage/1639352/lance-bouma"/>
    <hyperlink ref="A346" r:id="rId346" display="http://www.cbssports.com/fantasyhockey/players/playerpage/1639439/matt-martin"/>
    <hyperlink ref="A347" r:id="rId347" display="http://www.cbssports.com/fantasyhockey/players/playerpage/1897713/adam-lowry"/>
    <hyperlink ref="A348" r:id="rId348" display="http://www.cbssports.com/fantasyhockey/players/playerpage/1286082/matt-hendricks"/>
    <hyperlink ref="A349" r:id="rId349" display="http://www.cbssports.com/fantasyhockey/players/playerpage/2147476/nick-paul"/>
    <hyperlink ref="A350" r:id="rId350" display="http://www.cbssports.com/fantasyhockey/players/playerpage/2043047/johan-larsson"/>
    <hyperlink ref="A351" r:id="rId351" display="http://www.cbssports.com/fantasyhockey/players/playerpage/1707857/viktor-stalberg"/>
    <hyperlink ref="A352" r:id="rId352" display="http://www.cbssports.com/fantasyhockey/players/playerpage/1137126/matt-moulson"/>
    <hyperlink ref="A353" r:id="rId353" display="http://www.cbssports.com/fantasyhockey/players/playerpage/152194/shawn-thornton"/>
    <hyperlink ref="A354" r:id="rId354" display="http://www.cbssports.com/fantasyhockey/players/playerpage/1707397/nicolas-deslauriers"/>
    <hyperlink ref="A355" r:id="rId355" display="http://www.cbssports.com/fantasyhockey/players/playerpage/565358/bryan-bickell"/>
    <hyperlink ref="A356" r:id="rId356" display="http://www.cbssports.com/fantasyhockey/players/playerpage/433206/brent-burns"/>
    <hyperlink ref="A357" r:id="rId357" display="http://www.cbssports.com/fantasyhockey/players/playerpage/566030/kris-letang"/>
    <hyperlink ref="A358" r:id="rId358" display="http://www.cbssports.com/fantasyhockey/players/playerpage/1697789/erik-karlsson"/>
    <hyperlink ref="A359" r:id="rId359" display="http://www.cbssports.com/fantasyhockey/players/playerpage/1282455/pk-subban"/>
    <hyperlink ref="A360" r:id="rId360" display="http://www.cbssports.com/fantasyhockey/players/playerpage/1639364/john-carlson"/>
    <hyperlink ref="A361" r:id="rId361" display="http://www.cbssports.com/fantasyhockey/players/playerpage/1770931/roman-josi"/>
    <hyperlink ref="A362" r:id="rId362" display="http://www.cbssports.com/fantasyhockey/players/playerpage/435185/duncan-keith"/>
    <hyperlink ref="A363" r:id="rId363" display="http://www.cbssports.com/fantasyhockey/players/playerpage/2094406/john-klingberg"/>
    <hyperlink ref="A364" r:id="rId364" display="http://www.cbssports.com/fantasyhockey/players/playerpage/566539/dustin-byfuglien"/>
    <hyperlink ref="A365" r:id="rId365" display="http://www.cbssports.com/fantasyhockey/players/playerpage/1685405/victor-hedman"/>
    <hyperlink ref="A366" r:id="rId366" display="http://www.cbssports.com/fantasyhockey/players/playerpage/433220/shea-weber"/>
    <hyperlink ref="A367" r:id="rId367" display="http://www.cbssports.com/fantasyhockey/players/playerpage/435267/brent-seabrook"/>
    <hyperlink ref="A368" r:id="rId368" display="http://www.cbssports.com/fantasyhockey/players/playerpage/1765197/oliver-ekman-larsson"/>
    <hyperlink ref="A369" r:id="rId369" display="http://www.cbssports.com/fantasyhockey/players/playerpage/2146558/shayne-gostisbehere"/>
    <hyperlink ref="A370" r:id="rId370" display="http://www.cbssports.com/fantasyhockey/players/playerpage/1628806/drew-doughty"/>
    <hyperlink ref="A371" r:id="rId371" display="http://www.cbssports.com/fantasyhockey/players/playerpage/435155/mark-giordano"/>
    <hyperlink ref="A372" r:id="rId372" display="http://www.cbssports.com/fantasyhockey/players/playerpage/1960399/torey-krug"/>
    <hyperlink ref="A373" r:id="rId373" display="http://www.cbssports.com/fantasyhockey/players/playerpage/1770986/kevin-shattenkirk"/>
    <hyperlink ref="A374" r:id="rId374" display="http://www.cbssports.com/fantasyhockey/players/playerpage/433604/dion-phaneuf"/>
    <hyperlink ref="A375" r:id="rId375" display="http://www.cbssports.com/fantasyhockey/players/playerpage/1133727/marc-edouard-vlasic"/>
    <hyperlink ref="A376" r:id="rId376" display="http://www.cbssports.com/fantasyhockey/players/playerpage/1639452/jake-muzzin"/>
    <hyperlink ref="A377" r:id="rId377" display="http://www.cbssports.com/fantasyhockey/players/playerpage/19791/zdeno-chara"/>
    <hyperlink ref="A378" r:id="rId378" display="http://www.cbssports.com/fantasyhockey/players/playerpage/1707381/tyson-barrie"/>
    <hyperlink ref="A379" r:id="rId379" display="http://www.cbssports.com/fantasyhockey/players/playerpage/1286087/anton-stralman"/>
    <hyperlink ref="A380" r:id="rId380" display="http://www.cbssports.com/fantasyhockey/players/playerpage/1897659/justin-faulk"/>
    <hyperlink ref="A381" r:id="rId381" display="http://www.cbssports.com/fantasyhockey/players/playerpage/204657/andrei-markov"/>
    <hyperlink ref="A382" r:id="rId382" display="http://www.cbssports.com/fantasyhockey/players/playerpage/1757711/ryan-mcdonagh"/>
    <hyperlink ref="A383" r:id="rId383" display="http://www.cbssports.com/fantasyhockey/players/playerpage/1639463/alex-pietrangelo"/>
    <hyperlink ref="A384" r:id="rId384" display="http://www.cbssports.com/fantasyhockey/players/playerpage/1897652/mattias-ekholm"/>
    <hyperlink ref="A385" r:id="rId385" display="http://www.cbssports.com/fantasyhockey/players/playerpage/1770908/cam-fowler"/>
    <hyperlink ref="A386" r:id="rId386" display="http://www.cbssports.com/fantasyhockey/players/playerpage/1897675/dougie-hamilton"/>
    <hyperlink ref="A387" r:id="rId387" display="http://www.cbssports.com/fantasyhockey/players/playerpage/1707401/ryan-ellis"/>
    <hyperlink ref="A388" r:id="rId388" display="http://www.cbssports.com/fantasyhockey/players/playerpage/273310/dan-hamhuis"/>
    <hyperlink ref="A389" r:id="rId389" display="http://www.cbssports.com/fantasyhockey/players/playerpage/1661360/david-schlemko"/>
    <hyperlink ref="A390" r:id="rId390" display="http://www.cbssports.com/fantasyhockey/players/playerpage/346966/trevor-daley"/>
    <hyperlink ref="A391" r:id="rId391" display="http://www.cbssports.com/fantasyhockey/players/playerpage/565842/ryan-suter"/>
    <hyperlink ref="A392" r:id="rId392" display="http://www.cbssports.com/fantasyhockey/players/playerpage/2000665/hampus-lindholm"/>
    <hyperlink ref="A393" r:id="rId393" display="http://www.cbssports.com/fantasyhockey/players/playerpage/1282446/matt-niskanen"/>
    <hyperlink ref="A394" r:id="rId394" display="http://www.cbssports.com/fantasyhockey/players/playerpage/2000666/olli-maatta"/>
    <hyperlink ref="A395" r:id="rId395" display="http://www.cbssports.com/fantasyhockey/players/playerpage/565379/mike-green"/>
    <hyperlink ref="A396" r:id="rId396" display="http://www.cbssports.com/fantasyhockey/players/playerpage/2197860/colton-parayko"/>
    <hyperlink ref="A397" r:id="rId397" display="http://www.cbssports.com/fantasyhockey/players/playerpage/19784/brian-campbell"/>
    <hyperlink ref="A398" r:id="rId398" display="http://www.cbssports.com/fantasyhockey/players/playerpage/566137/keith-yandle"/>
    <hyperlink ref="A399" r:id="rId399" display="http://www.cbssports.com/fantasyhockey/players/playerpage/1639440/alec-martinez"/>
    <hyperlink ref="A400" r:id="rId400" display="http://www.cbssports.com/fantasyhockey/players/playerpage/1770942/nick-leddy"/>
    <hyperlink ref="A401" r:id="rId401" display="http://www.cbssports.com/fantasyhockey/players/playerpage/1639357/tj-brodie"/>
    <hyperlink ref="A402" r:id="rId402" display="http://www.cbssports.com/fantasyhockey/players/playerpage/435205/john-michael-liles"/>
    <hyperlink ref="A403" r:id="rId403" display="http://www.cbssports.com/fantasyhockey/players/playerpage/1639453/tyler-myers"/>
    <hyperlink ref="A404" r:id="rId404" display="http://www.cbssports.com/fantasyhockey/players/playerpage/565841/mark-streit"/>
    <hyperlink ref="A405" r:id="rId405" display="http://www.cbssports.com/fantasyhockey/players/playerpage/1228267/erik-johnson"/>
    <hyperlink ref="A406" r:id="rId406" display="http://www.cbssports.com/fantasyhockey/players/playerpage/583339/kevin-bieksa"/>
    <hyperlink ref="A407" r:id="rId407" display="http://www.cbssports.com/fantasyhockey/players/playerpage/346965/johnny-boychuk"/>
    <hyperlink ref="A408" r:id="rId408" display="http://www.cbssports.com/fantasyhockey/players/playerpage/204443/francois-beauchemin"/>
    <hyperlink ref="A409" r:id="rId409" display="http://www.cbssports.com/fantasyhockey/players/playerpage/2076037/ryan-pulock"/>
    <hyperlink ref="A410" r:id="rId410" display="http://www.cbssports.com/fantasyhockey/players/playerpage/1282459/yannick-weber"/>
    <hyperlink ref="A411" r:id="rId411" display="http://www.cbssports.com/fantasyhockey/players/playerpage/433212/kevin-klein"/>
    <hyperlink ref="A412" r:id="rId412" display="http://www.cbssports.com/fantasyhockey/players/playerpage/2000673/morgan-rielly"/>
    <hyperlink ref="A413" r:id="rId413" display="http://www.cbssports.com/fantasyhockey/players/playerpage/2147283/aaron-ekblad"/>
    <hyperlink ref="A414" r:id="rId414" display="http://www.cbssports.com/fantasyhockey/players/playerpage/1639486/michael-stone"/>
    <hyperlink ref="A415" r:id="rId415" display="http://www.cbssports.com/fantasyhockey/players/playerpage/1282431/niklas-hjalmarsson"/>
    <hyperlink ref="A416" r:id="rId416" display="http://www.cbssports.com/fantasyhockey/players/playerpage/2000653/cody-ceci"/>
    <hyperlink ref="A417" r:id="rId417" display="http://www.cbssports.com/fantasyhockey/players/playerpage/1639719/nick-holden"/>
    <hyperlink ref="A418" r:id="rId418" display="http://www.cbssports.com/fantasyhockey/players/playerpage/1897812/david-warsofsky"/>
    <hyperlink ref="A419" r:id="rId419" display="http://www.cbssports.com/fantasyhockey/players/playerpage/2000671/derrick-pouliot"/>
    <hyperlink ref="A420" r:id="rId420" display="http://www.cbssports.com/fantasyhockey/players/playerpage/2094613/kevan-miller"/>
    <hyperlink ref="A421" r:id="rId421" display="http://www.cbssports.com/fantasyhockey/players/playerpage/2094561/brian-dumoulin"/>
    <hyperlink ref="A422" r:id="rId422" display="http://www.cbssports.com/fantasyhockey/players/playerpage/435194/niklas-kronwall"/>
    <hyperlink ref="A423" r:id="rId423" display="http://www.cbssports.com/fantasyhockey/players/playerpage/1897666/jake-gardiner"/>
    <hyperlink ref="A424" r:id="rId424" display="http://www.cbssports.com/fantasyhockey/players/playerpage/1707452/david-savard"/>
    <hyperlink ref="A425" r:id="rId425" display="http://www.cbssports.com/fantasyhockey/players/playerpage/2076038/rasmus-ristolainen"/>
    <hyperlink ref="A426" r:id="rId426" display="http://www.cbssports.com/fantasyhockey/players/playerpage/1770879/justin-braun"/>
    <hyperlink ref="A427" r:id="rId427" display="http://www.cbssports.com/fantasyhockey/players/playerpage/273550/brooks-orpik"/>
    <hyperlink ref="A428" r:id="rId428" display="http://www.cbssports.com/fantasyhockey/players/playerpage/1639513/jason-demers"/>
    <hyperlink ref="A429" r:id="rId429" display="http://www.cbssports.com/fantasyhockey/players/playerpage/273331/johnny-oduya"/>
    <hyperlink ref="A430" r:id="rId430" display="http://www.cbssports.com/fantasyhockey/players/playerpage/1639484/jared-spurgeon"/>
    <hyperlink ref="A431" r:id="rId431" display="http://www.cbssports.com/fantasyhockey/players/playerpage/1770890/ian-cole"/>
    <hyperlink ref="A432" r:id="rId432" display="http://www.cbssports.com/fantasyhockey/players/playerpage/1639667/jason-garrison"/>
    <hyperlink ref="A433" r:id="rId433" display="http://www.cbssports.com/fantasyhockey/players/playerpage/1639403/travis-hamonic"/>
    <hyperlink ref="A434" r:id="rId434" display="http://www.cbssports.com/fantasyhockey/players/playerpage/20109/michal-rozsival"/>
    <hyperlink ref="A435" r:id="rId435" display="http://www.cbssports.com/fantasyhockey/players/playerpage/2051254/andrej-sustr"/>
    <hyperlink ref="A436" r:id="rId436" display="http://www.cbssports.com/fantasyhockey/players/playerpage/2000679/jacob-trouba"/>
    <hyperlink ref="A437" r:id="rId437" display="http://www.cbssports.com/fantasyhockey/players/playerpage/1770919/radko-gudas"/>
    <hyperlink ref="A438" r:id="rId438" display="http://www.cbssports.com/fantasyhockey/players/playerpage/347842/jay-bouwmeester"/>
    <hyperlink ref="A439" r:id="rId439" display="http://www.cbssports.com/fantasyhockey/players/playerpage/2094815/chris-wideman"/>
    <hyperlink ref="A440" r:id="rId440" display="http://www.cbssports.com/fantasyhockey/players/playerpage/2076023/seth-jones"/>
    <hyperlink ref="A441" r:id="rId441" display="http://www.cbssports.com/fantasyhockey/players/playerpage/565421/andrej-sekera"/>
    <hyperlink ref="A442" r:id="rId442" display="http://www.cbssports.com/fantasyhockey/players/playerpage/1280571/thomas-hickey"/>
    <hyperlink ref="A443" r:id="rId443" display="http://www.cbssports.com/fantasyhockey/players/playerpage/2000654/matt-dumba"/>
    <hyperlink ref="A444" r:id="rId444" display="http://www.cbssports.com/fantasyhockey/players/playerpage/2147580/trevor-van-riemsdyk"/>
    <hyperlink ref="A445" r:id="rId445" display="http://www.cbssports.com/fantasyhockey/players/playerpage/2094652/zach-trotman"/>
    <hyperlink ref="A446" r:id="rId446" display="http://www.cbssports.com/fantasyhockey/players/playerpage/1769706/jordie-benn"/>
    <hyperlink ref="A447" r:id="rId447" display="http://www.cbssports.com/fantasyhockey/players/playerpage/2198314/ben-hutton"/>
    <hyperlink ref="A448" r:id="rId448" display="http://www.cbssports.com/fantasyhockey/players/playerpage/1770992/brendan-smith"/>
    <hyperlink ref="A449" r:id="rId449" display="http://www.cbssports.com/fantasyhockey/players/playerpage/565398/adam-mcquaid"/>
    <hyperlink ref="A450" r:id="rId450" display="http://www.cbssports.com/fantasyhockey/players/playerpage/433601/marc-methot"/>
    <hyperlink ref="A451" r:id="rId451" display="http://www.cbssports.com/fantasyhockey/players/playerpage/1707431/brayden-mcnabb"/>
    <hyperlink ref="A452" r:id="rId452" display="http://www.cbssports.com/fantasyhockey/players/playerpage/1771081/alex-petrovic"/>
    <hyperlink ref="A453" r:id="rId453" display="http://www.cbssports.com/fantasyhockey/players/playerpage/2053880/danny-dekeyser"/>
    <hyperlink ref="A454" r:id="rId454" display="http://www.cbssports.com/fantasyhockey/players/playerpage/433590/braydon-coburn"/>
    <hyperlink ref="A455" r:id="rId455" display="http://www.cbssports.com/fantasyhockey/players/playerpage/1137447/dan-girardi"/>
    <hyperlink ref="A456" r:id="rId456" display="http://www.cbssports.com/fantasyhockey/players/playerpage/1133601/andrew-macdonald"/>
    <hyperlink ref="A457" r:id="rId457" display="http://www.cbssports.com/fantasyhockey/players/playerpage/435220/paul-martin"/>
    <hyperlink ref="A458" r:id="rId458" display="http://www.cbssports.com/fantasyhockey/players/playerpage/1897719/brandon-manning"/>
    <hyperlink ref="A459" r:id="rId459" display="http://www.cbssports.com/fantasyhockey/players/playerpage/2000669/ryan-murray"/>
    <hyperlink ref="A460" r:id="rId460" display="http://www.cbssports.com/fantasyhockey/players/playerpage/1892908/alexei-emelin"/>
    <hyperlink ref="A461" r:id="rId461" display="http://www.cbssports.com/fantasyhockey/players/playerpage/565423/marc-staal"/>
    <hyperlink ref="A462" r:id="rId462" display="http://www.cbssports.com/fantasyhockey/players/playerpage/1707453/marco-scandella"/>
    <hyperlink ref="A463" r:id="rId463" display="http://www.cbssports.com/fantasyhockey/players/playerpage/1897644/brenden-dillon"/>
    <hyperlink ref="A464" r:id="rId464" display="http://www.cbssports.com/fantasyhockey/players/playerpage/204526/deryk-engelland"/>
    <hyperlink ref="A465" r:id="rId465" display="http://www.cbssports.com/fantasyhockey/players/playerpage/1899123/joe-morrow"/>
    <hyperlink ref="A466" r:id="rId466" display="http://www.cbssports.com/fantasyhockey/players/playerpage/2147295/stephen-johns"/>
    <hyperlink ref="A467" r:id="rId467" display="http://www.cbssports.com/fantasyhockey/players/playerpage/1707471/calvin-de-haan"/>
    <hyperlink ref="A468" r:id="rId468" display="http://www.cbssports.com/fantasyhockey/players/playerpage/1282429/alex-goligoski"/>
    <hyperlink ref="A469" r:id="rId469" display="http://www.cbssports.com/fantasyhockey/players/playerpage/2094539/anthony-bitetto"/>
    <hyperlink ref="A470" r:id="rId470" display="http://www.cbssports.com/fantasyhockey/players/playerpage/274294/rob-scuderi"/>
    <hyperlink ref="A471" r:id="rId471" display="http://www.cbssports.com/fantasyhockey/players/playerpage/1133591/jonathan-ericsson"/>
    <hyperlink ref="A472" r:id="rId472" display="http://www.cbssports.com/fantasyhockey/players/playerpage/1707412/carl-gunnarsson"/>
    <hyperlink ref="A473" r:id="rId473" display="http://www.cbssports.com/fantasyhockey/players/playerpage/1286081/toby-enstrom"/>
    <hyperlink ref="A474" r:id="rId474" display="http://www.cbssports.com/fantasyhockey/players/playerpage/2094777/dylan-demelo"/>
    <hyperlink ref="A475" r:id="rId475" display="http://www.cbssports.com/fantasyhockey/players/playerpage/1770975/mark-pysyk"/>
    <hyperlink ref="A476" r:id="rId476" display="http://www.cbssports.com/fantasyhockey/players/playerpage/1628805/taylor-chorney"/>
    <hyperlink ref="A477" r:id="rId477" display="http://www.cbssports.com/fantasyhockey/players/playerpage/2178823/noah-hanifin"/>
    <hyperlink ref="A478" r:id="rId478" display="http://www.cbssports.com/fantasyhockey/players/playerpage/565680/jakub-kindl"/>
    <hyperlink ref="A479" r:id="rId479" display="http://www.cbssports.com/fantasyhockey/players/playerpage/1707435/john-moore"/>
    <hyperlink ref="A480" r:id="rId480" display="http://www.cbssports.com/fantasyhockey/players/playerpage/1769723/dalton-prout"/>
    <hyperlink ref="A481" r:id="rId481" display="http://www.cbssports.com/fantasyhockey/players/playerpage/1899078/frank-corrado"/>
    <hyperlink ref="A482" r:id="rId482" display="http://www.cbssports.com/fantasyhockey/players/playerpage/2094615/connor-murphy"/>
    <hyperlink ref="A483" r:id="rId483" display="http://www.cbssports.com/fantasyhockey/players/playerpage/1892909/adam-larsson"/>
    <hyperlink ref="A484" r:id="rId484" display="http://www.cbssports.com/fantasyhockey/players/playerpage/1771089/chris-tanev"/>
    <hyperlink ref="A485" r:id="rId485" display="http://www.cbssports.com/fantasyhockey/players/playerpage/1707759/simon-despres"/>
    <hyperlink ref="A486" r:id="rId486" display="http://www.cbssports.com/fantasyhockey/players/playerpage/274035/ron-hainsey"/>
    <hyperlink ref="A487" r:id="rId487" display="http://www.cbssports.com/fantasyhockey/players/playerpage/2197878/jaccob-slavin"/>
    <hyperlink ref="A488" r:id="rId488" display="http://www.cbssports.com/fantasyhockey/players/playerpage/2093843/chris-bigras"/>
    <hyperlink ref="A489" r:id="rId489" display="http://www.cbssports.com/fantasyhockey/players/playerpage/205123/nick-schultz"/>
    <hyperlink ref="A490" r:id="rId490" display="http://www.cbssports.com/fantasyhockey/players/playerpage/1286415/matt-hunwick"/>
    <hyperlink ref="A491" r:id="rId491" display="http://www.cbssports.com/fantasyhockey/players/playerpage/1770870/alex-biega"/>
    <hyperlink ref="A492" r:id="rId492" display="http://www.cbssports.com/fantasyhockey/players/playerpage/2147652/brett-pesce"/>
    <hyperlink ref="A493" r:id="rId493" display="http://www.cbssports.com/fantasyhockey/players/playerpage/1137448/andy-greene"/>
    <hyperlink ref="A494" r:id="rId494" display="http://www.cbssports.com/fantasyhockey/players/playerpage/1707557/ben-chiarot"/>
    <hyperlink ref="A495" r:id="rId495" display="http://www.cbssports.com/fantasyhockey/players/playerpage/2094608/alexei-marchenko"/>
    <hyperlink ref="A496" r:id="rId496" display="http://www.cbssports.com/fantasyhockey/players/playerpage/2076043/nikita-zadorov"/>
    <hyperlink ref="A497" r:id="rId497" display="http://www.cbssports.com/fantasyhockey/players/playerpage/1770933/steven-kampfer"/>
    <hyperlink ref="A498" r:id="rId498" display="http://www.cbssports.com/fantasyhockey/players/playerpage/1770947/martin-marincin"/>
    <hyperlink ref="A499" r:id="rId499" display="http://www.cbssports.com/fantasyhockey/players/playerpage/2094782/petter-granberg"/>
    <hyperlink ref="A500" r:id="rId500" display="http://www.cbssports.com/fantasyhockey/players/playerpage/1134147/roman-polak"/>
    <hyperlink ref="A501" r:id="rId501" display="http://www.cbssports.com/fantasyhockey/players/playerpage/1639526/paul-postma"/>
    <hyperlink ref="A502" r:id="rId502" display="http://www.cbssports.com/fantasyhockey/players/playerpage/369001/zbynek-michalek"/>
    <hyperlink ref="A503" r:id="rId503" display="http://www.cbssports.com/fantasyhockey/players/playerpage/2040002/jonas-brodin"/>
    <hyperlink ref="A504" r:id="rId504" display="http://www.cbssports.com/fantasyhockey/players/playerpage/2038918/jake-mccabe"/>
    <hyperlink ref="A505" r:id="rId505" display="http://www.cbssports.com/fantasyhockey/players/playerpage/2094405/jyrki-jokipakka"/>
    <hyperlink ref="A506" r:id="rId506" display="http://www.cbssports.com/fantasyhockey/players/playerpage/566407/mark-stuart"/>
    <hyperlink ref="A507" r:id="rId507" display="http://www.cbssports.com/fantasyhockey/players/playerpage/371784/josh-gorges"/>
    <hyperlink ref="A508" r:id="rId508" display="http://www.cbssports.com/fantasyhockey/players/playerpage/1639520/ben-lovejoy"/>
    <hyperlink ref="A509" r:id="rId509" display="http://www.cbssports.com/fantasyhockey/players/playerpage/1707518/dmitry-kulikov"/>
    <hyperlink ref="A510" r:id="rId510" display="http://www.cbssports.com/fantasyhockey/players/playerpage/1770902/mark-fayne"/>
    <hyperlink ref="A511" r:id="rId511" display="http://www.cbssports.com/fantasyhockey/players/playerpage/1770920/erik-gudbrans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Liste</vt:lpstr>
      <vt:lpstr>Comparatif listes</vt:lpstr>
      <vt:lpstr>Final</vt:lpstr>
      <vt:lpstr>BCP stats</vt:lpstr>
      <vt:lpstr>Manquants</vt:lpstr>
      <vt:lpstr>ESPN</vt:lpstr>
      <vt:lpstr>CBS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Lévesque</dc:creator>
  <cp:lastModifiedBy>Thierry Lévesque</cp:lastModifiedBy>
  <dcterms:created xsi:type="dcterms:W3CDTF">2016-09-15T05:36:31Z</dcterms:created>
  <dcterms:modified xsi:type="dcterms:W3CDTF">2017-09-13T20:07:57Z</dcterms:modified>
</cp:coreProperties>
</file>