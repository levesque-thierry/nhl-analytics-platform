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erry\OneDrive\Pool\"/>
    </mc:Choice>
  </mc:AlternateContent>
  <bookViews>
    <workbookView minimized="1" xWindow="0" yWindow="0" windowWidth="20490" windowHeight="7755"/>
  </bookViews>
  <sheets>
    <sheet name="Liste" sheetId="3" r:id="rId1"/>
    <sheet name="Manquants" sheetId="5" r:id="rId2"/>
    <sheet name="ESPN" sheetId="4" r:id="rId3"/>
    <sheet name="CBS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7" i="3" l="1"/>
  <c r="N206" i="3"/>
  <c r="N160" i="3"/>
  <c r="N69" i="3"/>
  <c r="N119" i="3"/>
  <c r="N81" i="3"/>
  <c r="N149" i="3"/>
  <c r="N143" i="3"/>
  <c r="N180" i="3"/>
  <c r="N187" i="3"/>
  <c r="N158" i="3"/>
  <c r="N141" i="3"/>
  <c r="N105" i="3"/>
  <c r="N148" i="3"/>
  <c r="N92" i="3"/>
  <c r="N101" i="3"/>
  <c r="N133" i="3"/>
  <c r="N137" i="3"/>
  <c r="N181" i="3"/>
  <c r="N94" i="3"/>
  <c r="N48" i="3"/>
  <c r="N67" i="3"/>
  <c r="N33" i="3"/>
  <c r="N58" i="3"/>
  <c r="N71" i="3"/>
  <c r="N139" i="3"/>
  <c r="N176" i="3"/>
  <c r="N192" i="3"/>
  <c r="N97" i="3"/>
  <c r="N186" i="3"/>
  <c r="N188" i="3"/>
  <c r="N47" i="3"/>
  <c r="N79" i="3"/>
  <c r="N174" i="3"/>
  <c r="N195" i="3"/>
  <c r="N104" i="3"/>
  <c r="N87" i="3"/>
  <c r="N93" i="3"/>
  <c r="N99" i="3"/>
  <c r="N131" i="3"/>
  <c r="N172" i="3"/>
  <c r="N205" i="3"/>
  <c r="N41" i="3"/>
  <c r="N165" i="3"/>
  <c r="N166" i="3"/>
  <c r="N22" i="3"/>
  <c r="N116" i="3"/>
  <c r="N140" i="3"/>
  <c r="N159" i="3"/>
  <c r="N19" i="3"/>
  <c r="N49" i="3"/>
  <c r="N185" i="3"/>
  <c r="N10" i="3"/>
  <c r="N27" i="3"/>
  <c r="N113" i="3"/>
  <c r="N127" i="3"/>
  <c r="N142" i="3"/>
  <c r="N168" i="3"/>
  <c r="N203" i="3"/>
  <c r="N5" i="3"/>
  <c r="N51" i="3"/>
  <c r="N100" i="3"/>
  <c r="N132" i="3"/>
  <c r="N153" i="3"/>
  <c r="N144" i="3"/>
  <c r="N169" i="3"/>
  <c r="N62" i="3"/>
  <c r="N74" i="3"/>
  <c r="N106" i="3"/>
  <c r="N164" i="3"/>
  <c r="N194" i="3"/>
  <c r="N151" i="3"/>
  <c r="N173" i="3"/>
  <c r="N198" i="3"/>
  <c r="N2" i="3"/>
  <c r="N3" i="3"/>
  <c r="N59" i="3"/>
  <c r="N32" i="3"/>
  <c r="N65" i="3"/>
  <c r="N78" i="3"/>
  <c r="N123" i="3"/>
  <c r="N128" i="3"/>
  <c r="N156" i="3"/>
  <c r="N163" i="3"/>
  <c r="N170" i="3"/>
  <c r="N171" i="3"/>
  <c r="N197" i="3"/>
  <c r="N38" i="3"/>
  <c r="N130" i="3"/>
  <c r="N17" i="3"/>
  <c r="N107" i="3"/>
  <c r="N135" i="3"/>
  <c r="N147" i="3"/>
  <c r="N16" i="3"/>
  <c r="N25" i="3"/>
  <c r="N42" i="3"/>
  <c r="N73" i="3"/>
  <c r="N83" i="3"/>
  <c r="N102" i="3"/>
  <c r="N109" i="3"/>
  <c r="N155" i="3"/>
  <c r="N21" i="3"/>
  <c r="N89" i="3"/>
  <c r="N129" i="3"/>
  <c r="N138" i="3"/>
  <c r="N145" i="3"/>
  <c r="N161" i="3"/>
  <c r="N20" i="3"/>
  <c r="N28" i="3"/>
  <c r="N64" i="3"/>
  <c r="N91" i="3"/>
  <c r="N154" i="3"/>
  <c r="N23" i="3"/>
  <c r="N77" i="3"/>
  <c r="N114" i="3"/>
  <c r="N157" i="3"/>
  <c r="N182" i="3"/>
  <c r="N150" i="3"/>
  <c r="N29" i="3"/>
  <c r="N162" i="3"/>
  <c r="N52" i="3"/>
  <c r="N61" i="3"/>
  <c r="N90" i="3"/>
  <c r="N110" i="3"/>
  <c r="N112" i="3"/>
  <c r="N115" i="3"/>
  <c r="N124" i="3"/>
  <c r="N184" i="3"/>
  <c r="N7" i="3"/>
  <c r="N15" i="3"/>
  <c r="N54" i="3"/>
  <c r="N80" i="3"/>
  <c r="N183" i="3"/>
  <c r="N30" i="3"/>
  <c r="N55" i="3"/>
  <c r="N56" i="3"/>
  <c r="N57" i="3"/>
  <c r="N98" i="3"/>
  <c r="N134" i="3"/>
  <c r="N178" i="3"/>
  <c r="N196" i="3"/>
  <c r="N11" i="3"/>
  <c r="N40" i="3"/>
  <c r="N118" i="3"/>
  <c r="N121" i="3"/>
  <c r="N126" i="3"/>
  <c r="N14" i="3"/>
  <c r="N35" i="3"/>
  <c r="N37" i="3"/>
  <c r="N136" i="3"/>
  <c r="N179" i="3"/>
  <c r="N60" i="3"/>
  <c r="N95" i="3"/>
  <c r="N201" i="3"/>
  <c r="N24" i="3"/>
  <c r="N31" i="3"/>
  <c r="N76" i="3"/>
  <c r="N175" i="3"/>
  <c r="N4" i="3"/>
  <c r="N12" i="3"/>
  <c r="N85" i="3"/>
  <c r="N189" i="3"/>
  <c r="N13" i="3"/>
  <c r="N46" i="3"/>
  <c r="N103" i="3"/>
  <c r="N18" i="3"/>
  <c r="N146" i="3"/>
  <c r="N177" i="3"/>
  <c r="N190" i="3"/>
  <c r="N122" i="3"/>
  <c r="N26" i="3"/>
  <c r="N45" i="3"/>
  <c r="N96" i="3"/>
  <c r="N36" i="3"/>
  <c r="N70" i="3"/>
  <c r="N193" i="3"/>
  <c r="N34" i="3"/>
  <c r="N50" i="3"/>
  <c r="N66" i="3"/>
  <c r="N68" i="3"/>
  <c r="N191" i="3"/>
  <c r="N8" i="3"/>
  <c r="N63" i="3"/>
  <c r="N88" i="3"/>
  <c r="N108" i="3"/>
  <c r="N167" i="3"/>
  <c r="N75" i="3"/>
  <c r="N125" i="3"/>
  <c r="N152" i="3"/>
  <c r="N6" i="3"/>
  <c r="N43" i="3"/>
  <c r="N84" i="3"/>
  <c r="N120" i="3"/>
  <c r="N204" i="3"/>
  <c r="N199" i="3"/>
  <c r="N9" i="3"/>
  <c r="N53" i="3"/>
  <c r="N44" i="3"/>
  <c r="N111" i="3"/>
  <c r="N86" i="3"/>
  <c r="N202" i="3"/>
  <c r="N39" i="3"/>
  <c r="N72" i="3"/>
  <c r="N82" i="3"/>
  <c r="N200" i="3"/>
  <c r="T204" i="6"/>
  <c r="O1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U204" i="6"/>
  <c r="T202" i="6"/>
  <c r="U202" i="6"/>
  <c r="T203" i="6"/>
  <c r="U203" i="6"/>
  <c r="T205" i="6"/>
  <c r="U205" i="6"/>
  <c r="T201" i="6"/>
  <c r="M206" i="4"/>
  <c r="M203" i="4"/>
  <c r="N203" i="4"/>
  <c r="M204" i="4"/>
  <c r="N204" i="4"/>
  <c r="M205" i="4"/>
  <c r="N205" i="4"/>
  <c r="N206" i="4"/>
  <c r="K202" i="3"/>
  <c r="K150" i="3"/>
  <c r="K146" i="3"/>
  <c r="K170" i="3"/>
  <c r="L202" i="3"/>
  <c r="L150" i="3"/>
  <c r="L146" i="3"/>
  <c r="L170" i="3"/>
  <c r="M202" i="3"/>
  <c r="M150" i="3"/>
  <c r="M146" i="3"/>
  <c r="M170" i="3"/>
  <c r="L135" i="3"/>
  <c r="L183" i="3"/>
  <c r="L190" i="3"/>
  <c r="L196" i="3"/>
  <c r="L201" i="3"/>
  <c r="L181" i="3"/>
  <c r="U201" i="6"/>
  <c r="T176" i="6"/>
  <c r="U176" i="6"/>
  <c r="T177" i="6"/>
  <c r="U177" i="6"/>
  <c r="T178" i="6"/>
  <c r="U178" i="6"/>
  <c r="T179" i="6"/>
  <c r="U179" i="6"/>
  <c r="T180" i="6"/>
  <c r="U180" i="6"/>
  <c r="T181" i="6"/>
  <c r="U181" i="6"/>
  <c r="T182" i="6"/>
  <c r="U182" i="6"/>
  <c r="T183" i="6"/>
  <c r="U183" i="6"/>
  <c r="T184" i="6"/>
  <c r="U184" i="6"/>
  <c r="T185" i="6"/>
  <c r="U185" i="6"/>
  <c r="T186" i="6"/>
  <c r="U186" i="6"/>
  <c r="T187" i="6"/>
  <c r="U187" i="6"/>
  <c r="T188" i="6"/>
  <c r="U188" i="6"/>
  <c r="T189" i="6"/>
  <c r="U189" i="6"/>
  <c r="T190" i="6"/>
  <c r="U190" i="6"/>
  <c r="T191" i="6"/>
  <c r="U191" i="6"/>
  <c r="T192" i="6"/>
  <c r="U192" i="6"/>
  <c r="T193" i="6"/>
  <c r="U193" i="6"/>
  <c r="T194" i="6"/>
  <c r="U194" i="6"/>
  <c r="T195" i="6"/>
  <c r="U195" i="6"/>
  <c r="T196" i="6"/>
  <c r="U196" i="6"/>
  <c r="T197" i="6"/>
  <c r="U197" i="6"/>
  <c r="T198" i="6"/>
  <c r="U198" i="6"/>
  <c r="T199" i="6"/>
  <c r="U199" i="6"/>
  <c r="T200" i="6"/>
  <c r="U200" i="6"/>
  <c r="M177" i="4"/>
  <c r="N177" i="4"/>
  <c r="M178" i="4"/>
  <c r="N178" i="4"/>
  <c r="M179" i="4"/>
  <c r="N179" i="4"/>
  <c r="M180" i="4"/>
  <c r="N180" i="4"/>
  <c r="M181" i="4"/>
  <c r="N181" i="4"/>
  <c r="M182" i="4"/>
  <c r="N182" i="4"/>
  <c r="M183" i="4"/>
  <c r="N183" i="4"/>
  <c r="M184" i="4"/>
  <c r="N184" i="4"/>
  <c r="M185" i="4"/>
  <c r="N185" i="4"/>
  <c r="M186" i="4"/>
  <c r="N186" i="4"/>
  <c r="M187" i="4"/>
  <c r="N187" i="4"/>
  <c r="M188" i="4"/>
  <c r="N188" i="4"/>
  <c r="M189" i="4"/>
  <c r="N189" i="4"/>
  <c r="M190" i="4"/>
  <c r="N190" i="4"/>
  <c r="M191" i="4"/>
  <c r="N191" i="4"/>
  <c r="M192" i="4"/>
  <c r="N192" i="4"/>
  <c r="M193" i="4"/>
  <c r="N193" i="4"/>
  <c r="M194" i="4"/>
  <c r="N194" i="4"/>
  <c r="M195" i="4"/>
  <c r="N195" i="4"/>
  <c r="M196" i="4"/>
  <c r="N196" i="4"/>
  <c r="M197" i="4"/>
  <c r="N197" i="4"/>
  <c r="M198" i="4"/>
  <c r="N198" i="4"/>
  <c r="M199" i="4"/>
  <c r="N199" i="4"/>
  <c r="M200" i="4"/>
  <c r="N200" i="4"/>
  <c r="M201" i="4"/>
  <c r="N201" i="4"/>
  <c r="M202" i="4"/>
  <c r="N202" i="4"/>
  <c r="K143" i="3"/>
  <c r="K192" i="3"/>
  <c r="K198" i="3"/>
  <c r="K166" i="3"/>
  <c r="K197" i="3"/>
  <c r="K184" i="3"/>
  <c r="K173" i="3"/>
  <c r="K169" i="3"/>
  <c r="K178" i="3"/>
  <c r="K204" i="3"/>
  <c r="K191" i="3"/>
  <c r="K119" i="3"/>
  <c r="K171" i="3"/>
  <c r="K193" i="3"/>
  <c r="K189" i="3"/>
  <c r="K145" i="3"/>
  <c r="K199" i="3"/>
  <c r="K167" i="3"/>
  <c r="K200" i="3"/>
  <c r="K142" i="3"/>
  <c r="L143" i="3"/>
  <c r="L192" i="3"/>
  <c r="L198" i="3"/>
  <c r="L166" i="3"/>
  <c r="L197" i="3"/>
  <c r="L184" i="3"/>
  <c r="L173" i="3"/>
  <c r="L169" i="3"/>
  <c r="L178" i="3"/>
  <c r="L204" i="3"/>
  <c r="L191" i="3"/>
  <c r="L119" i="3"/>
  <c r="L171" i="3"/>
  <c r="L193" i="3"/>
  <c r="L189" i="3"/>
  <c r="L145" i="3"/>
  <c r="L199" i="3"/>
  <c r="L167" i="3"/>
  <c r="L200" i="3"/>
  <c r="L142" i="3"/>
  <c r="M143" i="3"/>
  <c r="M192" i="3"/>
  <c r="M198" i="3"/>
  <c r="M166" i="3"/>
  <c r="M197" i="3"/>
  <c r="M184" i="3"/>
  <c r="M173" i="3"/>
  <c r="M169" i="3"/>
  <c r="M178" i="3"/>
  <c r="M204" i="3"/>
  <c r="M191" i="3"/>
  <c r="M119" i="3"/>
  <c r="M171" i="3"/>
  <c r="M193" i="3"/>
  <c r="M189" i="3"/>
  <c r="M145" i="3"/>
  <c r="M199" i="3"/>
  <c r="M167" i="3"/>
  <c r="M200" i="3"/>
  <c r="M142" i="3"/>
  <c r="D73" i="5"/>
  <c r="D74" i="5"/>
  <c r="D75" i="5"/>
  <c r="D76" i="5"/>
  <c r="D77" i="5"/>
  <c r="D78" i="5"/>
  <c r="D79" i="5"/>
  <c r="D80" i="5"/>
  <c r="D81" i="5"/>
  <c r="D82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M135" i="3"/>
  <c r="M183" i="3"/>
  <c r="M190" i="3"/>
  <c r="M196" i="3"/>
  <c r="M201" i="3"/>
  <c r="M181" i="3"/>
  <c r="K135" i="3"/>
  <c r="K183" i="3"/>
  <c r="K190" i="3"/>
  <c r="K196" i="3"/>
  <c r="K201" i="3"/>
  <c r="K181" i="3"/>
  <c r="Q8" i="3"/>
  <c r="R8" i="3"/>
  <c r="T8" i="3" s="1"/>
  <c r="Q9" i="3"/>
  <c r="R9" i="3"/>
  <c r="M159" i="3"/>
  <c r="M122" i="3"/>
  <c r="M133" i="3"/>
  <c r="M151" i="3"/>
  <c r="M120" i="3"/>
  <c r="M161" i="3"/>
  <c r="M187" i="3"/>
  <c r="M168" i="3"/>
  <c r="M156" i="3"/>
  <c r="M160" i="3"/>
  <c r="M172" i="3"/>
  <c r="M176" i="3"/>
  <c r="M188" i="3"/>
  <c r="M179" i="3"/>
  <c r="M195" i="3"/>
  <c r="M203" i="3"/>
  <c r="M205" i="3"/>
  <c r="M206" i="3"/>
  <c r="M105" i="3"/>
  <c r="M75" i="3"/>
  <c r="M82" i="3"/>
  <c r="M144" i="3"/>
  <c r="M60" i="3"/>
  <c r="M39" i="3"/>
  <c r="M81" i="3"/>
  <c r="M32" i="3"/>
  <c r="M84" i="3"/>
  <c r="M55" i="3"/>
  <c r="M92" i="3"/>
  <c r="M69" i="3"/>
  <c r="M72" i="3"/>
  <c r="M15" i="3"/>
  <c r="M63" i="3"/>
  <c r="M71" i="3"/>
  <c r="M26" i="3"/>
  <c r="M31" i="3"/>
  <c r="M180" i="3"/>
  <c r="M47" i="3"/>
  <c r="M3" i="3"/>
  <c r="M101" i="3"/>
  <c r="M185" i="3"/>
  <c r="M152" i="3"/>
  <c r="M149" i="3"/>
  <c r="M86" i="3"/>
  <c r="M16" i="3"/>
  <c r="M158" i="3"/>
  <c r="M5" i="3"/>
  <c r="M106" i="3"/>
  <c r="M73" i="3"/>
  <c r="M129" i="3"/>
  <c r="M108" i="3"/>
  <c r="M6" i="3"/>
  <c r="M11" i="3"/>
  <c r="M148" i="3"/>
  <c r="M124" i="3"/>
  <c r="M34" i="3"/>
  <c r="M36" i="3"/>
  <c r="M37" i="3"/>
  <c r="M4" i="3"/>
  <c r="M155" i="3"/>
  <c r="M25" i="3"/>
  <c r="M154" i="3"/>
  <c r="M54" i="3"/>
  <c r="M114" i="3"/>
  <c r="M66" i="3"/>
  <c r="M125" i="3"/>
  <c r="M8" i="3"/>
  <c r="M141" i="3"/>
  <c r="M110" i="3"/>
  <c r="M95" i="3"/>
  <c r="M113" i="3"/>
  <c r="M111" i="3"/>
  <c r="M57" i="3"/>
  <c r="M117" i="3"/>
  <c r="M107" i="3"/>
  <c r="M131" i="3"/>
  <c r="M87" i="3"/>
  <c r="M44" i="3"/>
  <c r="M58" i="3"/>
  <c r="M59" i="3"/>
  <c r="M162" i="3"/>
  <c r="M9" i="3"/>
  <c r="M23" i="3"/>
  <c r="M164" i="3"/>
  <c r="M177" i="3"/>
  <c r="M48" i="3"/>
  <c r="M68" i="3"/>
  <c r="M77" i="3"/>
  <c r="M12" i="3"/>
  <c r="M21" i="3"/>
  <c r="M53" i="3"/>
  <c r="M130" i="3"/>
  <c r="M174" i="3"/>
  <c r="M78" i="3"/>
  <c r="M91" i="3"/>
  <c r="M134" i="3"/>
  <c r="M76" i="3"/>
  <c r="M10" i="3"/>
  <c r="M52" i="3"/>
  <c r="M165" i="3"/>
  <c r="M194" i="3"/>
  <c r="M56" i="3"/>
  <c r="M147" i="3"/>
  <c r="M182" i="3"/>
  <c r="M27" i="3"/>
  <c r="M127" i="3"/>
  <c r="M17" i="3"/>
  <c r="M97" i="3"/>
  <c r="M139" i="3"/>
  <c r="M79" i="3"/>
  <c r="M24" i="3"/>
  <c r="M40" i="3"/>
  <c r="M94" i="3"/>
  <c r="M123" i="3"/>
  <c r="M126" i="3"/>
  <c r="M33" i="3"/>
  <c r="M157" i="3"/>
  <c r="M136" i="3"/>
  <c r="M163" i="3"/>
  <c r="M104" i="3"/>
  <c r="M137" i="3"/>
  <c r="M19" i="3"/>
  <c r="M30" i="3"/>
  <c r="M18" i="3"/>
  <c r="M45" i="3"/>
  <c r="M74" i="3"/>
  <c r="M70" i="3"/>
  <c r="M93" i="3"/>
  <c r="M13" i="3"/>
  <c r="M88" i="3"/>
  <c r="M62" i="3"/>
  <c r="M116" i="3"/>
  <c r="M96" i="3"/>
  <c r="M43" i="3"/>
  <c r="M67" i="3"/>
  <c r="M20" i="3"/>
  <c r="M186" i="3"/>
  <c r="M140" i="3"/>
  <c r="M132" i="3"/>
  <c r="M22" i="3"/>
  <c r="M2" i="3"/>
  <c r="M99" i="3"/>
  <c r="M50" i="3"/>
  <c r="M64" i="3"/>
  <c r="M83" i="3"/>
  <c r="M175" i="3"/>
  <c r="M46" i="3"/>
  <c r="M100" i="3"/>
  <c r="M109" i="3"/>
  <c r="M90" i="3"/>
  <c r="M115" i="3"/>
  <c r="M121" i="3"/>
  <c r="M29" i="3"/>
  <c r="M41" i="3"/>
  <c r="M49" i="3"/>
  <c r="M7" i="3"/>
  <c r="M51" i="3"/>
  <c r="M65" i="3"/>
  <c r="M42" i="3"/>
  <c r="M102" i="3"/>
  <c r="M138" i="3"/>
  <c r="M85" i="3"/>
  <c r="M103" i="3"/>
  <c r="M80" i="3"/>
  <c r="M35" i="3"/>
  <c r="M14" i="3"/>
  <c r="M112" i="3"/>
  <c r="M153" i="3"/>
  <c r="M128" i="3"/>
  <c r="M61" i="3"/>
  <c r="M98" i="3"/>
  <c r="M89" i="3"/>
  <c r="M118" i="3"/>
  <c r="M28" i="3"/>
  <c r="M38" i="3"/>
  <c r="L159" i="3"/>
  <c r="L122" i="3"/>
  <c r="L133" i="3"/>
  <c r="L151" i="3"/>
  <c r="L120" i="3"/>
  <c r="L161" i="3"/>
  <c r="L187" i="3"/>
  <c r="L168" i="3"/>
  <c r="L156" i="3"/>
  <c r="L160" i="3"/>
  <c r="L172" i="3"/>
  <c r="L176" i="3"/>
  <c r="L188" i="3"/>
  <c r="L179" i="3"/>
  <c r="L195" i="3"/>
  <c r="L203" i="3"/>
  <c r="L205" i="3"/>
  <c r="L206" i="3"/>
  <c r="L105" i="3"/>
  <c r="L75" i="3"/>
  <c r="L82" i="3"/>
  <c r="L144" i="3"/>
  <c r="L60" i="3"/>
  <c r="L39" i="3"/>
  <c r="L81" i="3"/>
  <c r="L32" i="3"/>
  <c r="L84" i="3"/>
  <c r="L55" i="3"/>
  <c r="L92" i="3"/>
  <c r="L69" i="3"/>
  <c r="L72" i="3"/>
  <c r="L15" i="3"/>
  <c r="L63" i="3"/>
  <c r="L71" i="3"/>
  <c r="L26" i="3"/>
  <c r="L31" i="3"/>
  <c r="L180" i="3"/>
  <c r="L47" i="3"/>
  <c r="L3" i="3"/>
  <c r="L101" i="3"/>
  <c r="L185" i="3"/>
  <c r="L152" i="3"/>
  <c r="L149" i="3"/>
  <c r="L86" i="3"/>
  <c r="L16" i="3"/>
  <c r="L158" i="3"/>
  <c r="L5" i="3"/>
  <c r="L106" i="3"/>
  <c r="L73" i="3"/>
  <c r="L129" i="3"/>
  <c r="L108" i="3"/>
  <c r="L6" i="3"/>
  <c r="L11" i="3"/>
  <c r="L148" i="3"/>
  <c r="L124" i="3"/>
  <c r="L34" i="3"/>
  <c r="L36" i="3"/>
  <c r="L37" i="3"/>
  <c r="L4" i="3"/>
  <c r="L155" i="3"/>
  <c r="L25" i="3"/>
  <c r="L154" i="3"/>
  <c r="L54" i="3"/>
  <c r="L114" i="3"/>
  <c r="L66" i="3"/>
  <c r="L125" i="3"/>
  <c r="L8" i="3"/>
  <c r="L141" i="3"/>
  <c r="L110" i="3"/>
  <c r="L95" i="3"/>
  <c r="L113" i="3"/>
  <c r="L111" i="3"/>
  <c r="L57" i="3"/>
  <c r="L117" i="3"/>
  <c r="L107" i="3"/>
  <c r="L131" i="3"/>
  <c r="L87" i="3"/>
  <c r="L44" i="3"/>
  <c r="L58" i="3"/>
  <c r="L59" i="3"/>
  <c r="L162" i="3"/>
  <c r="L9" i="3"/>
  <c r="L23" i="3"/>
  <c r="L164" i="3"/>
  <c r="L177" i="3"/>
  <c r="L48" i="3"/>
  <c r="L68" i="3"/>
  <c r="L77" i="3"/>
  <c r="L12" i="3"/>
  <c r="L21" i="3"/>
  <c r="L53" i="3"/>
  <c r="L130" i="3"/>
  <c r="L174" i="3"/>
  <c r="L78" i="3"/>
  <c r="L91" i="3"/>
  <c r="L134" i="3"/>
  <c r="L76" i="3"/>
  <c r="L10" i="3"/>
  <c r="L52" i="3"/>
  <c r="R2" i="3"/>
  <c r="L165" i="3"/>
  <c r="L194" i="3"/>
  <c r="R6" i="3"/>
  <c r="L56" i="3"/>
  <c r="L147" i="3"/>
  <c r="L182" i="3"/>
  <c r="L27" i="3"/>
  <c r="L127" i="3"/>
  <c r="L17" i="3"/>
  <c r="L97" i="3"/>
  <c r="R3" i="3" s="1"/>
  <c r="L139" i="3"/>
  <c r="L79" i="3"/>
  <c r="L24" i="3"/>
  <c r="L40" i="3"/>
  <c r="L94" i="3"/>
  <c r="L123" i="3"/>
  <c r="L126" i="3"/>
  <c r="L33" i="3"/>
  <c r="L157" i="3"/>
  <c r="L136" i="3"/>
  <c r="L163" i="3"/>
  <c r="L104" i="3"/>
  <c r="L137" i="3"/>
  <c r="L19" i="3"/>
  <c r="L30" i="3"/>
  <c r="L18" i="3"/>
  <c r="L45" i="3"/>
  <c r="L74" i="3"/>
  <c r="L70" i="3"/>
  <c r="R4" i="3"/>
  <c r="L93" i="3"/>
  <c r="L13" i="3"/>
  <c r="L88" i="3"/>
  <c r="L62" i="3"/>
  <c r="L116" i="3"/>
  <c r="L96" i="3"/>
  <c r="L43" i="3"/>
  <c r="L67" i="3"/>
  <c r="L20" i="3"/>
  <c r="L186" i="3"/>
  <c r="L140" i="3"/>
  <c r="L132" i="3"/>
  <c r="L22" i="3"/>
  <c r="L2" i="3"/>
  <c r="L99" i="3"/>
  <c r="L50" i="3"/>
  <c r="L64" i="3"/>
  <c r="L83" i="3"/>
  <c r="L175" i="3"/>
  <c r="L46" i="3"/>
  <c r="L100" i="3"/>
  <c r="L109" i="3"/>
  <c r="L90" i="3"/>
  <c r="L115" i="3"/>
  <c r="L121" i="3"/>
  <c r="L29" i="3"/>
  <c r="L41" i="3"/>
  <c r="L49" i="3"/>
  <c r="L7" i="3"/>
  <c r="L51" i="3"/>
  <c r="L65" i="3"/>
  <c r="L42" i="3"/>
  <c r="L102" i="3"/>
  <c r="L138" i="3"/>
  <c r="L85" i="3"/>
  <c r="L103" i="3"/>
  <c r="L80" i="3"/>
  <c r="L35" i="3"/>
  <c r="L14" i="3"/>
  <c r="L112" i="3"/>
  <c r="L153" i="3"/>
  <c r="L128" i="3"/>
  <c r="L61" i="3"/>
  <c r="L98" i="3"/>
  <c r="L89" i="3"/>
  <c r="L118" i="3"/>
  <c r="L28" i="3"/>
  <c r="L38" i="3"/>
  <c r="K159" i="3"/>
  <c r="K122" i="3"/>
  <c r="K133" i="3"/>
  <c r="K151" i="3"/>
  <c r="K120" i="3"/>
  <c r="K161" i="3"/>
  <c r="K187" i="3"/>
  <c r="K168" i="3"/>
  <c r="K156" i="3"/>
  <c r="K160" i="3"/>
  <c r="K172" i="3"/>
  <c r="K176" i="3"/>
  <c r="K188" i="3"/>
  <c r="K179" i="3"/>
  <c r="K195" i="3"/>
  <c r="K203" i="3"/>
  <c r="K205" i="3"/>
  <c r="K206" i="3"/>
  <c r="K105" i="3"/>
  <c r="K75" i="3"/>
  <c r="K82" i="3"/>
  <c r="K144" i="3"/>
  <c r="K60" i="3"/>
  <c r="K39" i="3"/>
  <c r="K81" i="3"/>
  <c r="K32" i="3"/>
  <c r="K84" i="3"/>
  <c r="K55" i="3"/>
  <c r="K92" i="3"/>
  <c r="K69" i="3"/>
  <c r="K72" i="3"/>
  <c r="K15" i="3"/>
  <c r="K63" i="3"/>
  <c r="K71" i="3"/>
  <c r="K26" i="3"/>
  <c r="K31" i="3"/>
  <c r="K180" i="3"/>
  <c r="K47" i="3"/>
  <c r="K3" i="3"/>
  <c r="K101" i="3"/>
  <c r="K185" i="3"/>
  <c r="K152" i="3"/>
  <c r="K149" i="3"/>
  <c r="K86" i="3"/>
  <c r="K16" i="3"/>
  <c r="K158" i="3"/>
  <c r="K5" i="3"/>
  <c r="K106" i="3"/>
  <c r="K73" i="3"/>
  <c r="K129" i="3"/>
  <c r="K108" i="3"/>
  <c r="K6" i="3"/>
  <c r="K11" i="3"/>
  <c r="K148" i="3"/>
  <c r="K124" i="3"/>
  <c r="K34" i="3"/>
  <c r="K36" i="3"/>
  <c r="K37" i="3"/>
  <c r="K4" i="3"/>
  <c r="K155" i="3"/>
  <c r="K25" i="3"/>
  <c r="K154" i="3"/>
  <c r="K54" i="3"/>
  <c r="K114" i="3"/>
  <c r="K66" i="3"/>
  <c r="K125" i="3"/>
  <c r="K8" i="3"/>
  <c r="K141" i="3"/>
  <c r="K110" i="3"/>
  <c r="K95" i="3"/>
  <c r="K113" i="3"/>
  <c r="K111" i="3"/>
  <c r="K57" i="3"/>
  <c r="K117" i="3"/>
  <c r="K107" i="3"/>
  <c r="K131" i="3"/>
  <c r="K87" i="3"/>
  <c r="K44" i="3"/>
  <c r="K58" i="3"/>
  <c r="K59" i="3"/>
  <c r="K162" i="3"/>
  <c r="K9" i="3"/>
  <c r="K23" i="3"/>
  <c r="K164" i="3"/>
  <c r="K177" i="3"/>
  <c r="K48" i="3"/>
  <c r="K68" i="3"/>
  <c r="K77" i="3"/>
  <c r="K12" i="3"/>
  <c r="K21" i="3"/>
  <c r="K53" i="3"/>
  <c r="K130" i="3"/>
  <c r="K174" i="3"/>
  <c r="K78" i="3"/>
  <c r="K91" i="3"/>
  <c r="K134" i="3"/>
  <c r="K76" i="3"/>
  <c r="K10" i="3"/>
  <c r="K52" i="3"/>
  <c r="Q2" i="3"/>
  <c r="K165" i="3"/>
  <c r="K194" i="3"/>
  <c r="Q6" i="3"/>
  <c r="K56" i="3"/>
  <c r="K147" i="3"/>
  <c r="K182" i="3"/>
  <c r="K27" i="3"/>
  <c r="K127" i="3"/>
  <c r="K17" i="3"/>
  <c r="K97" i="3"/>
  <c r="K139" i="3"/>
  <c r="K79" i="3"/>
  <c r="K24" i="3"/>
  <c r="K40" i="3"/>
  <c r="K94" i="3"/>
  <c r="K123" i="3"/>
  <c r="K126" i="3"/>
  <c r="K33" i="3"/>
  <c r="K157" i="3"/>
  <c r="K136" i="3"/>
  <c r="K163" i="3"/>
  <c r="K104" i="3"/>
  <c r="K137" i="3"/>
  <c r="K19" i="3"/>
  <c r="K30" i="3"/>
  <c r="K18" i="3"/>
  <c r="K45" i="3"/>
  <c r="K74" i="3"/>
  <c r="K70" i="3"/>
  <c r="K93" i="3"/>
  <c r="K13" i="3"/>
  <c r="K88" i="3"/>
  <c r="K62" i="3"/>
  <c r="K116" i="3"/>
  <c r="K96" i="3"/>
  <c r="K43" i="3"/>
  <c r="K67" i="3"/>
  <c r="K20" i="3"/>
  <c r="K186" i="3"/>
  <c r="K140" i="3"/>
  <c r="K132" i="3"/>
  <c r="K22" i="3"/>
  <c r="K2" i="3"/>
  <c r="K99" i="3"/>
  <c r="K50" i="3"/>
  <c r="K64" i="3"/>
  <c r="K83" i="3"/>
  <c r="K175" i="3"/>
  <c r="K46" i="3"/>
  <c r="K100" i="3"/>
  <c r="K109" i="3"/>
  <c r="K90" i="3"/>
  <c r="K115" i="3"/>
  <c r="K121" i="3"/>
  <c r="K29" i="3"/>
  <c r="K41" i="3"/>
  <c r="K49" i="3"/>
  <c r="K7" i="3"/>
  <c r="K51" i="3"/>
  <c r="K65" i="3"/>
  <c r="K42" i="3"/>
  <c r="K102" i="3"/>
  <c r="K138" i="3"/>
  <c r="K85" i="3"/>
  <c r="K103" i="3"/>
  <c r="K80" i="3"/>
  <c r="K35" i="3"/>
  <c r="K14" i="3"/>
  <c r="K112" i="3"/>
  <c r="K153" i="3"/>
  <c r="K128" i="3"/>
  <c r="K61" i="3"/>
  <c r="Q5" i="3" s="1"/>
  <c r="K98" i="3"/>
  <c r="K89" i="3"/>
  <c r="K118" i="3"/>
  <c r="K28" i="3"/>
  <c r="K38" i="3"/>
  <c r="T2" i="6"/>
  <c r="U2" i="6"/>
  <c r="T3" i="6"/>
  <c r="U3" i="6"/>
  <c r="T4" i="6"/>
  <c r="U4" i="6"/>
  <c r="T5" i="6"/>
  <c r="U5" i="6"/>
  <c r="T6" i="6"/>
  <c r="U6" i="6"/>
  <c r="T7" i="6"/>
  <c r="U7" i="6"/>
  <c r="T8" i="6"/>
  <c r="U8" i="6"/>
  <c r="T9" i="6"/>
  <c r="U9" i="6"/>
  <c r="T10" i="6"/>
  <c r="U10" i="6"/>
  <c r="T11" i="6"/>
  <c r="U11" i="6"/>
  <c r="T12" i="6"/>
  <c r="U12" i="6"/>
  <c r="T13" i="6"/>
  <c r="U13" i="6"/>
  <c r="T14" i="6"/>
  <c r="U14" i="6"/>
  <c r="T15" i="6"/>
  <c r="U15" i="6"/>
  <c r="T16" i="6"/>
  <c r="U16" i="6"/>
  <c r="T17" i="6"/>
  <c r="U17" i="6"/>
  <c r="T18" i="6"/>
  <c r="U18" i="6"/>
  <c r="T19" i="6"/>
  <c r="U19" i="6"/>
  <c r="T20" i="6"/>
  <c r="U20" i="6"/>
  <c r="T21" i="6"/>
  <c r="U21" i="6"/>
  <c r="T22" i="6"/>
  <c r="U22" i="6"/>
  <c r="T23" i="6"/>
  <c r="U23" i="6"/>
  <c r="T24" i="6"/>
  <c r="U24" i="6"/>
  <c r="T25" i="6"/>
  <c r="U25" i="6"/>
  <c r="T26" i="6"/>
  <c r="U26" i="6"/>
  <c r="T27" i="6"/>
  <c r="U27" i="6"/>
  <c r="T28" i="6"/>
  <c r="U28" i="6"/>
  <c r="T29" i="6"/>
  <c r="U29" i="6"/>
  <c r="T30" i="6"/>
  <c r="U30" i="6"/>
  <c r="T31" i="6"/>
  <c r="U31" i="6"/>
  <c r="T32" i="6"/>
  <c r="U32" i="6"/>
  <c r="T33" i="6"/>
  <c r="U33" i="6"/>
  <c r="T34" i="6"/>
  <c r="U34" i="6"/>
  <c r="T35" i="6"/>
  <c r="U35" i="6"/>
  <c r="T36" i="6"/>
  <c r="U36" i="6"/>
  <c r="T37" i="6"/>
  <c r="U37" i="6"/>
  <c r="T38" i="6"/>
  <c r="U38" i="6"/>
  <c r="T39" i="6"/>
  <c r="U39" i="6"/>
  <c r="T40" i="6"/>
  <c r="U40" i="6"/>
  <c r="T41" i="6"/>
  <c r="U41" i="6"/>
  <c r="T42" i="6"/>
  <c r="U42" i="6"/>
  <c r="T43" i="6"/>
  <c r="U43" i="6"/>
  <c r="T44" i="6"/>
  <c r="U44" i="6"/>
  <c r="T45" i="6"/>
  <c r="U45" i="6"/>
  <c r="T46" i="6"/>
  <c r="U46" i="6"/>
  <c r="T47" i="6"/>
  <c r="U47" i="6"/>
  <c r="T48" i="6"/>
  <c r="U48" i="6"/>
  <c r="T49" i="6"/>
  <c r="U49" i="6"/>
  <c r="T50" i="6"/>
  <c r="U50" i="6"/>
  <c r="T51" i="6"/>
  <c r="U51" i="6"/>
  <c r="T52" i="6"/>
  <c r="U52" i="6"/>
  <c r="T53" i="6"/>
  <c r="U53" i="6"/>
  <c r="T54" i="6"/>
  <c r="U54" i="6"/>
  <c r="T55" i="6"/>
  <c r="U55" i="6"/>
  <c r="T56" i="6"/>
  <c r="U56" i="6"/>
  <c r="T57" i="6"/>
  <c r="U57" i="6"/>
  <c r="T58" i="6"/>
  <c r="U58" i="6"/>
  <c r="T59" i="6"/>
  <c r="U59" i="6"/>
  <c r="T60" i="6"/>
  <c r="U60" i="6"/>
  <c r="T61" i="6"/>
  <c r="U61" i="6"/>
  <c r="T62" i="6"/>
  <c r="U62" i="6"/>
  <c r="T63" i="6"/>
  <c r="U63" i="6"/>
  <c r="T64" i="6"/>
  <c r="U64" i="6"/>
  <c r="T65" i="6"/>
  <c r="U65" i="6"/>
  <c r="T66" i="6"/>
  <c r="U66" i="6"/>
  <c r="T67" i="6"/>
  <c r="U67" i="6"/>
  <c r="T68" i="6"/>
  <c r="U68" i="6"/>
  <c r="T69" i="6"/>
  <c r="U69" i="6"/>
  <c r="T70" i="6"/>
  <c r="U70" i="6"/>
  <c r="T71" i="6"/>
  <c r="U71" i="6"/>
  <c r="T72" i="6"/>
  <c r="U72" i="6"/>
  <c r="T73" i="6"/>
  <c r="U73" i="6"/>
  <c r="T74" i="6"/>
  <c r="U74" i="6"/>
  <c r="T75" i="6"/>
  <c r="U75" i="6"/>
  <c r="T76" i="6"/>
  <c r="U76" i="6"/>
  <c r="T77" i="6"/>
  <c r="U77" i="6"/>
  <c r="T78" i="6"/>
  <c r="U78" i="6"/>
  <c r="T79" i="6"/>
  <c r="U79" i="6"/>
  <c r="T80" i="6"/>
  <c r="U80" i="6"/>
  <c r="T81" i="6"/>
  <c r="U81" i="6"/>
  <c r="T82" i="6"/>
  <c r="U82" i="6"/>
  <c r="T83" i="6"/>
  <c r="U83" i="6"/>
  <c r="T84" i="6"/>
  <c r="U84" i="6"/>
  <c r="T85" i="6"/>
  <c r="U85" i="6"/>
  <c r="T86" i="6"/>
  <c r="U86" i="6"/>
  <c r="T87" i="6"/>
  <c r="U87" i="6"/>
  <c r="T88" i="6"/>
  <c r="U88" i="6"/>
  <c r="T89" i="6"/>
  <c r="U89" i="6"/>
  <c r="T90" i="6"/>
  <c r="U90" i="6"/>
  <c r="T91" i="6"/>
  <c r="U91" i="6"/>
  <c r="T92" i="6"/>
  <c r="U92" i="6"/>
  <c r="T93" i="6"/>
  <c r="U93" i="6"/>
  <c r="T94" i="6"/>
  <c r="U94" i="6"/>
  <c r="T95" i="6"/>
  <c r="U95" i="6"/>
  <c r="T96" i="6"/>
  <c r="U96" i="6"/>
  <c r="T97" i="6"/>
  <c r="U97" i="6"/>
  <c r="T98" i="6"/>
  <c r="U98" i="6"/>
  <c r="T99" i="6"/>
  <c r="U99" i="6"/>
  <c r="T100" i="6"/>
  <c r="U100" i="6"/>
  <c r="T101" i="6"/>
  <c r="U101" i="6"/>
  <c r="T102" i="6"/>
  <c r="U102" i="6"/>
  <c r="T103" i="6"/>
  <c r="U103" i="6"/>
  <c r="T104" i="6"/>
  <c r="U104" i="6"/>
  <c r="T105" i="6"/>
  <c r="U105" i="6"/>
  <c r="T106" i="6"/>
  <c r="U106" i="6"/>
  <c r="T107" i="6"/>
  <c r="U107" i="6"/>
  <c r="T108" i="6"/>
  <c r="U108" i="6"/>
  <c r="T109" i="6"/>
  <c r="U109" i="6"/>
  <c r="T110" i="6"/>
  <c r="U110" i="6"/>
  <c r="T111" i="6"/>
  <c r="U111" i="6"/>
  <c r="T112" i="6"/>
  <c r="U112" i="6"/>
  <c r="T113" i="6"/>
  <c r="U113" i="6"/>
  <c r="T114" i="6"/>
  <c r="U114" i="6"/>
  <c r="T115" i="6"/>
  <c r="U115" i="6"/>
  <c r="T116" i="6"/>
  <c r="U116" i="6"/>
  <c r="T117" i="6"/>
  <c r="U117" i="6"/>
  <c r="T118" i="6"/>
  <c r="U118" i="6"/>
  <c r="T119" i="6"/>
  <c r="U119" i="6"/>
  <c r="T120" i="6"/>
  <c r="U120" i="6"/>
  <c r="T121" i="6"/>
  <c r="U121" i="6"/>
  <c r="T122" i="6"/>
  <c r="U122" i="6"/>
  <c r="T123" i="6"/>
  <c r="U123" i="6"/>
  <c r="T124" i="6"/>
  <c r="U124" i="6"/>
  <c r="T125" i="6"/>
  <c r="U125" i="6"/>
  <c r="T126" i="6"/>
  <c r="U126" i="6"/>
  <c r="T127" i="6"/>
  <c r="U127" i="6"/>
  <c r="T128" i="6"/>
  <c r="U128" i="6"/>
  <c r="T129" i="6"/>
  <c r="U129" i="6"/>
  <c r="T130" i="6"/>
  <c r="U130" i="6"/>
  <c r="T131" i="6"/>
  <c r="U131" i="6"/>
  <c r="T132" i="6"/>
  <c r="U132" i="6"/>
  <c r="T133" i="6"/>
  <c r="U133" i="6"/>
  <c r="T134" i="6"/>
  <c r="U134" i="6"/>
  <c r="T135" i="6"/>
  <c r="U135" i="6"/>
  <c r="T136" i="6"/>
  <c r="U136" i="6"/>
  <c r="T137" i="6"/>
  <c r="U137" i="6"/>
  <c r="T138" i="6"/>
  <c r="U138" i="6"/>
  <c r="T139" i="6"/>
  <c r="U139" i="6"/>
  <c r="T140" i="6"/>
  <c r="U140" i="6"/>
  <c r="T141" i="6"/>
  <c r="U141" i="6"/>
  <c r="T142" i="6"/>
  <c r="U142" i="6"/>
  <c r="T143" i="6"/>
  <c r="U143" i="6"/>
  <c r="T144" i="6"/>
  <c r="U144" i="6"/>
  <c r="T145" i="6"/>
  <c r="U145" i="6"/>
  <c r="T146" i="6"/>
  <c r="U146" i="6"/>
  <c r="T147" i="6"/>
  <c r="U147" i="6"/>
  <c r="T148" i="6"/>
  <c r="U148" i="6"/>
  <c r="T149" i="6"/>
  <c r="U149" i="6"/>
  <c r="T150" i="6"/>
  <c r="U150" i="6"/>
  <c r="T151" i="6"/>
  <c r="U151" i="6"/>
  <c r="T152" i="6"/>
  <c r="U152" i="6"/>
  <c r="T153" i="6"/>
  <c r="U153" i="6"/>
  <c r="T154" i="6"/>
  <c r="U154" i="6"/>
  <c r="T155" i="6"/>
  <c r="U155" i="6"/>
  <c r="T156" i="6"/>
  <c r="U156" i="6"/>
  <c r="T157" i="6"/>
  <c r="U157" i="6"/>
  <c r="T158" i="6"/>
  <c r="U158" i="6"/>
  <c r="T159" i="6"/>
  <c r="U159" i="6"/>
  <c r="T160" i="6"/>
  <c r="U160" i="6"/>
  <c r="T161" i="6"/>
  <c r="U161" i="6"/>
  <c r="T162" i="6"/>
  <c r="U162" i="6"/>
  <c r="T163" i="6"/>
  <c r="U163" i="6"/>
  <c r="T164" i="6"/>
  <c r="U164" i="6"/>
  <c r="T165" i="6"/>
  <c r="U165" i="6"/>
  <c r="T166" i="6"/>
  <c r="U166" i="6"/>
  <c r="T167" i="6"/>
  <c r="U167" i="6"/>
  <c r="T168" i="6"/>
  <c r="U168" i="6"/>
  <c r="T169" i="6"/>
  <c r="U169" i="6"/>
  <c r="T170" i="6"/>
  <c r="U170" i="6"/>
  <c r="T171" i="6"/>
  <c r="U171" i="6"/>
  <c r="T172" i="6"/>
  <c r="U172" i="6"/>
  <c r="T173" i="6"/>
  <c r="U173" i="6"/>
  <c r="T174" i="6"/>
  <c r="U174" i="6"/>
  <c r="T175" i="6"/>
  <c r="U175" i="6"/>
  <c r="T1" i="6"/>
  <c r="U1" i="6"/>
  <c r="Q4" i="3"/>
  <c r="S4" i="3" s="1"/>
  <c r="R7" i="3"/>
  <c r="Q7" i="3"/>
  <c r="T7" i="3" s="1"/>
  <c r="Q3" i="3"/>
  <c r="R5" i="3"/>
  <c r="S8" i="3"/>
  <c r="S9" i="3"/>
  <c r="T9" i="3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M50" i="4"/>
  <c r="N50" i="4"/>
  <c r="M51" i="4"/>
  <c r="N51" i="4"/>
  <c r="M52" i="4"/>
  <c r="N52" i="4"/>
  <c r="M53" i="4"/>
  <c r="N53" i="4"/>
  <c r="M54" i="4"/>
  <c r="N54" i="4"/>
  <c r="M55" i="4"/>
  <c r="N55" i="4"/>
  <c r="M56" i="4"/>
  <c r="N56" i="4"/>
  <c r="M57" i="4"/>
  <c r="N57" i="4"/>
  <c r="M58" i="4"/>
  <c r="N58" i="4"/>
  <c r="M59" i="4"/>
  <c r="N59" i="4"/>
  <c r="M60" i="4"/>
  <c r="N60" i="4"/>
  <c r="M61" i="4"/>
  <c r="N61" i="4"/>
  <c r="M62" i="4"/>
  <c r="N62" i="4"/>
  <c r="M63" i="4"/>
  <c r="N63" i="4"/>
  <c r="M64" i="4"/>
  <c r="N64" i="4"/>
  <c r="M65" i="4"/>
  <c r="N65" i="4"/>
  <c r="M66" i="4"/>
  <c r="N66" i="4"/>
  <c r="M67" i="4"/>
  <c r="N67" i="4"/>
  <c r="M68" i="4"/>
  <c r="N68" i="4"/>
  <c r="M69" i="4"/>
  <c r="M70" i="4"/>
  <c r="N70" i="4"/>
  <c r="M71" i="4"/>
  <c r="N71" i="4"/>
  <c r="M72" i="4"/>
  <c r="N72" i="4"/>
  <c r="M73" i="4"/>
  <c r="N73" i="4"/>
  <c r="M74" i="4"/>
  <c r="N74" i="4"/>
  <c r="M75" i="4"/>
  <c r="N75" i="4"/>
  <c r="M76" i="4"/>
  <c r="N76" i="4"/>
  <c r="M77" i="4"/>
  <c r="N77" i="4"/>
  <c r="M78" i="4"/>
  <c r="N78" i="4"/>
  <c r="M79" i="4"/>
  <c r="N79" i="4"/>
  <c r="M80" i="4"/>
  <c r="N80" i="4"/>
  <c r="M81" i="4"/>
  <c r="N81" i="4"/>
  <c r="M82" i="4"/>
  <c r="N82" i="4"/>
  <c r="M83" i="4"/>
  <c r="N83" i="4"/>
  <c r="M84" i="4"/>
  <c r="M85" i="4"/>
  <c r="N85" i="4"/>
  <c r="M86" i="4"/>
  <c r="N86" i="4"/>
  <c r="M87" i="4"/>
  <c r="N87" i="4"/>
  <c r="M88" i="4"/>
  <c r="N88" i="4"/>
  <c r="M89" i="4"/>
  <c r="N89" i="4"/>
  <c r="M90" i="4"/>
  <c r="N90" i="4"/>
  <c r="M91" i="4"/>
  <c r="N91" i="4"/>
  <c r="M92" i="4"/>
  <c r="N92" i="4"/>
  <c r="M93" i="4"/>
  <c r="N93" i="4"/>
  <c r="M94" i="4"/>
  <c r="N94" i="4"/>
  <c r="M95" i="4"/>
  <c r="N95" i="4"/>
  <c r="M96" i="4"/>
  <c r="N96" i="4"/>
  <c r="M97" i="4"/>
  <c r="N97" i="4"/>
  <c r="M98" i="4"/>
  <c r="N98" i="4"/>
  <c r="M99" i="4"/>
  <c r="N99" i="4"/>
  <c r="M100" i="4"/>
  <c r="N100" i="4"/>
  <c r="M101" i="4"/>
  <c r="N101" i="4"/>
  <c r="M102" i="4"/>
  <c r="N102" i="4"/>
  <c r="M103" i="4"/>
  <c r="N103" i="4"/>
  <c r="M104" i="4"/>
  <c r="N104" i="4"/>
  <c r="M105" i="4"/>
  <c r="N105" i="4"/>
  <c r="M106" i="4"/>
  <c r="N106" i="4"/>
  <c r="M107" i="4"/>
  <c r="N107" i="4"/>
  <c r="M108" i="4"/>
  <c r="N108" i="4"/>
  <c r="M109" i="4"/>
  <c r="N109" i="4"/>
  <c r="M110" i="4"/>
  <c r="N110" i="4"/>
  <c r="M111" i="4"/>
  <c r="N111" i="4"/>
  <c r="M112" i="4"/>
  <c r="N112" i="4"/>
  <c r="M113" i="4"/>
  <c r="N113" i="4"/>
  <c r="M114" i="4"/>
  <c r="N114" i="4"/>
  <c r="M115" i="4"/>
  <c r="N115" i="4"/>
  <c r="M116" i="4"/>
  <c r="N116" i="4"/>
  <c r="M117" i="4"/>
  <c r="N117" i="4"/>
  <c r="M118" i="4"/>
  <c r="N118" i="4"/>
  <c r="M119" i="4"/>
  <c r="N119" i="4"/>
  <c r="M120" i="4"/>
  <c r="N120" i="4"/>
  <c r="M121" i="4"/>
  <c r="N121" i="4"/>
  <c r="M122" i="4"/>
  <c r="N122" i="4"/>
  <c r="M123" i="4"/>
  <c r="N123" i="4"/>
  <c r="M124" i="4"/>
  <c r="N124" i="4"/>
  <c r="M125" i="4"/>
  <c r="N125" i="4"/>
  <c r="M126" i="4"/>
  <c r="N126" i="4"/>
  <c r="M127" i="4"/>
  <c r="N127" i="4"/>
  <c r="M128" i="4"/>
  <c r="N128" i="4"/>
  <c r="M129" i="4"/>
  <c r="N129" i="4"/>
  <c r="M130" i="4"/>
  <c r="N130" i="4"/>
  <c r="M131" i="4"/>
  <c r="N131" i="4"/>
  <c r="M132" i="4"/>
  <c r="N132" i="4"/>
  <c r="M133" i="4"/>
  <c r="N133" i="4"/>
  <c r="M134" i="4"/>
  <c r="N134" i="4"/>
  <c r="M135" i="4"/>
  <c r="N135" i="4"/>
  <c r="M136" i="4"/>
  <c r="N136" i="4"/>
  <c r="M137" i="4"/>
  <c r="N137" i="4"/>
  <c r="M138" i="4"/>
  <c r="N138" i="4"/>
  <c r="M139" i="4"/>
  <c r="N139" i="4"/>
  <c r="M140" i="4"/>
  <c r="N140" i="4"/>
  <c r="M141" i="4"/>
  <c r="N141" i="4"/>
  <c r="M142" i="4"/>
  <c r="N142" i="4"/>
  <c r="M143" i="4"/>
  <c r="N143" i="4"/>
  <c r="M144" i="4"/>
  <c r="N144" i="4"/>
  <c r="M145" i="4"/>
  <c r="N145" i="4"/>
  <c r="M146" i="4"/>
  <c r="N146" i="4"/>
  <c r="M147" i="4"/>
  <c r="N147" i="4"/>
  <c r="M148" i="4"/>
  <c r="N148" i="4"/>
  <c r="M149" i="4"/>
  <c r="N149" i="4"/>
  <c r="M150" i="4"/>
  <c r="N150" i="4"/>
  <c r="M151" i="4"/>
  <c r="N151" i="4"/>
  <c r="M152" i="4"/>
  <c r="N152" i="4"/>
  <c r="M153" i="4"/>
  <c r="N153" i="4"/>
  <c r="M154" i="4"/>
  <c r="N154" i="4"/>
  <c r="M155" i="4"/>
  <c r="N155" i="4"/>
  <c r="M156" i="4"/>
  <c r="N156" i="4"/>
  <c r="M157" i="4"/>
  <c r="N157" i="4"/>
  <c r="M158" i="4"/>
  <c r="N158" i="4"/>
  <c r="M159" i="4"/>
  <c r="N159" i="4"/>
  <c r="M160" i="4"/>
  <c r="N160" i="4"/>
  <c r="M161" i="4"/>
  <c r="N161" i="4"/>
  <c r="M162" i="4"/>
  <c r="N162" i="4"/>
  <c r="M163" i="4"/>
  <c r="N163" i="4"/>
  <c r="M164" i="4"/>
  <c r="N164" i="4"/>
  <c r="M165" i="4"/>
  <c r="N165" i="4"/>
  <c r="M166" i="4"/>
  <c r="N166" i="4"/>
  <c r="M167" i="4"/>
  <c r="N167" i="4"/>
  <c r="M168" i="4"/>
  <c r="N168" i="4"/>
  <c r="M169" i="4"/>
  <c r="N169" i="4"/>
  <c r="M170" i="4"/>
  <c r="N170" i="4"/>
  <c r="M171" i="4"/>
  <c r="N171" i="4"/>
  <c r="M172" i="4"/>
  <c r="N172" i="4"/>
  <c r="M173" i="4"/>
  <c r="N173" i="4"/>
  <c r="M174" i="4"/>
  <c r="N174" i="4"/>
  <c r="M175" i="4"/>
  <c r="N175" i="4"/>
  <c r="M176" i="4"/>
  <c r="N176" i="4"/>
  <c r="M2" i="4"/>
  <c r="N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" i="4"/>
  <c r="S7" i="3" l="1"/>
  <c r="T6" i="3"/>
  <c r="T2" i="3"/>
  <c r="S3" i="3"/>
  <c r="S6" i="3"/>
  <c r="T5" i="3"/>
  <c r="S5" i="3"/>
  <c r="S2" i="3"/>
  <c r="T3" i="3"/>
  <c r="T4" i="3"/>
</calcChain>
</file>

<file path=xl/sharedStrings.xml><?xml version="1.0" encoding="utf-8"?>
<sst xmlns="http://schemas.openxmlformats.org/spreadsheetml/2006/main" count="3409" uniqueCount="1694">
  <si>
    <t>Jamie Benn</t>
  </si>
  <si>
    <t>Connor McDavid</t>
  </si>
  <si>
    <t>Patrick Kane</t>
  </si>
  <si>
    <t>Sidney Crosby</t>
  </si>
  <si>
    <t>Tyler Seguin</t>
  </si>
  <si>
    <t>Joe Pavelski</t>
  </si>
  <si>
    <t>John Tavares</t>
  </si>
  <si>
    <t>Johnny Gaudreau</t>
  </si>
  <si>
    <t>Erik Karlsson</t>
  </si>
  <si>
    <t>Vladimir Tarasenko</t>
  </si>
  <si>
    <t>Anze Kopitar</t>
  </si>
  <si>
    <t>Nicklas Backstrom</t>
  </si>
  <si>
    <t>Claude Giroux</t>
  </si>
  <si>
    <t>Steven Stamkos</t>
  </si>
  <si>
    <t>Ryan Getzlaf</t>
  </si>
  <si>
    <t>Aleksander Barkov</t>
  </si>
  <si>
    <t>Blake Wheeler</t>
  </si>
  <si>
    <t>Filip Forsberg</t>
  </si>
  <si>
    <t>Mark Scheifele</t>
  </si>
  <si>
    <t>Artemi Panarin</t>
  </si>
  <si>
    <t>Ryan Johansen</t>
  </si>
  <si>
    <t>Joe Thornton</t>
  </si>
  <si>
    <t>Corey Perry</t>
  </si>
  <si>
    <t>Evgeni Malkin</t>
  </si>
  <si>
    <t>Nikita Kucherov</t>
  </si>
  <si>
    <t>Sean Monahan</t>
  </si>
  <si>
    <t>Evgeny Kuznetsov</t>
  </si>
  <si>
    <t>Jack Eichel</t>
  </si>
  <si>
    <t>Jakub Voracek</t>
  </si>
  <si>
    <t>Max Pacioretty</t>
  </si>
  <si>
    <t>Auston Matthews</t>
  </si>
  <si>
    <t>Jonathan Huberdeau</t>
  </si>
  <si>
    <t>Jordan Eberle</t>
  </si>
  <si>
    <t>Taylor Hall</t>
  </si>
  <si>
    <t>Brent Burns</t>
  </si>
  <si>
    <t>Logan Couture</t>
  </si>
  <si>
    <t>Alexander Radulov</t>
  </si>
  <si>
    <t>Alex Galchenyuk</t>
  </si>
  <si>
    <t>Patrice Bergeron</t>
  </si>
  <si>
    <t>Nathan MacKinnon</t>
  </si>
  <si>
    <t>P.K. Subban</t>
  </si>
  <si>
    <t>David Krejci</t>
  </si>
  <si>
    <t>Jonathan Toews</t>
  </si>
  <si>
    <t>Jason Spezza</t>
  </si>
  <si>
    <t>Ryan O'Reilly</t>
  </si>
  <si>
    <t>Wayne Simmonds</t>
  </si>
  <si>
    <t>Phil Kessel</t>
  </si>
  <si>
    <t>Matt Duchene</t>
  </si>
  <si>
    <t>Mark Stone</t>
  </si>
  <si>
    <t>Henrik Sedin</t>
  </si>
  <si>
    <t>Tyler Toffoli</t>
  </si>
  <si>
    <t>James van Riemsdyk</t>
  </si>
  <si>
    <t>Kyle Okposo</t>
  </si>
  <si>
    <t>Max Domi</t>
  </si>
  <si>
    <t>Kyle Turris</t>
  </si>
  <si>
    <t>Patrik Laine</t>
  </si>
  <si>
    <t>Daniel Sedin</t>
  </si>
  <si>
    <t>Derek Stepan</t>
  </si>
  <si>
    <t>Gabriel Landeskog</t>
  </si>
  <si>
    <t>Jaden Schwartz</t>
  </si>
  <si>
    <t>James Neal</t>
  </si>
  <si>
    <t>Kyle Palmieri</t>
  </si>
  <si>
    <t>Mats Zuccarello</t>
  </si>
  <si>
    <t>Alexander Steen</t>
  </si>
  <si>
    <t>Dylan Larkin</t>
  </si>
  <si>
    <t>Bryan Little</t>
  </si>
  <si>
    <t>Jeff Carter</t>
  </si>
  <si>
    <t>Milan Lucic</t>
  </si>
  <si>
    <t>Mika Zibanejad</t>
  </si>
  <si>
    <t>John Klingberg</t>
  </si>
  <si>
    <t>Mike Hoffman</t>
  </si>
  <si>
    <t>Loui Eriksson</t>
  </si>
  <si>
    <t>Vincent Trocheck</t>
  </si>
  <si>
    <t>Bobby Ryan</t>
  </si>
  <si>
    <t>Derick Brassard</t>
  </si>
  <si>
    <t>Brayden Schenn</t>
  </si>
  <si>
    <t>Dustin Byfuglien</t>
  </si>
  <si>
    <t>Jeff Skinner</t>
  </si>
  <si>
    <t>Brandon Saad</t>
  </si>
  <si>
    <t>Brad Marchand</t>
  </si>
  <si>
    <t>Andrew Ladd</t>
  </si>
  <si>
    <t>Patrick Sharp</t>
  </si>
  <si>
    <t>Mark Giordano</t>
  </si>
  <si>
    <t>Gustav Nyquist</t>
  </si>
  <si>
    <t>Brendan Gallagher</t>
  </si>
  <si>
    <t>T.J. Oshie</t>
  </si>
  <si>
    <t>Cam Atkinson</t>
  </si>
  <si>
    <t>Marcus Johansson</t>
  </si>
  <si>
    <t>Jaromir Jagr</t>
  </si>
  <si>
    <t>Frans Nielsen</t>
  </si>
  <si>
    <t>Shea Weber</t>
  </si>
  <si>
    <t>Victor Hedman</t>
  </si>
  <si>
    <t>Tyler Johnson</t>
  </si>
  <si>
    <t>Jussi Jokinen</t>
  </si>
  <si>
    <t>Carl Soderberg</t>
  </si>
  <si>
    <t>Roman Josi</t>
  </si>
  <si>
    <t>Lepool.com</t>
  </si>
  <si>
    <t>Boone Jenner</t>
  </si>
  <si>
    <t>Adam Henrique</t>
  </si>
  <si>
    <t>Rick Nash</t>
  </si>
  <si>
    <t>Patric Hornqvist</t>
  </si>
  <si>
    <t>Leon Draisaitl</t>
  </si>
  <si>
    <t>Tyson Barrie</t>
  </si>
  <si>
    <t>Drew Doughty</t>
  </si>
  <si>
    <t>Paul Stastny</t>
  </si>
  <si>
    <t>Zach Parise</t>
  </si>
  <si>
    <t>Ondrej Palat</t>
  </si>
  <si>
    <t>Victor Rask</t>
  </si>
  <si>
    <t>Ryan Kesler</t>
  </si>
  <si>
    <t>Mikkel Boedker</t>
  </si>
  <si>
    <t>Martin Hanzal</t>
  </si>
  <si>
    <t>Henrik Zetterberg</t>
  </si>
  <si>
    <t>Mikko Koivu</t>
  </si>
  <si>
    <t>John Carlson</t>
  </si>
  <si>
    <t>Tomas Plekanec</t>
  </si>
  <si>
    <t>Tomas Hertl</t>
  </si>
  <si>
    <t>Thomas Vanek</t>
  </si>
  <si>
    <t>Justin Faulk</t>
  </si>
  <si>
    <t>Eric Staal</t>
  </si>
  <si>
    <t>Jiri Hudler</t>
  </si>
  <si>
    <t>Jordan Staal</t>
  </si>
  <si>
    <t>Scott Hartnell</t>
  </si>
  <si>
    <t>Anthony Duclair</t>
  </si>
  <si>
    <t>Patrick Marleau</t>
  </si>
  <si>
    <t>Justin Williams</t>
  </si>
  <si>
    <t>Nikolaj Ehlers</t>
  </si>
  <si>
    <t>Dylan Strome</t>
  </si>
  <si>
    <t>Ryan Spooner</t>
  </si>
  <si>
    <t>Ryan Suter</t>
  </si>
  <si>
    <t>J.T. Miller</t>
  </si>
  <si>
    <t>Sam Reinhart</t>
  </si>
  <si>
    <t>Rickard Rakell</t>
  </si>
  <si>
    <t>Nazem Kadri</t>
  </si>
  <si>
    <t>Brandon Dubinsky</t>
  </si>
  <si>
    <t>Sean Couturier</t>
  </si>
  <si>
    <t>Jonathan Drouin</t>
  </si>
  <si>
    <t>Duncan Keith</t>
  </si>
  <si>
    <t>Robby Fabbri</t>
  </si>
  <si>
    <t>Chris Kreider</t>
  </si>
  <si>
    <t>Tomas Tatar</t>
  </si>
  <si>
    <t>Sam Bennett</t>
  </si>
  <si>
    <t>Kevin Shattenkirk</t>
  </si>
  <si>
    <t>Alex Pietrangelo</t>
  </si>
  <si>
    <t>Reilly Smith</t>
  </si>
  <si>
    <t>Mikael Backlund</t>
  </si>
  <si>
    <t>Mike Ribeiro</t>
  </si>
  <si>
    <t>Nino Niederreiter</t>
  </si>
  <si>
    <t>Jakob Silfverberg</t>
  </si>
  <si>
    <t>Aaron Ekblad</t>
  </si>
  <si>
    <t>Jason Pominville</t>
  </si>
  <si>
    <t>Nick Foligno</t>
  </si>
  <si>
    <t>Jarome Iginla</t>
  </si>
  <si>
    <t>Rasmus Ristolainen</t>
  </si>
  <si>
    <t>Michael Cammalleri</t>
  </si>
  <si>
    <t>Colonne1</t>
  </si>
  <si>
    <t>HM</t>
  </si>
  <si>
    <t>Pool Pro</t>
  </si>
  <si>
    <t>HN</t>
  </si>
  <si>
    <t>Jamie</t>
  </si>
  <si>
    <t>Benn</t>
  </si>
  <si>
    <t>Connor</t>
  </si>
  <si>
    <t>McDavid</t>
  </si>
  <si>
    <t>Patrick</t>
  </si>
  <si>
    <t>Kane</t>
  </si>
  <si>
    <t>Sidney</t>
  </si>
  <si>
    <t>Crosby</t>
  </si>
  <si>
    <t>Tyler</t>
  </si>
  <si>
    <t>Seguin</t>
  </si>
  <si>
    <t>Joe</t>
  </si>
  <si>
    <t>Pavelski</t>
  </si>
  <si>
    <t>John</t>
  </si>
  <si>
    <t>Tavares</t>
  </si>
  <si>
    <t>Johnny</t>
  </si>
  <si>
    <t>Gaudreau</t>
  </si>
  <si>
    <t>Alexander</t>
  </si>
  <si>
    <t>Ovechkin</t>
  </si>
  <si>
    <t>Erik</t>
  </si>
  <si>
    <t>Karlsson</t>
  </si>
  <si>
    <t>Vladimir</t>
  </si>
  <si>
    <t>Tarasenko</t>
  </si>
  <si>
    <t>Anze</t>
  </si>
  <si>
    <t>Kopitar</t>
  </si>
  <si>
    <t>Nicklas</t>
  </si>
  <si>
    <t>Backstrom</t>
  </si>
  <si>
    <t>Claude</t>
  </si>
  <si>
    <t>Giroux</t>
  </si>
  <si>
    <t>Steven</t>
  </si>
  <si>
    <t>Stamkos</t>
  </si>
  <si>
    <t>Ryan</t>
  </si>
  <si>
    <t>Getzlaf</t>
  </si>
  <si>
    <t>Aleksander</t>
  </si>
  <si>
    <t>Barkov</t>
  </si>
  <si>
    <t>Blake</t>
  </si>
  <si>
    <t>Wheeler</t>
  </si>
  <si>
    <t>Filip</t>
  </si>
  <si>
    <t>Forsberg</t>
  </si>
  <si>
    <t>Mark</t>
  </si>
  <si>
    <t>Scheifele</t>
  </si>
  <si>
    <t>Artemi</t>
  </si>
  <si>
    <t>Panarin</t>
  </si>
  <si>
    <t>Thornton</t>
  </si>
  <si>
    <t>Johansen</t>
  </si>
  <si>
    <t>Evgeni</t>
  </si>
  <si>
    <t>Malkin</t>
  </si>
  <si>
    <t>Corey</t>
  </si>
  <si>
    <t>Perry</t>
  </si>
  <si>
    <t>Evgeny</t>
  </si>
  <si>
    <t>Kuznetsov</t>
  </si>
  <si>
    <t>Nikita</t>
  </si>
  <si>
    <t>Kucherov</t>
  </si>
  <si>
    <t>Sean</t>
  </si>
  <si>
    <t>Monahan</t>
  </si>
  <si>
    <t>Jakub</t>
  </si>
  <si>
    <t>Voracek</t>
  </si>
  <si>
    <t>Jack</t>
  </si>
  <si>
    <t>Eichel</t>
  </si>
  <si>
    <t>Max</t>
  </si>
  <si>
    <t>Pacioretty</t>
  </si>
  <si>
    <t>Jonathan</t>
  </si>
  <si>
    <t>Huberdeau</t>
  </si>
  <si>
    <t>Auston</t>
  </si>
  <si>
    <t>Matthews</t>
  </si>
  <si>
    <t>Brent</t>
  </si>
  <si>
    <t>Burns</t>
  </si>
  <si>
    <t>Taylor</t>
  </si>
  <si>
    <t>Hall</t>
  </si>
  <si>
    <t>Jordan</t>
  </si>
  <si>
    <t>Eberle</t>
  </si>
  <si>
    <t>Logan</t>
  </si>
  <si>
    <t>Couture</t>
  </si>
  <si>
    <t>Radulov</t>
  </si>
  <si>
    <t>David</t>
  </si>
  <si>
    <t>Krejci</t>
  </si>
  <si>
    <t>Alex</t>
  </si>
  <si>
    <t>Galchenyuk</t>
  </si>
  <si>
    <t>Nathan</t>
  </si>
  <si>
    <t>MacKinnon</t>
  </si>
  <si>
    <t>Patrice</t>
  </si>
  <si>
    <t>Bergeron</t>
  </si>
  <si>
    <t>P.K.</t>
  </si>
  <si>
    <t>Subban</t>
  </si>
  <si>
    <t>O'Reilly</t>
  </si>
  <si>
    <t>Toews</t>
  </si>
  <si>
    <t>Jason</t>
  </si>
  <si>
    <t>Spezza</t>
  </si>
  <si>
    <t>Matt</t>
  </si>
  <si>
    <t>Duchene</t>
  </si>
  <si>
    <t>Stone</t>
  </si>
  <si>
    <t>Phil</t>
  </si>
  <si>
    <t>Kessel</t>
  </si>
  <si>
    <t>Wayne</t>
  </si>
  <si>
    <t>Simmonds</t>
  </si>
  <si>
    <t>Henrik</t>
  </si>
  <si>
    <t>Sedin</t>
  </si>
  <si>
    <t>Kyle</t>
  </si>
  <si>
    <t>Turris</t>
  </si>
  <si>
    <t>Toffoli</t>
  </si>
  <si>
    <t>James</t>
  </si>
  <si>
    <t>Okposo</t>
  </si>
  <si>
    <t>Domi</t>
  </si>
  <si>
    <t>Jaden</t>
  </si>
  <si>
    <t>Schwartz</t>
  </si>
  <si>
    <t>Gabriel</t>
  </si>
  <si>
    <t>Landeskog</t>
  </si>
  <si>
    <t>Daniel</t>
  </si>
  <si>
    <t>Derek</t>
  </si>
  <si>
    <t>Stepan</t>
  </si>
  <si>
    <t>Nugent-Hopki…</t>
  </si>
  <si>
    <t>Patrik</t>
  </si>
  <si>
    <t>Laine</t>
  </si>
  <si>
    <t>Kristopher</t>
  </si>
  <si>
    <t>Letang</t>
  </si>
  <si>
    <t>Neal</t>
  </si>
  <si>
    <t>Palmieri</t>
  </si>
  <si>
    <t>Mats</t>
  </si>
  <si>
    <t>Zuccarello</t>
  </si>
  <si>
    <t>Steen</t>
  </si>
  <si>
    <t>Jeff</t>
  </si>
  <si>
    <t>Carter</t>
  </si>
  <si>
    <t>Klingberg</t>
  </si>
  <si>
    <t>Bryan</t>
  </si>
  <si>
    <t>Little</t>
  </si>
  <si>
    <t>Milan</t>
  </si>
  <si>
    <t>Lucic</t>
  </si>
  <si>
    <t>Mika</t>
  </si>
  <si>
    <t>Zibanejad</t>
  </si>
  <si>
    <t>Dylan</t>
  </si>
  <si>
    <t>Larkin</t>
  </si>
  <si>
    <t>Brayden</t>
  </si>
  <si>
    <t>Schenn</t>
  </si>
  <si>
    <t>Mike</t>
  </si>
  <si>
    <t>Hoffman</t>
  </si>
  <si>
    <t>Derick</t>
  </si>
  <si>
    <t>Brassard</t>
  </si>
  <si>
    <t>Vincent</t>
  </si>
  <si>
    <t>Trocheck</t>
  </si>
  <si>
    <t>Oliver</t>
  </si>
  <si>
    <t>Ekman-Lars…</t>
  </si>
  <si>
    <t>Loui</t>
  </si>
  <si>
    <t>Eriksson</t>
  </si>
  <si>
    <t>Dustin</t>
  </si>
  <si>
    <t>Byfuglien</t>
  </si>
  <si>
    <t>Bobby</t>
  </si>
  <si>
    <t>Brandon</t>
  </si>
  <si>
    <t>Saad</t>
  </si>
  <si>
    <t>Skinner</t>
  </si>
  <si>
    <t>Sharp</t>
  </si>
  <si>
    <t>Brad</t>
  </si>
  <si>
    <t>Marchand</t>
  </si>
  <si>
    <t>Giordano</t>
  </si>
  <si>
    <t>Andrew</t>
  </si>
  <si>
    <t>Ladd</t>
  </si>
  <si>
    <t>Brendan</t>
  </si>
  <si>
    <t>Gallagher</t>
  </si>
  <si>
    <t>Gustav</t>
  </si>
  <si>
    <t>Nyquist</t>
  </si>
  <si>
    <t>Johnson</t>
  </si>
  <si>
    <t>Roman</t>
  </si>
  <si>
    <t>Josi</t>
  </si>
  <si>
    <t>T.J.</t>
  </si>
  <si>
    <t>Oshie</t>
  </si>
  <si>
    <t>Jaromir</t>
  </si>
  <si>
    <t>Jagr</t>
  </si>
  <si>
    <t>Jussi</t>
  </si>
  <si>
    <t>Jokinen</t>
  </si>
  <si>
    <t>Shea</t>
  </si>
  <si>
    <t>Weber</t>
  </si>
  <si>
    <t>Victor</t>
  </si>
  <si>
    <t>Hedman</t>
  </si>
  <si>
    <t>Cam</t>
  </si>
  <si>
    <t>Atkinson</t>
  </si>
  <si>
    <t>Frans</t>
  </si>
  <si>
    <t>Nielsen</t>
  </si>
  <si>
    <t>Carl</t>
  </si>
  <si>
    <t>Soderberg</t>
  </si>
  <si>
    <t>Marcus</t>
  </si>
  <si>
    <t>Johansson</t>
  </si>
  <si>
    <t>Leon</t>
  </si>
  <si>
    <t>Draisaitl</t>
  </si>
  <si>
    <t>Adam</t>
  </si>
  <si>
    <t>Henrique</t>
  </si>
  <si>
    <t>Paul</t>
  </si>
  <si>
    <t>Stastny</t>
  </si>
  <si>
    <t>Boone</t>
  </si>
  <si>
    <t>Jenner</t>
  </si>
  <si>
    <t>Rick</t>
  </si>
  <si>
    <t>Nash</t>
  </si>
  <si>
    <t>Tyson</t>
  </si>
  <si>
    <t>Barrie</t>
  </si>
  <si>
    <t>Drew</t>
  </si>
  <si>
    <t>Doughty</t>
  </si>
  <si>
    <t>Patric</t>
  </si>
  <si>
    <t>Hornqvist</t>
  </si>
  <si>
    <t>Zach</t>
  </si>
  <si>
    <t>Parise</t>
  </si>
  <si>
    <t>Carlson</t>
  </si>
  <si>
    <t>Ondrej</t>
  </si>
  <si>
    <t>Palat</t>
  </si>
  <si>
    <t>Mikkel</t>
  </si>
  <si>
    <t>Boedker</t>
  </si>
  <si>
    <t>Mikko</t>
  </si>
  <si>
    <t>Koivu</t>
  </si>
  <si>
    <t>Rask</t>
  </si>
  <si>
    <t>Kesler</t>
  </si>
  <si>
    <t>Zetterberg</t>
  </si>
  <si>
    <t>Tomas</t>
  </si>
  <si>
    <t>Plekanec</t>
  </si>
  <si>
    <t>Martin</t>
  </si>
  <si>
    <t>Hanzal</t>
  </si>
  <si>
    <t>Hertl</t>
  </si>
  <si>
    <t>Wennberg</t>
  </si>
  <si>
    <t>Shayne</t>
  </si>
  <si>
    <t>Gostisbehe…</t>
  </si>
  <si>
    <t>Staal</t>
  </si>
  <si>
    <t>Justin</t>
  </si>
  <si>
    <t>Faulk</t>
  </si>
  <si>
    <t>Thomas</t>
  </si>
  <si>
    <t>Vanek</t>
  </si>
  <si>
    <t>Eric</t>
  </si>
  <si>
    <t>Jesse</t>
  </si>
  <si>
    <t>Puljujarvi</t>
  </si>
  <si>
    <t>Jiri</t>
  </si>
  <si>
    <t>Hudler</t>
  </si>
  <si>
    <t>Nikolaj</t>
  </si>
  <si>
    <t>Ehlers</t>
  </si>
  <si>
    <t>Williams</t>
  </si>
  <si>
    <t>Mikael</t>
  </si>
  <si>
    <t>Granlund</t>
  </si>
  <si>
    <t>Spooner</t>
  </si>
  <si>
    <t>Suter</t>
  </si>
  <si>
    <t>Anthony</t>
  </si>
  <si>
    <t>Duclair</t>
  </si>
  <si>
    <t>Scott</t>
  </si>
  <si>
    <t>Hartnell</t>
  </si>
  <si>
    <t>Marleau</t>
  </si>
  <si>
    <t>Strome</t>
  </si>
  <si>
    <t>Drouin</t>
  </si>
  <si>
    <t>Sam</t>
  </si>
  <si>
    <t>Reinhart</t>
  </si>
  <si>
    <t>Rickard</t>
  </si>
  <si>
    <t>Rakell</t>
  </si>
  <si>
    <t>Duncan</t>
  </si>
  <si>
    <t>Keith</t>
  </si>
  <si>
    <t>Couturier</t>
  </si>
  <si>
    <t>Nazem</t>
  </si>
  <si>
    <t>Kadri</t>
  </si>
  <si>
    <t>Dubinsky</t>
  </si>
  <si>
    <t>Charlie</t>
  </si>
  <si>
    <t>Coyle</t>
  </si>
  <si>
    <t>Brock</t>
  </si>
  <si>
    <t>Nelson</t>
  </si>
  <si>
    <t>Bo</t>
  </si>
  <si>
    <t>Horvat</t>
  </si>
  <si>
    <t>J.T.</t>
  </si>
  <si>
    <t>Miller</t>
  </si>
  <si>
    <t>Robby</t>
  </si>
  <si>
    <t>Fabbri</t>
  </si>
  <si>
    <t>Tatar</t>
  </si>
  <si>
    <t>Pietrangelo</t>
  </si>
  <si>
    <t>Chris</t>
  </si>
  <si>
    <t>Kreider</t>
  </si>
  <si>
    <t>Bennett</t>
  </si>
  <si>
    <t>Pierre-A</t>
  </si>
  <si>
    <t>Parenteau</t>
  </si>
  <si>
    <t>Travis</t>
  </si>
  <si>
    <t>Zajac</t>
  </si>
  <si>
    <t>Kevin</t>
  </si>
  <si>
    <t>Shattenkirk</t>
  </si>
  <si>
    <t>Reilly</t>
  </si>
  <si>
    <t>Smith</t>
  </si>
  <si>
    <t>Backlund</t>
  </si>
  <si>
    <t>Nick</t>
  </si>
  <si>
    <t>Bjugstad</t>
  </si>
  <si>
    <t>Teuvo</t>
  </si>
  <si>
    <t>Teravainen</t>
  </si>
  <si>
    <t>Ribeiro</t>
  </si>
  <si>
    <t>Aaron</t>
  </si>
  <si>
    <t>Ekblad</t>
  </si>
  <si>
    <t>Nino</t>
  </si>
  <si>
    <t>Niederreiter</t>
  </si>
  <si>
    <t>Pavel</t>
  </si>
  <si>
    <t>Zacha</t>
  </si>
  <si>
    <t>Jakob</t>
  </si>
  <si>
    <t>Silfverberg</t>
  </si>
  <si>
    <t>Pominville</t>
  </si>
  <si>
    <t>Teddy</t>
  </si>
  <si>
    <t>Purcell</t>
  </si>
  <si>
    <t>Perron</t>
  </si>
  <si>
    <t>Foligno</t>
  </si>
  <si>
    <t>Jarome</t>
  </si>
  <si>
    <t>Iginla</t>
  </si>
  <si>
    <t>Hayes</t>
  </si>
  <si>
    <t>Colborne</t>
  </si>
  <si>
    <t>Rasmus</t>
  </si>
  <si>
    <t>Ristolainen</t>
  </si>
  <si>
    <t>Artem</t>
  </si>
  <si>
    <t>Anisimov</t>
  </si>
  <si>
    <t>Michael</t>
  </si>
  <si>
    <t>Cammalleri</t>
  </si>
  <si>
    <t>Vladislav</t>
  </si>
  <si>
    <t>Namestn…</t>
  </si>
  <si>
    <t>Colonne32</t>
  </si>
  <si>
    <t>Evander Kane</t>
  </si>
  <si>
    <t>David Pastrnak</t>
  </si>
  <si>
    <t>Jimmy Vesey</t>
  </si>
  <si>
    <r>
      <t>Jamie Benn</t>
    </r>
    <r>
      <rPr>
        <sz val="8"/>
        <color rgb="FF000000"/>
        <rFont val="Verdana"/>
        <family val="2"/>
      </rPr>
      <t>*, Dal LW  </t>
    </r>
    <r>
      <rPr>
        <b/>
        <sz val="8"/>
        <color rgb="FFFF0000"/>
        <rFont val="Verdana"/>
        <family val="2"/>
      </rPr>
      <t>O</t>
    </r>
  </si>
  <si>
    <t>Patrick Kane, Chi RW</t>
  </si>
  <si>
    <r>
      <t>Sidney Crosby</t>
    </r>
    <r>
      <rPr>
        <sz val="8"/>
        <color rgb="FF000000"/>
        <rFont val="Verdana"/>
        <family val="2"/>
      </rPr>
      <t>, Pit C</t>
    </r>
  </si>
  <si>
    <t>Joe Pavelski, SJ C</t>
  </si>
  <si>
    <t>Erik Karlsson, Ott D</t>
  </si>
  <si>
    <t>Vladimir Tarasenko, StL RW</t>
  </si>
  <si>
    <t>Alex Ovechkin, Wsh RW</t>
  </si>
  <si>
    <t>Connor McDavid, Edm C</t>
  </si>
  <si>
    <t>Brent Burns, SJ D</t>
  </si>
  <si>
    <t>Johnny Gaudreau, Cgy LW</t>
  </si>
  <si>
    <t>John Tavares, NYI C</t>
  </si>
  <si>
    <t>Artemi Panarin, Chi C</t>
  </si>
  <si>
    <r>
      <t>Tyler Seguin</t>
    </r>
    <r>
      <rPr>
        <sz val="8"/>
        <color rgb="FF000000"/>
        <rFont val="Verdana"/>
        <family val="2"/>
      </rPr>
      <t>*, Dal C  </t>
    </r>
    <r>
      <rPr>
        <b/>
        <sz val="8"/>
        <color rgb="FFFF0000"/>
        <rFont val="Verdana"/>
        <family val="2"/>
      </rPr>
      <t>O</t>
    </r>
  </si>
  <si>
    <r>
      <t>Nikita Kucherov</t>
    </r>
    <r>
      <rPr>
        <sz val="8"/>
        <color rgb="FF000000"/>
        <rFont val="Verdana"/>
        <family val="2"/>
      </rPr>
      <t>, TB RW</t>
    </r>
  </si>
  <si>
    <t>Nicklas Backstrom, Wsh C</t>
  </si>
  <si>
    <t>Patrice Bergeron, Bos C</t>
  </si>
  <si>
    <t>Evgeni Malkin, Pit C</t>
  </si>
  <si>
    <r>
      <t>Dustin Byfuglien</t>
    </r>
    <r>
      <rPr>
        <sz val="8"/>
        <color rgb="FF000000"/>
        <rFont val="Verdana"/>
        <family val="2"/>
      </rPr>
      <t>, Wpg D</t>
    </r>
  </si>
  <si>
    <t>Blake Wheeler, Wpg RW</t>
  </si>
  <si>
    <t>Steven Stamkos, TB C</t>
  </si>
  <si>
    <t>Anze Kopitar, LA C</t>
  </si>
  <si>
    <t>Joe Thornton, SJ C</t>
  </si>
  <si>
    <t>Evgeny Kuznetsov, Wsh C</t>
  </si>
  <si>
    <t>Corey Perry, Ana RW</t>
  </si>
  <si>
    <t>Phil Kessel*, Pit RW  O</t>
  </si>
  <si>
    <t>Wayne Simmonds, Phi LW</t>
  </si>
  <si>
    <t>Oliver Ekman-Larsson, Ari D</t>
  </si>
  <si>
    <t>P.K. Subban*, Nsh D  O</t>
  </si>
  <si>
    <t>Claude Giroux, Phi C</t>
  </si>
  <si>
    <t>Tyler Toffoli, LA RW</t>
  </si>
  <si>
    <t>Ryan Getzlaf, Ana C</t>
  </si>
  <si>
    <t>Drew Doughty, LA D</t>
  </si>
  <si>
    <t>Kris Letang, Pit D</t>
  </si>
  <si>
    <t>Roman Josi, Nsh D</t>
  </si>
  <si>
    <t>Max Pacioretty, Mon LW</t>
  </si>
  <si>
    <t>Mark Giordano, Cgy D</t>
  </si>
  <si>
    <t>Daniel Sedin, Van LW</t>
  </si>
  <si>
    <t>Jonathan Toews, Chi C</t>
  </si>
  <si>
    <t>Shea Weber, Mon D</t>
  </si>
  <si>
    <r>
      <t>Brad Marchand</t>
    </r>
    <r>
      <rPr>
        <sz val="8"/>
        <color rgb="FF000000"/>
        <rFont val="Verdana"/>
        <family val="2"/>
      </rPr>
      <t>, Bos LW</t>
    </r>
  </si>
  <si>
    <t>Filip Forsberg, Nsh C</t>
  </si>
  <si>
    <t>John Klingberg, Dal D</t>
  </si>
  <si>
    <t>James Neal, Nsh LW</t>
  </si>
  <si>
    <t>Jakub Voracek, Phi RW</t>
  </si>
  <si>
    <t>Jack Eichel, Buf C</t>
  </si>
  <si>
    <t>Ryan Kesler, Ana C</t>
  </si>
  <si>
    <t>Jonathan Huberdeau, Fla LW</t>
  </si>
  <si>
    <t>Jeff Carter*, LA RW  O</t>
  </si>
  <si>
    <t>T.J. Oshie, Wsh RW</t>
  </si>
  <si>
    <t>Shayne Gostisbehere, Phi D</t>
  </si>
  <si>
    <t>David Backes, Bos C</t>
  </si>
  <si>
    <t>Max Domi, Ari C</t>
  </si>
  <si>
    <t>Mark Stone, Ott RW</t>
  </si>
  <si>
    <t>Taylor Hall, NJ LW</t>
  </si>
  <si>
    <t>Chris Kreider, NYR LW</t>
  </si>
  <si>
    <r>
      <t>Sean Monahan</t>
    </r>
    <r>
      <rPr>
        <sz val="8"/>
        <color rgb="FF000000"/>
        <rFont val="Verdana"/>
        <family val="2"/>
      </rPr>
      <t>*, Cgy C  </t>
    </r>
    <r>
      <rPr>
        <b/>
        <sz val="8"/>
        <color rgb="FFFF0000"/>
        <rFont val="Verdana"/>
        <family val="2"/>
      </rPr>
      <t>O</t>
    </r>
  </si>
  <si>
    <t>Kyle Palmieri, NJ RW</t>
  </si>
  <si>
    <r>
      <t>Alexander Steen</t>
    </r>
    <r>
      <rPr>
        <sz val="8"/>
        <color rgb="FF000000"/>
        <rFont val="Verdana"/>
        <family val="2"/>
      </rPr>
      <t>*, StL LW  </t>
    </r>
    <r>
      <rPr>
        <b/>
        <sz val="8"/>
        <color rgb="FFFF0000"/>
        <rFont val="Verdana"/>
        <family val="2"/>
      </rPr>
      <t>O</t>
    </r>
  </si>
  <si>
    <t>Patric Hornqvist, Pit RW</t>
  </si>
  <si>
    <t>Mark Scheifele, Wpg C</t>
  </si>
  <si>
    <t>Henrik Zetterberg*, Det C  O</t>
  </si>
  <si>
    <r>
      <t>Duncan Keith</t>
    </r>
    <r>
      <rPr>
        <sz val="8"/>
        <color rgb="FF000000"/>
        <rFont val="Verdana"/>
        <family val="2"/>
      </rPr>
      <t>*, Chi D  </t>
    </r>
    <r>
      <rPr>
        <b/>
        <sz val="8"/>
        <color rgb="FFFF0000"/>
        <rFont val="Verdana"/>
        <family val="2"/>
      </rPr>
      <t>O</t>
    </r>
  </si>
  <si>
    <t>Milan Lucic, Edm LW</t>
  </si>
  <si>
    <t>Dylan Larkin, Det C</t>
  </si>
  <si>
    <t>Patrick Sharp, Dal LW</t>
  </si>
  <si>
    <t>Zach Parise, Min LW</t>
  </si>
  <si>
    <t>Mike Hoffman, Ott LW</t>
  </si>
  <si>
    <t>Kevin Shattenkirk, StL D</t>
  </si>
  <si>
    <t>Bobby Ryan, Ott RW</t>
  </si>
  <si>
    <t>Adam Henrique, NJ C</t>
  </si>
  <si>
    <t>Logan Couture, SJ C</t>
  </si>
  <si>
    <t>Ryan Johansen, Nsh C</t>
  </si>
  <si>
    <t>Gabriel Landeskog, Col LW</t>
  </si>
  <si>
    <t>Andrei Markov, Mon D</t>
  </si>
  <si>
    <t>Auston Matthews, Tor C</t>
  </si>
  <si>
    <t>Ryan Suter, Min D</t>
  </si>
  <si>
    <t>Tomas Plekanec, Mon C</t>
  </si>
  <si>
    <t>Jason Spezza, Dal C</t>
  </si>
  <si>
    <t>Henrik Sedin, Van C</t>
  </si>
  <si>
    <t>Torey Krug*, Bos D  O</t>
  </si>
  <si>
    <r>
      <t>Tyler Johnson</t>
    </r>
    <r>
      <rPr>
        <sz val="8"/>
        <color rgb="FF000000"/>
        <rFont val="Verdana"/>
        <family val="2"/>
      </rPr>
      <t>, TB C</t>
    </r>
  </si>
  <si>
    <t>Aleksander Barkov, Fla C</t>
  </si>
  <si>
    <t>Nathan MacKinnon, Col C</t>
  </si>
  <si>
    <t>Derek Stepan, NYR C</t>
  </si>
  <si>
    <t>Victor Hedman, TB D</t>
  </si>
  <si>
    <t>Mats Zuccarello, NYR RW</t>
  </si>
  <si>
    <t>Loui Eriksson, Van LW</t>
  </si>
  <si>
    <t>Kyle Okposo, Buf RW</t>
  </si>
  <si>
    <t>Derick Brassard, Ott C</t>
  </si>
  <si>
    <t>James van Riemsdyk, Tor LW</t>
  </si>
  <si>
    <t>Andrew Ladd, NYI LW</t>
  </si>
  <si>
    <t>Scott Hartnell, Cls LW</t>
  </si>
  <si>
    <t>Jake Muzzin, LA D</t>
  </si>
  <si>
    <t>Aaron Ekblad, Fla D</t>
  </si>
  <si>
    <t>Mikko Koivu, Min C</t>
  </si>
  <si>
    <t>Eric Staal, Min C</t>
  </si>
  <si>
    <t>Justin Abdelkader, Det LW</t>
  </si>
  <si>
    <t>Sami Vatanen, Ana D</t>
  </si>
  <si>
    <t>Craig Smith, Nsh RW</t>
  </si>
  <si>
    <t>Justin Williams, Wsh RW</t>
  </si>
  <si>
    <t>John Carlson, Wsh D</t>
  </si>
  <si>
    <t>Anthony Duclair, Ari LW</t>
  </si>
  <si>
    <t>Keith Yandle, Fla D</t>
  </si>
  <si>
    <t>Alex Pietrangelo, StL D</t>
  </si>
  <si>
    <t>Brayden Schenn, Phi C  DTD</t>
  </si>
  <si>
    <t>Nick Foligno, Cls LW</t>
  </si>
  <si>
    <t>Marian Hossa, Chi RW</t>
  </si>
  <si>
    <t>David Krejci*, Bos C  O</t>
  </si>
  <si>
    <t>Rick Nash, NYR LW</t>
  </si>
  <si>
    <t>P.A. Parenteau, NYI RW</t>
  </si>
  <si>
    <r>
      <t>Matt Duchene</t>
    </r>
    <r>
      <rPr>
        <sz val="8"/>
        <color rgb="FF000000"/>
        <rFont val="Verdana"/>
        <family val="2"/>
      </rPr>
      <t>, Col C</t>
    </r>
  </si>
  <si>
    <t>Tyson Barrie, Col D</t>
  </si>
  <si>
    <t>Colton Parayko, StL D</t>
  </si>
  <si>
    <t>Brendan Gallagher, Mon RW</t>
  </si>
  <si>
    <t>Jeff Skinner, Car LW</t>
  </si>
  <si>
    <t>Jaromir Jagr, Fla RW</t>
  </si>
  <si>
    <t>Brandon Saad, Cls LW</t>
  </si>
  <si>
    <t>Tomas Tatar, Det LW</t>
  </si>
  <si>
    <t>Tomas Hertl*, SJ LW  O</t>
  </si>
  <si>
    <t>Zdeno Chara, Bos D</t>
  </si>
  <si>
    <t>Brent Seabrook, Chi D</t>
  </si>
  <si>
    <t>Shane Doan, Ari RW</t>
  </si>
  <si>
    <t>Jussi Jokinen, Fla LW</t>
  </si>
  <si>
    <t>Brandon Dubinsky, Cls C</t>
  </si>
  <si>
    <t>Alexander Radulov, Mon RW</t>
  </si>
  <si>
    <t>Michael Cammalleri, NJ LW</t>
  </si>
  <si>
    <t>Ondrej Palat, TB LW</t>
  </si>
  <si>
    <r>
      <t>Ryan O'Reilly</t>
    </r>
    <r>
      <rPr>
        <sz val="8"/>
        <color rgb="FF000000"/>
        <rFont val="Verdana"/>
        <family val="2"/>
      </rPr>
      <t>, Buf RW</t>
    </r>
  </si>
  <si>
    <t>Jordan Eberle, Edm RW</t>
  </si>
  <si>
    <t>Jonathan Drouin, TB LW</t>
  </si>
  <si>
    <r>
      <t>Rickard Rakell</t>
    </r>
    <r>
      <rPr>
        <sz val="8"/>
        <color rgb="FF000000"/>
        <rFont val="Verdana"/>
        <family val="2"/>
      </rPr>
      <t>*, Ana C  </t>
    </r>
    <r>
      <rPr>
        <b/>
        <sz val="8"/>
        <color rgb="FFFF0000"/>
        <rFont val="Verdana"/>
        <family val="2"/>
      </rPr>
      <t>O</t>
    </r>
  </si>
  <si>
    <t>Hampus Lindholm, Ana D</t>
  </si>
  <si>
    <t>Anton Stralman, TB D</t>
  </si>
  <si>
    <r>
      <t>Rasmus Ristolainen</t>
    </r>
    <r>
      <rPr>
        <sz val="8"/>
        <color rgb="FF000000"/>
        <rFont val="Verdana"/>
        <family val="2"/>
      </rPr>
      <t>, Buf D</t>
    </r>
  </si>
  <si>
    <t>Kyle Turris*, Ott C  O</t>
  </si>
  <si>
    <t>Marc-Edouard Vlasic, SJ D</t>
  </si>
  <si>
    <t>Patrick Marleau, SJ LW</t>
  </si>
  <si>
    <t>Ryan McDonagh, NYR D</t>
  </si>
  <si>
    <t>Nikolaj Ehlers, Wpg LW</t>
  </si>
  <si>
    <t>Justin Faulk, Car D</t>
  </si>
  <si>
    <t>Jordan Staal, Car C</t>
  </si>
  <si>
    <t>Dougie Hamilton, Cgy D</t>
  </si>
  <si>
    <t>Jaden Schwartz, StL LW</t>
  </si>
  <si>
    <t>Mikkel Boedker, SJ LW</t>
  </si>
  <si>
    <t>Mikael Backlund, Cgy C</t>
  </si>
  <si>
    <t>Boone Jenner, Cls RW</t>
  </si>
  <si>
    <t>Leon Draisaitl, Edm C</t>
  </si>
  <si>
    <t>Paul Stastny, StL C</t>
  </si>
  <si>
    <t>Bryan Little*, Wpg C  O</t>
  </si>
  <si>
    <t>Carl Soderberg, Col C</t>
  </si>
  <si>
    <t>Gustav Nyquist, Det RW</t>
  </si>
  <si>
    <t>Jakob Silfverberg, Ana RW</t>
  </si>
  <si>
    <t>Carl Hagelin, Pit LW</t>
  </si>
  <si>
    <t>Mike Ribeiro, Nsh C</t>
  </si>
  <si>
    <t>Reilly Smith, Fla RW</t>
  </si>
  <si>
    <t>Jason Pominville, Min RW</t>
  </si>
  <si>
    <t>Frans Nielsen, Det C</t>
  </si>
  <si>
    <t>Alex Galchenyuk, Mon LW</t>
  </si>
  <si>
    <t>T.J. Brodie, Cgy D</t>
  </si>
  <si>
    <t>Robby Fabbri, StL C</t>
  </si>
  <si>
    <t>Seth Jones, Cls D</t>
  </si>
  <si>
    <t>Mike Green, Det D</t>
  </si>
  <si>
    <t>Vincent Trocheck, Fla C</t>
  </si>
  <si>
    <t>Victor Rask, Car C</t>
  </si>
  <si>
    <t>Mattias Ekholm, Nsh D</t>
  </si>
  <si>
    <t>Sam Bennett, Cgy C</t>
  </si>
  <si>
    <t>Jori Lehtera, StL C</t>
  </si>
  <si>
    <t>Cam Atkinson, Cls RW</t>
  </si>
  <si>
    <t>Jiri Hudler, Fla RW</t>
  </si>
  <si>
    <t>Nazem Kadri, Tor C</t>
  </si>
  <si>
    <t>Ryan Nugent-Hopkins, Edm C</t>
  </si>
  <si>
    <t>Mika Zibanejad, NYR RW</t>
  </si>
  <si>
    <t>Ryan Spooner, Bos C</t>
  </si>
  <si>
    <t>Evander Kane, Buf LW</t>
  </si>
  <si>
    <t>Patrik Laine, Wpg RW</t>
  </si>
  <si>
    <t>William Nylander, Tor RW</t>
  </si>
  <si>
    <t>Dion Phaneuf*, Ott D  O</t>
  </si>
  <si>
    <t>Sean Couturier, Phi C</t>
  </si>
  <si>
    <t>Dylan Strome, Ari C</t>
  </si>
  <si>
    <t>Matt Niskanen, Wsh D</t>
  </si>
  <si>
    <t>Alex Goligoski, Ari D</t>
  </si>
  <si>
    <t>Mark Streit, Phi D</t>
  </si>
  <si>
    <t>Martin Hanzal, Ari C</t>
  </si>
  <si>
    <t>David Pastrnak, Bos LW</t>
  </si>
  <si>
    <t>Brian Campbell, Chi D</t>
  </si>
  <si>
    <t>Anders Lee, NYI C</t>
  </si>
  <si>
    <t>Jarome Iginla, Col RW</t>
  </si>
  <si>
    <t>Johnny Boychuk, NYI D</t>
  </si>
  <si>
    <t>Ryan Ellis, Nsh D</t>
  </si>
  <si>
    <t>Frank Vatrano, Bos C</t>
  </si>
  <si>
    <t>Tom Wilson, Wsh RW</t>
  </si>
  <si>
    <t>Thomas Vanek*, Det LW  O</t>
  </si>
  <si>
    <t>Nino Niederreiter, Min RW</t>
  </si>
  <si>
    <t>Leo Komarov, Tor LW</t>
  </si>
  <si>
    <t>Nick Leddy, NYI D</t>
  </si>
  <si>
    <t>Alex Killorn, TB LW</t>
  </si>
  <si>
    <t>J.T. Miller, NYR C</t>
  </si>
  <si>
    <t>Sam Reinhart, Buf C</t>
  </si>
  <si>
    <t>Marcus Johansson, Wsh LW</t>
  </si>
  <si>
    <t>Andrew Shaw, Mon C</t>
  </si>
  <si>
    <t>Alex Ovechkin</t>
  </si>
  <si>
    <t>Oliver Ekman-Larsson</t>
  </si>
  <si>
    <t>Kris Letang</t>
  </si>
  <si>
    <t>Shayne Gostisbehere</t>
  </si>
  <si>
    <t>David Backes</t>
  </si>
  <si>
    <t>Andrei Markov</t>
  </si>
  <si>
    <t>Jake Muzzin</t>
  </si>
  <si>
    <t>Justin Abdelkader</t>
  </si>
  <si>
    <t>Sami Vatanen</t>
  </si>
  <si>
    <t>Craig Smith</t>
  </si>
  <si>
    <t>Keith Yandle</t>
  </si>
  <si>
    <t>Marian Hossa</t>
  </si>
  <si>
    <t>P.A. Parenteau</t>
  </si>
  <si>
    <t>Colton Parayko</t>
  </si>
  <si>
    <t>Zdeno Chara</t>
  </si>
  <si>
    <t>Brent Seabrook</t>
  </si>
  <si>
    <t>Shane Doan</t>
  </si>
  <si>
    <t>Hampus Lindholm</t>
  </si>
  <si>
    <t>Anton Stralman</t>
  </si>
  <si>
    <t>Marc-Edouard Vlasic</t>
  </si>
  <si>
    <t>Ryan McDonagh</t>
  </si>
  <si>
    <t>Dougie Hamilton</t>
  </si>
  <si>
    <t>Carl Hagelin</t>
  </si>
  <si>
    <t>T.J. Brodie</t>
  </si>
  <si>
    <t>Seth Jones</t>
  </si>
  <si>
    <t>Mike Green</t>
  </si>
  <si>
    <t>Mattias Ekholm</t>
  </si>
  <si>
    <t>Jori Lehtera</t>
  </si>
  <si>
    <t>Ryan Nugent-Hopkins</t>
  </si>
  <si>
    <t>William Nylander</t>
  </si>
  <si>
    <t>Matt Niskanen</t>
  </si>
  <si>
    <t>Alex Goligoski</t>
  </si>
  <si>
    <t>Mark Streit</t>
  </si>
  <si>
    <t>Brian Campbell</t>
  </si>
  <si>
    <t>Anders Lee</t>
  </si>
  <si>
    <t>Johnny Boychuk</t>
  </si>
  <si>
    <t>Ryan Ellis</t>
  </si>
  <si>
    <t>Frank Vatrano</t>
  </si>
  <si>
    <t>Tom Wilson</t>
  </si>
  <si>
    <t>Leo Komarov</t>
  </si>
  <si>
    <t>Nick Leddy</t>
  </si>
  <si>
    <t>Alex Killorn</t>
  </si>
  <si>
    <t>Andrew Shaw</t>
  </si>
  <si>
    <t>Torey Krug</t>
  </si>
  <si>
    <t>Dion Phaneuf</t>
  </si>
  <si>
    <t>van Riemsdyk</t>
  </si>
  <si>
    <t>Prenom</t>
  </si>
  <si>
    <t>Nom</t>
  </si>
  <si>
    <t>Moyenne</t>
  </si>
  <si>
    <t>ESPN</t>
  </si>
  <si>
    <t>Écart-type</t>
  </si>
  <si>
    <t>Moy - HM</t>
  </si>
  <si>
    <t>Moy. Sans HM</t>
  </si>
  <si>
    <t>Evgeni Malkin, PIT</t>
  </si>
  <si>
    <t>Sidney Crosby, PIT</t>
  </si>
  <si>
    <t>Tyler Seguin, DAL</t>
  </si>
  <si>
    <t>Steven Stamkos, TB</t>
  </si>
  <si>
    <t>Patrice Bergeron, BOS</t>
  </si>
  <si>
    <t>Joe Pavelski, SJ</t>
  </si>
  <si>
    <t>Jason Spezza, DAL</t>
  </si>
  <si>
    <t>John Tavares, NYI</t>
  </si>
  <si>
    <t>Nicklas Backstrom, WAS</t>
  </si>
  <si>
    <t>Ryan Getzlaf, ANA</t>
  </si>
  <si>
    <t>Anze Kopitar, LA</t>
  </si>
  <si>
    <t>Claude Giroux, PHI</t>
  </si>
  <si>
    <t>Jonathan Toews, CHI</t>
  </si>
  <si>
    <t>Jeff Carter, LA</t>
  </si>
  <si>
    <t>David Krejci, BOS</t>
  </si>
  <si>
    <t>Evgeny Kuznetsov, WAS</t>
  </si>
  <si>
    <t>Joe Thornton, SJ</t>
  </si>
  <si>
    <t>Logan Couture, SJ</t>
  </si>
  <si>
    <t>Ryan Johansen, NSH</t>
  </si>
  <si>
    <t>Mark Scheifele, WPG</t>
  </si>
  <si>
    <t>Ryan Kesler, ANA</t>
  </si>
  <si>
    <t>Tyler Johnson, TB</t>
  </si>
  <si>
    <t>Derick Brassard, OTT</t>
  </si>
  <si>
    <t>Derek Stepan, NYR</t>
  </si>
  <si>
    <t>Connor McDavid, EDM</t>
  </si>
  <si>
    <t>Brayden Schenn, PHI</t>
  </si>
  <si>
    <t>Alex Galchenyuk, MON</t>
  </si>
  <si>
    <t>Antoine Vermette, ANA</t>
  </si>
  <si>
    <t>Matt Duchene, COL</t>
  </si>
  <si>
    <t>Sean Monahan, CGY</t>
  </si>
  <si>
    <t>Mika Zibanejad, NYR</t>
  </si>
  <si>
    <t>Aleksander Barkov, FLA</t>
  </si>
  <si>
    <t>Tomas Plekanec, MON</t>
  </si>
  <si>
    <t>Nathan MacKinnon, COL</t>
  </si>
  <si>
    <t>Rickard Rakell, ANA</t>
  </si>
  <si>
    <t>Nazem Kadri, TOR</t>
  </si>
  <si>
    <t>Henrik Sedin, VAN</t>
  </si>
  <si>
    <t>Bryan Little, WPG</t>
  </si>
  <si>
    <t>Paul Stastny, STL</t>
  </si>
  <si>
    <t>Ryan Spooner, BOS</t>
  </si>
  <si>
    <t>Nick Bonino, PIT</t>
  </si>
  <si>
    <t>Artem Anisimov, CHI</t>
  </si>
  <si>
    <t>Vincent Trocheck, FLA</t>
  </si>
  <si>
    <t>Dylan Larkin, DET</t>
  </si>
  <si>
    <t>Adam Henrique, NJ</t>
  </si>
  <si>
    <t>Mike Ribeiro, NSH</t>
  </si>
  <si>
    <t>Zack Smith, OTT</t>
  </si>
  <si>
    <t>Robby Fabbri, STL</t>
  </si>
  <si>
    <t>J.T. Miller, NYR</t>
  </si>
  <si>
    <t>Mathieu Perreault, WPG</t>
  </si>
  <si>
    <t>Sean Couturier, PHI</t>
  </si>
  <si>
    <t>Brandon Dubinsky, CLB</t>
  </si>
  <si>
    <t>Brandon Pirri, NYR</t>
  </si>
  <si>
    <t>Jean-Gabriel Pageau, OTT</t>
  </si>
  <si>
    <t>Mikko Koivu, MIN</t>
  </si>
  <si>
    <t>Frans Nielsen, DET</t>
  </si>
  <si>
    <t>Ryan O'Reilly, BUF</t>
  </si>
  <si>
    <t>Max Domi, ARI</t>
  </si>
  <si>
    <t>Mikael Backlund, CGY</t>
  </si>
  <si>
    <t>Victor Rask, CAR</t>
  </si>
  <si>
    <t>William Nylander, TOR</t>
  </si>
  <si>
    <t>Martin Hanzal, ARI</t>
  </si>
  <si>
    <t>Kyle Turris, OTT</t>
  </si>
  <si>
    <t>Cody Eakin, DAL</t>
  </si>
  <si>
    <t>Riley Nash, BOS</t>
  </si>
  <si>
    <t>Lars Eller, WAS</t>
  </si>
  <si>
    <t>Carl Soderberg, COL</t>
  </si>
  <si>
    <t>Leon Draisaitl, EDM</t>
  </si>
  <si>
    <t>Seth Griffith, BOS</t>
  </si>
  <si>
    <t>Tyler Bozak, TOR</t>
  </si>
  <si>
    <t>Brock Nelson, NYI</t>
  </si>
  <si>
    <t>Jack Eichel, BUF</t>
  </si>
  <si>
    <t>Nick Bjugstad, FLA</t>
  </si>
  <si>
    <t>Travis Zajac, NJ</t>
  </si>
  <si>
    <t>Jordan Staal, CAR</t>
  </si>
  <si>
    <t>Matt Cullen, PIT</t>
  </si>
  <si>
    <t>Valtteri Filppula, TB</t>
  </si>
  <si>
    <t>Mattias Janmark, DAL</t>
  </si>
  <si>
    <t>Vladislav Namestnikov, TB</t>
  </si>
  <si>
    <t>Joe Colborne, COL</t>
  </si>
  <si>
    <t>Ryan Nugent-Hopkins, EDM</t>
  </si>
  <si>
    <t>Bo Horvat, VAN</t>
  </si>
  <si>
    <t>Frank Vatrano, BOS</t>
  </si>
  <si>
    <t>Tyler Ennis, BUF</t>
  </si>
  <si>
    <t>Alexander Wennberg, CLB</t>
  </si>
  <si>
    <t>Brian Boyle, TB</t>
  </si>
  <si>
    <t>Jori Lehtera, STL</t>
  </si>
  <si>
    <t>Radek Faksa, DAL</t>
  </si>
  <si>
    <t>Patrik Berglund, STL</t>
  </si>
  <si>
    <t>Mike Fisher, NSH</t>
  </si>
  <si>
    <t>Linden Vey, CGY</t>
  </si>
  <si>
    <t>Eric Staal, MIN</t>
  </si>
  <si>
    <t>David Desharnais, MON</t>
  </si>
  <si>
    <t>Jay Beagle, WAS</t>
  </si>
  <si>
    <t>Calle Jarnkrok, NSH</t>
  </si>
  <si>
    <t>Chris Wagner, ANA</t>
  </si>
  <si>
    <t>Mikael Granlund, MIN</t>
  </si>
  <si>
    <t>Darren Helm, DET</t>
  </si>
  <si>
    <t>Charlie Coyle, MIN</t>
  </si>
  <si>
    <t>Brandon Sutter, VAN</t>
  </si>
  <si>
    <t>Chris Kelly, OTT</t>
  </si>
  <si>
    <t>Melker Karlsson, SJ</t>
  </si>
  <si>
    <t>Paul Byron, MON</t>
  </si>
  <si>
    <t>Pavel Zacha, NJ</t>
  </si>
  <si>
    <t>Sam Reinhart, BUF</t>
  </si>
  <si>
    <t>Jared McCann, FLA</t>
  </si>
  <si>
    <t>Shawn Matthias, WPG</t>
  </si>
  <si>
    <t>Auston Matthews, TOR</t>
  </si>
  <si>
    <t>Mitchell Marner, TOR</t>
  </si>
  <si>
    <t>Joseph Blandisi, NJ</t>
  </si>
  <si>
    <t>Erik Haula, MIN</t>
  </si>
  <si>
    <t>Jonathan Marchessault, FLA</t>
  </si>
  <si>
    <t>Tyler Graovac, MIN</t>
  </si>
  <si>
    <t>Dylan Strome, ARI</t>
  </si>
  <si>
    <t>Trevor Lewis, LA</t>
  </si>
  <si>
    <t>John Mitchell, COL</t>
  </si>
  <si>
    <t>Riley Sheahan, DET</t>
  </si>
  <si>
    <t>Scott Laughton, PHI</t>
  </si>
  <si>
    <t>Chris Tierney, SJ</t>
  </si>
  <si>
    <t>Mikhail Grigorenko, COL</t>
  </si>
  <si>
    <t>Brad Richardson, ARI</t>
  </si>
  <si>
    <t>Dennis Rasmussen, CHI</t>
  </si>
  <si>
    <t>Cedric Paquette, TB</t>
  </si>
  <si>
    <t>Andrew Desjardins, CHI</t>
  </si>
  <si>
    <t>Colton Sissons, NSH</t>
  </si>
  <si>
    <t>Sam Gagner, CLB</t>
  </si>
  <si>
    <t>Luke Glendening, DET</t>
  </si>
  <si>
    <t>Andy Andreoff, LA</t>
  </si>
  <si>
    <t>Marcus Kruger, CHI</t>
  </si>
  <si>
    <t>Joakim Nordstrom, CAR</t>
  </si>
  <si>
    <t>Phillip Danault, MON</t>
  </si>
  <si>
    <t>Laurent Dauphin, ARI</t>
  </si>
  <si>
    <t>Mark Letestu, EDM</t>
  </si>
  <si>
    <t>Stephen Gionta, NYI</t>
  </si>
  <si>
    <t>Nick Shore, LA</t>
  </si>
  <si>
    <t>Brian Flynn, MON</t>
  </si>
  <si>
    <t>Marko Dano, WPG</t>
  </si>
  <si>
    <t>Kyle Brodziak, STL</t>
  </si>
  <si>
    <t>Jacob Josefson, NJ</t>
  </si>
  <si>
    <t>Teuvo Teravainen, CAR</t>
  </si>
  <si>
    <t>Chris VandeVelde, PHI</t>
  </si>
  <si>
    <t>William Karlsson, CLB</t>
  </si>
  <si>
    <t>Sergey Kalinin, NJ</t>
  </si>
  <si>
    <t>Markus Granlund, VAN</t>
  </si>
  <si>
    <t>Derek MacKenzie, FLA</t>
  </si>
  <si>
    <t>Ryan Carter, MIN</t>
  </si>
  <si>
    <t>Steve Ott, DET</t>
  </si>
  <si>
    <t>Boyd Gordon, PHI</t>
  </si>
  <si>
    <t>Zemgus Girgensons, BUF</t>
  </si>
  <si>
    <t>Dave Bolland, ARI</t>
  </si>
  <si>
    <t>Jay McClement, CAR</t>
  </si>
  <si>
    <t>Brooks Laich, TOR</t>
  </si>
  <si>
    <t>Patrick Kane, CHI</t>
  </si>
  <si>
    <t>Nikita Kucherov, TB</t>
  </si>
  <si>
    <t>Phil Kessel, PIT</t>
  </si>
  <si>
    <t>Vladimir Tarasenko, STL</t>
  </si>
  <si>
    <t>Corey Perry, ANA</t>
  </si>
  <si>
    <t>James Neal, NSH</t>
  </si>
  <si>
    <t>Wayne Simmonds, PHI</t>
  </si>
  <si>
    <t>Blake Wheeler, WPG</t>
  </si>
  <si>
    <t>Patric Hornqvist, PIT</t>
  </si>
  <si>
    <t>Mark Stone, OTT</t>
  </si>
  <si>
    <t>Jakub Voracek, PHI</t>
  </si>
  <si>
    <t>Brendan Gallagher, MON</t>
  </si>
  <si>
    <t>T.J. Oshie, WAS</t>
  </si>
  <si>
    <t>Mats Zuccarello, NYR</t>
  </si>
  <si>
    <t>Marian Hossa, CHI</t>
  </si>
  <si>
    <t>Tyler Toffoli, LA</t>
  </si>
  <si>
    <t>P.A. Parenteau, NYI</t>
  </si>
  <si>
    <t>Jiri Hudler, DAL</t>
  </si>
  <si>
    <t>Justin Williams, WAS</t>
  </si>
  <si>
    <t>David Backes, BOS</t>
  </si>
  <si>
    <t>Kyle Palmieri, NJ</t>
  </si>
  <si>
    <t>Bobby Ryan, OTT</t>
  </si>
  <si>
    <t>Nick Schmaltz, CHI</t>
  </si>
  <si>
    <t>Shane Doan, ARI</t>
  </si>
  <si>
    <t>Jakob Silfverberg, ANA</t>
  </si>
  <si>
    <t>Jaromir Jagr, FLA</t>
  </si>
  <si>
    <t>Teddy Purcell, LA</t>
  </si>
  <si>
    <t>Ryan Hartman, CHI</t>
  </si>
  <si>
    <t>David Pastrnak, BOS</t>
  </si>
  <si>
    <t>Jordan Eberle, EDM</t>
  </si>
  <si>
    <t>Cam Atkinson, CLB</t>
  </si>
  <si>
    <t>Joel Ward, SJ</t>
  </si>
  <si>
    <t>Ales Hemsky, DAL</t>
  </si>
  <si>
    <t>Reilly Smith, FLA</t>
  </si>
  <si>
    <t>Jarome Iginla, COL</t>
  </si>
  <si>
    <t>Loui Eriksson, VAN</t>
  </si>
  <si>
    <t>Andrew Shaw, MON</t>
  </si>
  <si>
    <t>Craig Smith, NSH</t>
  </si>
  <si>
    <t>Jannik Hansen, VAN</t>
  </si>
  <si>
    <t>Lee Stempniak, CAR</t>
  </si>
  <si>
    <t>Gustav Nyquist, DET</t>
  </si>
  <si>
    <t>Alexander Radulov, MON</t>
  </si>
  <si>
    <t>Kyle Okposo, BUF</t>
  </si>
  <si>
    <t>Kevin Hayes, NYR</t>
  </si>
  <si>
    <t>Marian Gaborik, LA</t>
  </si>
  <si>
    <t>Bryan Rust, PIT</t>
  </si>
  <si>
    <t>Jimmy Hayes, BOS</t>
  </si>
  <si>
    <t>Drew Stafford, WPG</t>
  </si>
  <si>
    <t>Joonas Donskoi, SJ</t>
  </si>
  <si>
    <t>Troy Brouwer, CGY</t>
  </si>
  <si>
    <t>Nino Niederreiter, MIN</t>
  </si>
  <si>
    <t>Jason Pominville, MIN</t>
  </si>
  <si>
    <t>Nikita Soshnikov, TOR</t>
  </si>
  <si>
    <t>Tom Wilson, WAS</t>
  </si>
  <si>
    <t>Radim Vrbata, ARI</t>
  </si>
  <si>
    <t>Jordin Tootoo, CHI</t>
  </si>
  <si>
    <t>J.T. Brown, TB</t>
  </si>
  <si>
    <t>Dustin Brown, LA</t>
  </si>
  <si>
    <t>Richard Panik, CHI</t>
  </si>
  <si>
    <t>Eric Fehr, PIT</t>
  </si>
  <si>
    <t>Tom Kuhnhackl, PIT</t>
  </si>
  <si>
    <t>Oliver Bjorkstrand, CLB</t>
  </si>
  <si>
    <t>Ryan Strome, NYI</t>
  </si>
  <si>
    <t>Elias Lindholm, CAR</t>
  </si>
  <si>
    <t>Dale Weise, PHI</t>
  </si>
  <si>
    <t>Michael Grabner, NYR</t>
  </si>
  <si>
    <t>Patrik Laine, WPG</t>
  </si>
  <si>
    <t>Torrey Mitchell, MON</t>
  </si>
  <si>
    <t>Tyler Randell, BOS</t>
  </si>
  <si>
    <t>Jesper Fast, NYR</t>
  </si>
  <si>
    <t>Jared Boll, ANA</t>
  </si>
  <si>
    <t>Matt Read, PHI</t>
  </si>
  <si>
    <t>Tommy Wingels, SJ</t>
  </si>
  <si>
    <t>Anthony Mantha, DET</t>
  </si>
  <si>
    <t>Derek Dorsett, VAN</t>
  </si>
  <si>
    <t>Alex Burrows, VAN</t>
  </si>
  <si>
    <t>Cal Clutterbuck, NYI</t>
  </si>
  <si>
    <t>Chris Stewart, MIN</t>
  </si>
  <si>
    <t>Chris Neil, OTT</t>
  </si>
  <si>
    <t>Curtis Lazar, OTT</t>
  </si>
  <si>
    <t>Jake Virtanen, VAN</t>
  </si>
  <si>
    <t>Nikolay Kulemin, NYI</t>
  </si>
  <si>
    <t>Nail Yakupov, EDM</t>
  </si>
  <si>
    <t>Jesse Puljujarvi, EDM</t>
  </si>
  <si>
    <t>Erik Condra, TB</t>
  </si>
  <si>
    <t>Ryan Garbutt, ANA</t>
  </si>
  <si>
    <t>Dmitrij Jaskin, STL</t>
  </si>
  <si>
    <t>Miikka Salomaki, NSH</t>
  </si>
  <si>
    <t>Zack Kassian, EDM</t>
  </si>
  <si>
    <t>Colton Sceviour, FLA</t>
  </si>
  <si>
    <t>Brian Gionta, BUF</t>
  </si>
  <si>
    <t>Emerson Etem, VAN</t>
  </si>
  <si>
    <t>Mikko Rantanen, COL</t>
  </si>
  <si>
    <t>Stanislav Galiev, WAS</t>
  </si>
  <si>
    <t>Joel Armia, WPG</t>
  </si>
  <si>
    <t>David Clarkson, CLB</t>
  </si>
  <si>
    <t>Alex Chiasson, CGY</t>
  </si>
  <si>
    <t>Chris Thorburn, WPG</t>
  </si>
  <si>
    <t>Beau Bennett, NJ</t>
  </si>
  <si>
    <t>Jamie Benn, DAL</t>
  </si>
  <si>
    <t>Alex Ovechkin, WAS</t>
  </si>
  <si>
    <t>Artemi Panarin, CHI</t>
  </si>
  <si>
    <t>Brad Marchand, BOS</t>
  </si>
  <si>
    <t>Max Pacioretty, MON</t>
  </si>
  <si>
    <t>Johnny Gaudreau, CGY</t>
  </si>
  <si>
    <t>Filip Forsberg, NSH</t>
  </si>
  <si>
    <t>Patrick Sharp, DAL</t>
  </si>
  <si>
    <t>Mike Hoffman, OTT</t>
  </si>
  <si>
    <t>Daniel Sedin, VAN</t>
  </si>
  <si>
    <t>Alexander Steen, STL</t>
  </si>
  <si>
    <t>Mikkel Boedker, SJ</t>
  </si>
  <si>
    <t>Michael Cammalleri, NJ</t>
  </si>
  <si>
    <t>Jonathan Drouin, TB</t>
  </si>
  <si>
    <t>Rick Nash, NYR</t>
  </si>
  <si>
    <t>Taylor Hall, NJ</t>
  </si>
  <si>
    <t>Carl Hagelin, PIT</t>
  </si>
  <si>
    <t>Zach Parise, MIN</t>
  </si>
  <si>
    <t>Ondrej Palat, TB</t>
  </si>
  <si>
    <t>Chris Kunitz, PIT</t>
  </si>
  <si>
    <t>Gabriel Landeskog, COL</t>
  </si>
  <si>
    <t>Marcus Johansson, WAS</t>
  </si>
  <si>
    <t>Andrew Ladd, NYI</t>
  </si>
  <si>
    <t>Patrick Marleau, SJ</t>
  </si>
  <si>
    <t>Chris Kreider, NYR</t>
  </si>
  <si>
    <t>Alex Killorn, TB</t>
  </si>
  <si>
    <t>James van Riemsdyk, TOR</t>
  </si>
  <si>
    <t>Tomas Hertl, SJ</t>
  </si>
  <si>
    <t>Daniel Carr, MON</t>
  </si>
  <si>
    <t>Brandon Saad, CLB</t>
  </si>
  <si>
    <t>Jonathan Huberdeau, FLA</t>
  </si>
  <si>
    <t>Boone Jenner, CLB</t>
  </si>
  <si>
    <t>Jeff Skinner, CAR</t>
  </si>
  <si>
    <t>Henrik Zetterberg, DET</t>
  </si>
  <si>
    <t>Matt Beleskey, BOS</t>
  </si>
  <si>
    <t>Curtis McKenzie, DAL</t>
  </si>
  <si>
    <t>Scott Hartnell, CLB</t>
  </si>
  <si>
    <t>Justin Abdelkader, DET</t>
  </si>
  <si>
    <t>Jussi Jokinen, FLA</t>
  </si>
  <si>
    <t>Evander Kane, BUF</t>
  </si>
  <si>
    <t>Tomas Tatar, DET</t>
  </si>
  <si>
    <t>Benoit Pouliot, EDM</t>
  </si>
  <si>
    <t>Jimmy Vesey, NYR</t>
  </si>
  <si>
    <t>Jaden Schwartz, STL</t>
  </si>
  <si>
    <t>Leo Komarov, TOR</t>
  </si>
  <si>
    <t>Antoine Roussel, DAL</t>
  </si>
  <si>
    <t>David Perron, STL</t>
  </si>
  <si>
    <t>Michael Frolik, CGY</t>
  </si>
  <si>
    <t>Anders Lee, NYI</t>
  </si>
  <si>
    <t>Kevin Fiala, NSH</t>
  </si>
  <si>
    <t>Colin Wilson, NSH</t>
  </si>
  <si>
    <t>Andre Burakovsky, WAS</t>
  </si>
  <si>
    <t>Nikolaj Ehlers, WPG</t>
  </si>
  <si>
    <t>Tanner Pearson, LA</t>
  </si>
  <si>
    <t>Daniel Winnik, WAS</t>
  </si>
  <si>
    <t>Thomas Vanek, DET</t>
  </si>
  <si>
    <t>Sam Bennett, CGY</t>
  </si>
  <si>
    <t>Nick Foligno, CLB</t>
  </si>
  <si>
    <t>Andrew Cogliano, ANA</t>
  </si>
  <si>
    <t>Anthony Duclair, ARI</t>
  </si>
  <si>
    <t>Conor Sheary, PIT</t>
  </si>
  <si>
    <t>Blake Comeau, COL</t>
  </si>
  <si>
    <t>Matthew Tkachuk, CGY</t>
  </si>
  <si>
    <t>Clarke MacArthur, OTT</t>
  </si>
  <si>
    <t>Valeri Nichushkin, DAL</t>
  </si>
  <si>
    <t>Milan Lucic, EDM</t>
  </si>
  <si>
    <t>Reid Boucher, NJ</t>
  </si>
  <si>
    <t>Viktor Arvidsson, NSH</t>
  </si>
  <si>
    <t>Jason Chimera, NYI</t>
  </si>
  <si>
    <t>Michael Raffl, PHI</t>
  </si>
  <si>
    <t>Shane Prince, NYI</t>
  </si>
  <si>
    <t>Sven Baertschi, VAN</t>
  </si>
  <si>
    <t>Josh Bailey, NYI</t>
  </si>
  <si>
    <t>Joffrey Lupul, TOR</t>
  </si>
  <si>
    <t>Jamie McGinn, ARI</t>
  </si>
  <si>
    <t>Christian Dvorak, ARI</t>
  </si>
  <si>
    <t>Mason Raymond, ANA</t>
  </si>
  <si>
    <t>Matt Nieto, SJ</t>
  </si>
  <si>
    <t>Dwight King, LA</t>
  </si>
  <si>
    <t>Matt Calvert, CLB</t>
  </si>
  <si>
    <t>Jason Zucker, MIN</t>
  </si>
  <si>
    <t>Cody McLeod, COL</t>
  </si>
  <si>
    <t>Nick Ritchie, ANA</t>
  </si>
  <si>
    <t>Scottie Upshall, STL</t>
  </si>
  <si>
    <t>Milan Michalek, TOR</t>
  </si>
  <si>
    <t>Kyle Clifford, LA</t>
  </si>
  <si>
    <t>Brandon Bollig, CGY</t>
  </si>
  <si>
    <t>Patrick Maroon, EDM</t>
  </si>
  <si>
    <t>Phil Di Giuseppe, CAR</t>
  </si>
  <si>
    <t>Micheal Ferland, CGY</t>
  </si>
  <si>
    <t>Pierre-Edouard Bellemare, PHI</t>
  </si>
  <si>
    <t>Marcus Foligno, BUF</t>
  </si>
  <si>
    <t>Jordan Martinook, ARI</t>
  </si>
  <si>
    <t>Lance Bouma, CGY</t>
  </si>
  <si>
    <t>Matt Martin, TOR</t>
  </si>
  <si>
    <t>Adam Lowry, WPG</t>
  </si>
  <si>
    <t>Matt Hendricks, EDM</t>
  </si>
  <si>
    <t>Nick Paul, OTT</t>
  </si>
  <si>
    <t>Johan Larsson, BUF</t>
  </si>
  <si>
    <t>Viktor Stalberg, CAR</t>
  </si>
  <si>
    <t>Matt Moulson, BUF</t>
  </si>
  <si>
    <t>Shawn Thornton, FLA</t>
  </si>
  <si>
    <t>Nicolas Deslauriers, BUF</t>
  </si>
  <si>
    <t>Bryan Bickell, CAR</t>
  </si>
  <si>
    <t>Brent Burns, SJ</t>
  </si>
  <si>
    <t>Kris Letang, PIT</t>
  </si>
  <si>
    <t>Erik Karlsson, OTT</t>
  </si>
  <si>
    <t>P.K. Subban, NSH</t>
  </si>
  <si>
    <t>John Carlson, WAS</t>
  </si>
  <si>
    <t>Roman Josi, NSH</t>
  </si>
  <si>
    <t>Duncan Keith, CHI</t>
  </si>
  <si>
    <t>John Klingberg, DAL</t>
  </si>
  <si>
    <t>Dustin Byfuglien, WPG</t>
  </si>
  <si>
    <t>Victor Hedman, TB</t>
  </si>
  <si>
    <t>Shea Weber, MON</t>
  </si>
  <si>
    <t>Brent Seabrook, CHI</t>
  </si>
  <si>
    <t>Oliver Ekman-Larsson, ARI</t>
  </si>
  <si>
    <t>Shayne Gostisbehere, PHI</t>
  </si>
  <si>
    <t>Drew Doughty, LA</t>
  </si>
  <si>
    <t>Mark Giordano, CGY</t>
  </si>
  <si>
    <t>Torey Krug, BOS</t>
  </si>
  <si>
    <t>Kevin Shattenkirk, STL</t>
  </si>
  <si>
    <t>Dion Phaneuf, OTT</t>
  </si>
  <si>
    <t>Marc-Edouard Vlasic, SJ</t>
  </si>
  <si>
    <t>Jake Muzzin, LA</t>
  </si>
  <si>
    <t>Zdeno Chara, BOS</t>
  </si>
  <si>
    <t>Tyson Barrie, COL</t>
  </si>
  <si>
    <t>Anton Stralman, TB</t>
  </si>
  <si>
    <t>Justin Faulk, CAR</t>
  </si>
  <si>
    <t>Andrei Markov, MON</t>
  </si>
  <si>
    <t>Ryan McDonagh, NYR</t>
  </si>
  <si>
    <t>Alex Pietrangelo, STL</t>
  </si>
  <si>
    <t>Mattias Ekholm, NSH</t>
  </si>
  <si>
    <t>Cam Fowler, ANA</t>
  </si>
  <si>
    <t>Dougie Hamilton, CGY</t>
  </si>
  <si>
    <t>Ryan Ellis, NSH</t>
  </si>
  <si>
    <t>Dan Hamhuis, DAL</t>
  </si>
  <si>
    <t>David Schlemko, SJ</t>
  </si>
  <si>
    <t>Trevor Daley, PIT</t>
  </si>
  <si>
    <t>Ryan Suter, MIN</t>
  </si>
  <si>
    <t>Hampus Lindholm, ANA</t>
  </si>
  <si>
    <t>Matt Niskanen, WAS</t>
  </si>
  <si>
    <t>Olli Maatta, PIT</t>
  </si>
  <si>
    <t>Mike Green, DET</t>
  </si>
  <si>
    <t>Colton Parayko, STL</t>
  </si>
  <si>
    <t>Brian Campbell, CHI</t>
  </si>
  <si>
    <t>Keith Yandle, FLA</t>
  </si>
  <si>
    <t>Alec Martinez, LA</t>
  </si>
  <si>
    <t>Nick Leddy, NYI</t>
  </si>
  <si>
    <t>T.J. Brodie, CGY</t>
  </si>
  <si>
    <t>John-Michael Liles, BOS</t>
  </si>
  <si>
    <t>Tyler Myers, WPG</t>
  </si>
  <si>
    <t>Mark Streit, PHI</t>
  </si>
  <si>
    <t>Erik Johnson, COL</t>
  </si>
  <si>
    <t>Kevin Bieksa, ANA</t>
  </si>
  <si>
    <t>Johnny Boychuk, NYI</t>
  </si>
  <si>
    <t>Francois Beauchemin, COL</t>
  </si>
  <si>
    <t>Ryan Pulock, NYI</t>
  </si>
  <si>
    <t>Yannick Weber, NSH</t>
  </si>
  <si>
    <t>Kevin Klein, NYR</t>
  </si>
  <si>
    <t>Morgan Rielly, TOR</t>
  </si>
  <si>
    <t>Aaron Ekblad, FLA</t>
  </si>
  <si>
    <t>Michael Stone, ARI</t>
  </si>
  <si>
    <t>Niklas Hjalmarsson, CHI</t>
  </si>
  <si>
    <t>Cody Ceci, OTT</t>
  </si>
  <si>
    <t>Nick Holden, NYR</t>
  </si>
  <si>
    <t>David Warsofsky, PIT</t>
  </si>
  <si>
    <t>Derrick Pouliot, PIT</t>
  </si>
  <si>
    <t>Kevan Miller, BOS</t>
  </si>
  <si>
    <t>Brian Dumoulin, PIT</t>
  </si>
  <si>
    <t>Niklas Kronwall, DET</t>
  </si>
  <si>
    <t>Jake Gardiner, TOR</t>
  </si>
  <si>
    <t>David Savard, CLB</t>
  </si>
  <si>
    <t>Rasmus Ristolainen, BUF</t>
  </si>
  <si>
    <t>Justin Braun, SJ</t>
  </si>
  <si>
    <t>Brooks Orpik, WAS</t>
  </si>
  <si>
    <t>Jason Demers, FLA</t>
  </si>
  <si>
    <t>Johnny Oduya, DAL</t>
  </si>
  <si>
    <t>Jared Spurgeon, MIN</t>
  </si>
  <si>
    <t>Ian Cole, PIT</t>
  </si>
  <si>
    <t>Jason Garrison, TB</t>
  </si>
  <si>
    <t>Travis Hamonic, NYI</t>
  </si>
  <si>
    <t>Michal Rozsival, CHI</t>
  </si>
  <si>
    <t>Andrej Sustr, TB</t>
  </si>
  <si>
    <t>Jacob Trouba, WPG</t>
  </si>
  <si>
    <t>Radko Gudas, PHI</t>
  </si>
  <si>
    <t>Jay Bouwmeester, STL</t>
  </si>
  <si>
    <t>Chris Wideman, OTT</t>
  </si>
  <si>
    <t>Seth Jones, CLB</t>
  </si>
  <si>
    <t>Andrej Sekera, EDM</t>
  </si>
  <si>
    <t>Thomas Hickey, NYI</t>
  </si>
  <si>
    <t>Matt Dumba, MIN</t>
  </si>
  <si>
    <t>Trevor van Riemsdyk, CHI</t>
  </si>
  <si>
    <t>Zach Trotman, LA</t>
  </si>
  <si>
    <t>Jordie Benn, DAL</t>
  </si>
  <si>
    <t>Ben Hutton, VAN</t>
  </si>
  <si>
    <t>Brendan Smith, DET</t>
  </si>
  <si>
    <t>Adam McQuaid, BOS</t>
  </si>
  <si>
    <t>Marc Methot, OTT</t>
  </si>
  <si>
    <t>Brayden McNabb, LA</t>
  </si>
  <si>
    <t>Alex Petrovic, FLA</t>
  </si>
  <si>
    <t>Danny DeKeyser, DET</t>
  </si>
  <si>
    <t>Braydon Coburn, TB</t>
  </si>
  <si>
    <t>Dan Girardi, NYR</t>
  </si>
  <si>
    <t>Andrew MacDonald, PHI</t>
  </si>
  <si>
    <t>Paul Martin, SJ</t>
  </si>
  <si>
    <t>Brandon Manning, PHI</t>
  </si>
  <si>
    <t>Ryan Murray, CLB</t>
  </si>
  <si>
    <t>Alexei Emelin, MON</t>
  </si>
  <si>
    <t>Marc Staal, NYR</t>
  </si>
  <si>
    <t>Marco Scandella, MIN</t>
  </si>
  <si>
    <t>Brenden Dillon, SJ</t>
  </si>
  <si>
    <t>Deryk Engelland, CGY</t>
  </si>
  <si>
    <t>Joe Morrow, BOS</t>
  </si>
  <si>
    <t>Stephen Johns, DAL</t>
  </si>
  <si>
    <t>Calvin de Haan, NYI</t>
  </si>
  <si>
    <t>Alex Goligoski, ARI</t>
  </si>
  <si>
    <t>Anthony Bitetto, NSH</t>
  </si>
  <si>
    <t>Rob Scuderi, LA</t>
  </si>
  <si>
    <t>Jonathan Ericsson, DET</t>
  </si>
  <si>
    <t>Carl Gunnarsson, STL</t>
  </si>
  <si>
    <t>Toby Enstrom, WPG</t>
  </si>
  <si>
    <t>Dylan DeMelo, SJ</t>
  </si>
  <si>
    <t>Mark Pysyk, FLA</t>
  </si>
  <si>
    <t>Taylor Chorney, WAS</t>
  </si>
  <si>
    <t>Noah Hanifin, CAR</t>
  </si>
  <si>
    <t>Jakub Kindl, FLA</t>
  </si>
  <si>
    <t>John Moore, NJ</t>
  </si>
  <si>
    <t>Dalton Prout, CLB</t>
  </si>
  <si>
    <t>Frank Corrado, TOR</t>
  </si>
  <si>
    <t>Connor Murphy, ARI</t>
  </si>
  <si>
    <t>Adam Larsson, EDM</t>
  </si>
  <si>
    <t>Chris Tanev, VAN</t>
  </si>
  <si>
    <t>Simon Despres, ANA</t>
  </si>
  <si>
    <t>Ron Hainsey, CAR</t>
  </si>
  <si>
    <t>Jaccob Slavin, CAR</t>
  </si>
  <si>
    <t>Chris Bigras, COL</t>
  </si>
  <si>
    <t>Nick Schultz, PHI</t>
  </si>
  <si>
    <t>Matt Hunwick, TOR</t>
  </si>
  <si>
    <t>Alex Biega, VAN</t>
  </si>
  <si>
    <t>Brett Pesce, CAR</t>
  </si>
  <si>
    <t>Andy Greene, NJ</t>
  </si>
  <si>
    <t>Ben Chiarot, WPG</t>
  </si>
  <si>
    <t>Alexei Marchenko, DET</t>
  </si>
  <si>
    <t>Nikita Zadorov, COL</t>
  </si>
  <si>
    <t>Steven Kampfer, FLA</t>
  </si>
  <si>
    <t>Martin Marincin, TOR</t>
  </si>
  <si>
    <t>Petter Granberg, NSH</t>
  </si>
  <si>
    <t>Roman Polak, TOR</t>
  </si>
  <si>
    <t>Paul Postma, WPG</t>
  </si>
  <si>
    <t>Zbynek Michalek, ARI</t>
  </si>
  <si>
    <t>Jonas Brodin, MIN</t>
  </si>
  <si>
    <t>Jake McCabe, BUF</t>
  </si>
  <si>
    <t>Jyrki Jokipakka, CGY</t>
  </si>
  <si>
    <t>Mark Stuart, WPG</t>
  </si>
  <si>
    <t>Josh Gorges, BUF</t>
  </si>
  <si>
    <t>Ben Lovejoy, NJ</t>
  </si>
  <si>
    <t>Dmitry Kulikov, BUF</t>
  </si>
  <si>
    <t>Mark Fayne, EDM</t>
  </si>
  <si>
    <t>Erik Gudbranson, VAN</t>
  </si>
  <si>
    <t> NYI</t>
  </si>
  <si>
    <t> CHI</t>
  </si>
  <si>
    <t>Antoine</t>
  </si>
  <si>
    <t>Vermette</t>
  </si>
  <si>
    <t> TOR</t>
  </si>
  <si>
    <t>Bonino</t>
  </si>
  <si>
    <t>Zack</t>
  </si>
  <si>
    <t>Mathieu</t>
  </si>
  <si>
    <t>Perreault</t>
  </si>
  <si>
    <t>Pirri</t>
  </si>
  <si>
    <t>Jean-Gabriel</t>
  </si>
  <si>
    <t>Pageau</t>
  </si>
  <si>
    <t> CAR</t>
  </si>
  <si>
    <t>William</t>
  </si>
  <si>
    <t>Nylander</t>
  </si>
  <si>
    <t>Cody</t>
  </si>
  <si>
    <t>Eakin</t>
  </si>
  <si>
    <t>Riley</t>
  </si>
  <si>
    <t>Lars</t>
  </si>
  <si>
    <t>Eller</t>
  </si>
  <si>
    <t>Seth</t>
  </si>
  <si>
    <t>Griffith</t>
  </si>
  <si>
    <t>Bozak</t>
  </si>
  <si>
    <t>Cullen</t>
  </si>
  <si>
    <t>Valtteri</t>
  </si>
  <si>
    <t>Filppula</t>
  </si>
  <si>
    <t>Mattias</t>
  </si>
  <si>
    <t>Janmark</t>
  </si>
  <si>
    <t>Namestnikov</t>
  </si>
  <si>
    <t>Nugent-Hopkins</t>
  </si>
  <si>
    <t>Frank</t>
  </si>
  <si>
    <t>Vatrano</t>
  </si>
  <si>
    <t>Ennis</t>
  </si>
  <si>
    <t>Brian</t>
  </si>
  <si>
    <t>Boyle</t>
  </si>
  <si>
    <t>Jori</t>
  </si>
  <si>
    <t>Lehtera</t>
  </si>
  <si>
    <t>Radek</t>
  </si>
  <si>
    <t>Faksa</t>
  </si>
  <si>
    <t>Berglund</t>
  </si>
  <si>
    <t>Fisher</t>
  </si>
  <si>
    <t>Linden</t>
  </si>
  <si>
    <t>Vey</t>
  </si>
  <si>
    <t>Desharnais</t>
  </si>
  <si>
    <t>Jay</t>
  </si>
  <si>
    <t>Beagle</t>
  </si>
  <si>
    <t>Calle</t>
  </si>
  <si>
    <t>Jarnkrok</t>
  </si>
  <si>
    <t>Wagner</t>
  </si>
  <si>
    <t>Darren</t>
  </si>
  <si>
    <t>Helm</t>
  </si>
  <si>
    <t>Sutter</t>
  </si>
  <si>
    <t>Kelly</t>
  </si>
  <si>
    <t>Melker</t>
  </si>
  <si>
    <t>Byron</t>
  </si>
  <si>
    <t>Jared</t>
  </si>
  <si>
    <t>McCann</t>
  </si>
  <si>
    <t>Shawn</t>
  </si>
  <si>
    <t>Matthias</t>
  </si>
  <si>
    <t>Mitchell</t>
  </si>
  <si>
    <t>Marner</t>
  </si>
  <si>
    <t>Joseph</t>
  </si>
  <si>
    <t>Blandisi</t>
  </si>
  <si>
    <t>Haula</t>
  </si>
  <si>
    <t>Marchessault</t>
  </si>
  <si>
    <t>Graovac</t>
  </si>
  <si>
    <t>Trevor</t>
  </si>
  <si>
    <t>Lewis</t>
  </si>
  <si>
    <t>Sheahan</t>
  </si>
  <si>
    <t>Laughton</t>
  </si>
  <si>
    <t>Tierney</t>
  </si>
  <si>
    <t>Mikhail</t>
  </si>
  <si>
    <t>Grigorenko</t>
  </si>
  <si>
    <t>Richardson</t>
  </si>
  <si>
    <t>Dennis</t>
  </si>
  <si>
    <t>Rasmussen</t>
  </si>
  <si>
    <t>Cedric</t>
  </si>
  <si>
    <t>Paquette</t>
  </si>
  <si>
    <t>Desjardins</t>
  </si>
  <si>
    <t>Colton</t>
  </si>
  <si>
    <t>Sissons</t>
  </si>
  <si>
    <t>Gagner</t>
  </si>
  <si>
    <t>Luke</t>
  </si>
  <si>
    <t>Glendening</t>
  </si>
  <si>
    <t>Andy</t>
  </si>
  <si>
    <t>Andreoff</t>
  </si>
  <si>
    <t>Kruger</t>
  </si>
  <si>
    <t>Joakim</t>
  </si>
  <si>
    <t>Nordstrom</t>
  </si>
  <si>
    <t>Phillip</t>
  </si>
  <si>
    <t>Danault</t>
  </si>
  <si>
    <t>Laurent</t>
  </si>
  <si>
    <t>Dauphin</t>
  </si>
  <si>
    <t>Letestu</t>
  </si>
  <si>
    <t>Stephen</t>
  </si>
  <si>
    <t>Gionta</t>
  </si>
  <si>
    <t>Shore</t>
  </si>
  <si>
    <t>Flynn</t>
  </si>
  <si>
    <t>Marko</t>
  </si>
  <si>
    <t>Dano</t>
  </si>
  <si>
    <t>Brodziak</t>
  </si>
  <si>
    <t>Jacob</t>
  </si>
  <si>
    <t>Josefson</t>
  </si>
  <si>
    <t>VandeVelde</t>
  </si>
  <si>
    <t>Sergey</t>
  </si>
  <si>
    <t>Kalinin</t>
  </si>
  <si>
    <t>Markus</t>
  </si>
  <si>
    <t>MacKenzie</t>
  </si>
  <si>
    <t>Steve</t>
  </si>
  <si>
    <t>Ott</t>
  </si>
  <si>
    <t>Boyd</t>
  </si>
  <si>
    <t>Gordon</t>
  </si>
  <si>
    <t>Zemgus</t>
  </si>
  <si>
    <t>Girgensons</t>
  </si>
  <si>
    <t>Dave</t>
  </si>
  <si>
    <t>Bolland</t>
  </si>
  <si>
    <t>McClement</t>
  </si>
  <si>
    <t>Brooks</t>
  </si>
  <si>
    <t>Laich</t>
  </si>
  <si>
    <t>Marian</t>
  </si>
  <si>
    <t>Hossa</t>
  </si>
  <si>
    <t>P.A.</t>
  </si>
  <si>
    <t>Backes</t>
  </si>
  <si>
    <t>Schmaltz</t>
  </si>
  <si>
    <t>Shane</t>
  </si>
  <si>
    <t>Doan</t>
  </si>
  <si>
    <t>Hartman</t>
  </si>
  <si>
    <t>Pastrnak</t>
  </si>
  <si>
    <t>Joel</t>
  </si>
  <si>
    <t>Ward</t>
  </si>
  <si>
    <t>Ales</t>
  </si>
  <si>
    <t>Hemsky</t>
  </si>
  <si>
    <t>Shaw</t>
  </si>
  <si>
    <t>Craig</t>
  </si>
  <si>
    <t>Jannik</t>
  </si>
  <si>
    <t>Hansen</t>
  </si>
  <si>
    <t>Lee</t>
  </si>
  <si>
    <t>Stempniak</t>
  </si>
  <si>
    <t>Gaborik</t>
  </si>
  <si>
    <t>Rust</t>
  </si>
  <si>
    <t>Jimmy</t>
  </si>
  <si>
    <t>Stafford</t>
  </si>
  <si>
    <t>Joonas</t>
  </si>
  <si>
    <t>Donskoi</t>
  </si>
  <si>
    <t>Troy</t>
  </si>
  <si>
    <t>Brouwer</t>
  </si>
  <si>
    <t>Soshnikov</t>
  </si>
  <si>
    <t>Tom</t>
  </si>
  <si>
    <t>Wilson</t>
  </si>
  <si>
    <t>Radim</t>
  </si>
  <si>
    <t>Vrbata</t>
  </si>
  <si>
    <t>Jordin</t>
  </si>
  <si>
    <t>Tootoo</t>
  </si>
  <si>
    <t>Brown</t>
  </si>
  <si>
    <t>Richard</t>
  </si>
  <si>
    <t>Panik</t>
  </si>
  <si>
    <t>Fehr</t>
  </si>
  <si>
    <t>Kuhnhackl</t>
  </si>
  <si>
    <t>Bjorkstrand</t>
  </si>
  <si>
    <t>Elias</t>
  </si>
  <si>
    <t>Lindholm</t>
  </si>
  <si>
    <t>Dale</t>
  </si>
  <si>
    <t>Weise</t>
  </si>
  <si>
    <t>Grabner</t>
  </si>
  <si>
    <t>Torrey</t>
  </si>
  <si>
    <t>Randell</t>
  </si>
  <si>
    <t>Jesper</t>
  </si>
  <si>
    <t>Fast</t>
  </si>
  <si>
    <t>Boll</t>
  </si>
  <si>
    <t>Read</t>
  </si>
  <si>
    <t>Tommy</t>
  </si>
  <si>
    <t>Wingels</t>
  </si>
  <si>
    <t>Mantha</t>
  </si>
  <si>
    <t>Dorsett</t>
  </si>
  <si>
    <t>Burrows</t>
  </si>
  <si>
    <t>Cal</t>
  </si>
  <si>
    <t>Clutterbuck</t>
  </si>
  <si>
    <t>Stewart</t>
  </si>
  <si>
    <t>Neil</t>
  </si>
  <si>
    <t>Curtis</t>
  </si>
  <si>
    <t>Lazar</t>
  </si>
  <si>
    <t>Jake</t>
  </si>
  <si>
    <t>Virtanen</t>
  </si>
  <si>
    <t>Nikolay</t>
  </si>
  <si>
    <t>Kulemin</t>
  </si>
  <si>
    <t>Nail</t>
  </si>
  <si>
    <t>Yakupov</t>
  </si>
  <si>
    <t>Condra</t>
  </si>
  <si>
    <t>Garbutt</t>
  </si>
  <si>
    <t>Dmitrij</t>
  </si>
  <si>
    <t>Jaskin</t>
  </si>
  <si>
    <t>Miikka</t>
  </si>
  <si>
    <t>Salomaki</t>
  </si>
  <si>
    <t>Kassian</t>
  </si>
  <si>
    <t>Sceviour</t>
  </si>
  <si>
    <t>Emerson</t>
  </si>
  <si>
    <t>Etem</t>
  </si>
  <si>
    <t>Rantanen</t>
  </si>
  <si>
    <t>Stanislav</t>
  </si>
  <si>
    <t>Galiev</t>
  </si>
  <si>
    <t>Armia</t>
  </si>
  <si>
    <t>Clarkson</t>
  </si>
  <si>
    <t>Chiasson</t>
  </si>
  <si>
    <t>Thorburn</t>
  </si>
  <si>
    <t>Beau</t>
  </si>
  <si>
    <t>Hagelin</t>
  </si>
  <si>
    <t>Kunitz</t>
  </si>
  <si>
    <t>Killorn</t>
  </si>
  <si>
    <t>van</t>
  </si>
  <si>
    <t>Carr</t>
  </si>
  <si>
    <t>Beleskey</t>
  </si>
  <si>
    <t>McKenzie</t>
  </si>
  <si>
    <t>Abdelkader</t>
  </si>
  <si>
    <t>Evander</t>
  </si>
  <si>
    <t>Benoit</t>
  </si>
  <si>
    <t>Pouliot</t>
  </si>
  <si>
    <t>Vesey</t>
  </si>
  <si>
    <t>Leo</t>
  </si>
  <si>
    <t>Komarov</t>
  </si>
  <si>
    <t>Roussel</t>
  </si>
  <si>
    <t>Frolik</t>
  </si>
  <si>
    <t>Anders</t>
  </si>
  <si>
    <t>Fiala</t>
  </si>
  <si>
    <t>Colin</t>
  </si>
  <si>
    <t>Andre</t>
  </si>
  <si>
    <t>Burakovsky</t>
  </si>
  <si>
    <t>Tanner</t>
  </si>
  <si>
    <t>Pearson</t>
  </si>
  <si>
    <t>Winnik</t>
  </si>
  <si>
    <t>Cogliano</t>
  </si>
  <si>
    <t>Conor</t>
  </si>
  <si>
    <t>Sheary</t>
  </si>
  <si>
    <t>Comeau</t>
  </si>
  <si>
    <t>Matthew</t>
  </si>
  <si>
    <t>Tkachuk</t>
  </si>
  <si>
    <t>Clarke</t>
  </si>
  <si>
    <t>MacArthur</t>
  </si>
  <si>
    <t>Valeri</t>
  </si>
  <si>
    <t>Nichushkin</t>
  </si>
  <si>
    <t>Reid</t>
  </si>
  <si>
    <t>Boucher</t>
  </si>
  <si>
    <t>Viktor</t>
  </si>
  <si>
    <t>Arvidsson</t>
  </si>
  <si>
    <t>Chimera</t>
  </si>
  <si>
    <t>Raffl</t>
  </si>
  <si>
    <t>Prince</t>
  </si>
  <si>
    <t>Sven</t>
  </si>
  <si>
    <t>Baertschi</t>
  </si>
  <si>
    <t>Josh</t>
  </si>
  <si>
    <t>Bailey</t>
  </si>
  <si>
    <t>Joffrey</t>
  </si>
  <si>
    <t>Lupul</t>
  </si>
  <si>
    <t>McGinn</t>
  </si>
  <si>
    <t>Christian</t>
  </si>
  <si>
    <t>Dvorak</t>
  </si>
  <si>
    <t>Mason</t>
  </si>
  <si>
    <t>Raymond</t>
  </si>
  <si>
    <t>Nieto</t>
  </si>
  <si>
    <t>Dwight</t>
  </si>
  <si>
    <t>King</t>
  </si>
  <si>
    <t>Calvert</t>
  </si>
  <si>
    <t>Zucker</t>
  </si>
  <si>
    <t>McLeod</t>
  </si>
  <si>
    <t>Ritchie</t>
  </si>
  <si>
    <t>Scottie</t>
  </si>
  <si>
    <t>Upshall</t>
  </si>
  <si>
    <t>Michalek</t>
  </si>
  <si>
    <t>Clifford</t>
  </si>
  <si>
    <t>Bollig</t>
  </si>
  <si>
    <t>Maroon</t>
  </si>
  <si>
    <t>Di</t>
  </si>
  <si>
    <t>Micheal</t>
  </si>
  <si>
    <t>Ferland</t>
  </si>
  <si>
    <t>Pierre-Edouard</t>
  </si>
  <si>
    <t>Bellemare</t>
  </si>
  <si>
    <t>Martinook</t>
  </si>
  <si>
    <t>Lance</t>
  </si>
  <si>
    <t>Bouma</t>
  </si>
  <si>
    <t>Lowry</t>
  </si>
  <si>
    <t>Hendricks</t>
  </si>
  <si>
    <t>Johan</t>
  </si>
  <si>
    <t>Larsson</t>
  </si>
  <si>
    <t>Stalberg</t>
  </si>
  <si>
    <t>Moulson</t>
  </si>
  <si>
    <t>Nicolas</t>
  </si>
  <si>
    <t>Deslauriers</t>
  </si>
  <si>
    <t>Bickell</t>
  </si>
  <si>
    <t>Kris</t>
  </si>
  <si>
    <t>Seabrook</t>
  </si>
  <si>
    <t>Ekman-Larsson</t>
  </si>
  <si>
    <t>Gostisbehere</t>
  </si>
  <si>
    <t>Torey</t>
  </si>
  <si>
    <t>Krug</t>
  </si>
  <si>
    <t>Dion</t>
  </si>
  <si>
    <t>Phaneuf</t>
  </si>
  <si>
    <t>Marc-Edouard</t>
  </si>
  <si>
    <t>Vlasic</t>
  </si>
  <si>
    <t>Muzzin</t>
  </si>
  <si>
    <t>Zdeno</t>
  </si>
  <si>
    <t>Chara</t>
  </si>
  <si>
    <t>Anton</t>
  </si>
  <si>
    <t>Stralman</t>
  </si>
  <si>
    <t>Andrei</t>
  </si>
  <si>
    <t>Markov</t>
  </si>
  <si>
    <t>McDonagh</t>
  </si>
  <si>
    <t>Ekholm</t>
  </si>
  <si>
    <t>Fowler</t>
  </si>
  <si>
    <t>Dougie</t>
  </si>
  <si>
    <t>Hamilton</t>
  </si>
  <si>
    <t>Ellis</t>
  </si>
  <si>
    <t>Dan</t>
  </si>
  <si>
    <t>Hamhuis</t>
  </si>
  <si>
    <t>Schlemko</t>
  </si>
  <si>
    <t>Daley</t>
  </si>
  <si>
    <t>Hampus</t>
  </si>
  <si>
    <t>Niskanen</t>
  </si>
  <si>
    <t>Olli</t>
  </si>
  <si>
    <t>Maatta</t>
  </si>
  <si>
    <t>Green</t>
  </si>
  <si>
    <t>Parayko</t>
  </si>
  <si>
    <t>Campbell</t>
  </si>
  <si>
    <t>Yandle</t>
  </si>
  <si>
    <t>Alec</t>
  </si>
  <si>
    <t>Martinez</t>
  </si>
  <si>
    <t>Leddy</t>
  </si>
  <si>
    <t>Brodie</t>
  </si>
  <si>
    <t>John-Michael</t>
  </si>
  <si>
    <t>Liles</t>
  </si>
  <si>
    <t>Myers</t>
  </si>
  <si>
    <t>Streit</t>
  </si>
  <si>
    <t>Bieksa</t>
  </si>
  <si>
    <t>Boychuk</t>
  </si>
  <si>
    <t>Francois</t>
  </si>
  <si>
    <t>Beauchemin</t>
  </si>
  <si>
    <t>Pulock</t>
  </si>
  <si>
    <t>Yannick</t>
  </si>
  <si>
    <t>Klein</t>
  </si>
  <si>
    <t>Morgan</t>
  </si>
  <si>
    <t>Rielly</t>
  </si>
  <si>
    <t>Niklas</t>
  </si>
  <si>
    <t>Hjalmarsson</t>
  </si>
  <si>
    <t>Ceci</t>
  </si>
  <si>
    <t>Holden</t>
  </si>
  <si>
    <t>Warsofsky</t>
  </si>
  <si>
    <t>Derrick</t>
  </si>
  <si>
    <t>Kevan</t>
  </si>
  <si>
    <t>Dumoulin</t>
  </si>
  <si>
    <t>Kronwall</t>
  </si>
  <si>
    <t>Gardiner</t>
  </si>
  <si>
    <t>Savard</t>
  </si>
  <si>
    <t>Braun</t>
  </si>
  <si>
    <t>Orpik</t>
  </si>
  <si>
    <t>Demers</t>
  </si>
  <si>
    <t>Oduya</t>
  </si>
  <si>
    <t>Spurgeon</t>
  </si>
  <si>
    <t>Ian</t>
  </si>
  <si>
    <t>Cole</t>
  </si>
  <si>
    <t>Garrison</t>
  </si>
  <si>
    <t>Hamonic</t>
  </si>
  <si>
    <t>Michal</t>
  </si>
  <si>
    <t>Rozsival</t>
  </si>
  <si>
    <t>Andrej</t>
  </si>
  <si>
    <t>Sustr</t>
  </si>
  <si>
    <t>Trouba</t>
  </si>
  <si>
    <t>Radko</t>
  </si>
  <si>
    <t>Gudas</t>
  </si>
  <si>
    <t>Bouwmeester</t>
  </si>
  <si>
    <t>Wideman</t>
  </si>
  <si>
    <t>Jones</t>
  </si>
  <si>
    <t>Sekera</t>
  </si>
  <si>
    <t>Hickey</t>
  </si>
  <si>
    <t>Dumba</t>
  </si>
  <si>
    <t>Trotman</t>
  </si>
  <si>
    <t>Jordie</t>
  </si>
  <si>
    <t>Ben</t>
  </si>
  <si>
    <t>Hutton</t>
  </si>
  <si>
    <t>McQuaid</t>
  </si>
  <si>
    <t>Marc</t>
  </si>
  <si>
    <t>Methot</t>
  </si>
  <si>
    <t>McNabb</t>
  </si>
  <si>
    <t>Petrovic</t>
  </si>
  <si>
    <t>Danny</t>
  </si>
  <si>
    <t>DeKeyser</t>
  </si>
  <si>
    <t>Braydon</t>
  </si>
  <si>
    <t>Coburn</t>
  </si>
  <si>
    <t>Girardi</t>
  </si>
  <si>
    <t>MacDonald</t>
  </si>
  <si>
    <t>Manning</t>
  </si>
  <si>
    <t>Murray</t>
  </si>
  <si>
    <t>Alexei</t>
  </si>
  <si>
    <t>Emelin</t>
  </si>
  <si>
    <t>Marco</t>
  </si>
  <si>
    <t>Scandella</t>
  </si>
  <si>
    <t>Brenden</t>
  </si>
  <si>
    <t>Dillon</t>
  </si>
  <si>
    <t>Deryk</t>
  </si>
  <si>
    <t>Engelland</t>
  </si>
  <si>
    <t>Morrow</t>
  </si>
  <si>
    <t>Johns</t>
  </si>
  <si>
    <t>Calvin</t>
  </si>
  <si>
    <t>de</t>
  </si>
  <si>
    <t>Goligoski</t>
  </si>
  <si>
    <t>Bitetto</t>
  </si>
  <si>
    <t>Rob</t>
  </si>
  <si>
    <t>Scuderi</t>
  </si>
  <si>
    <t>Ericsson</t>
  </si>
  <si>
    <t>Gunnarsson</t>
  </si>
  <si>
    <t>Toby</t>
  </si>
  <si>
    <t>Enstrom</t>
  </si>
  <si>
    <t>DeMelo</t>
  </si>
  <si>
    <t>Pysyk</t>
  </si>
  <si>
    <t>Chorney</t>
  </si>
  <si>
    <t>Noah</t>
  </si>
  <si>
    <t>Hanifin</t>
  </si>
  <si>
    <t>Kindl</t>
  </si>
  <si>
    <t>Moore</t>
  </si>
  <si>
    <t>Dalton</t>
  </si>
  <si>
    <t>Prout</t>
  </si>
  <si>
    <t>Corrado</t>
  </si>
  <si>
    <t>Murphy</t>
  </si>
  <si>
    <t>Tanev</t>
  </si>
  <si>
    <t>Simon</t>
  </si>
  <si>
    <t>Despres</t>
  </si>
  <si>
    <t>Ron</t>
  </si>
  <si>
    <t>Hainsey</t>
  </si>
  <si>
    <t>Jaccob</t>
  </si>
  <si>
    <t>Slavin</t>
  </si>
  <si>
    <t>Bigras</t>
  </si>
  <si>
    <t>Schultz</t>
  </si>
  <si>
    <t>Hunwick</t>
  </si>
  <si>
    <t>Biega</t>
  </si>
  <si>
    <t>Brett</t>
  </si>
  <si>
    <t>Pesce</t>
  </si>
  <si>
    <t>Greene</t>
  </si>
  <si>
    <t>Chiarot</t>
  </si>
  <si>
    <t>Marchenko</t>
  </si>
  <si>
    <t>Zadorov</t>
  </si>
  <si>
    <t>Kampfer</t>
  </si>
  <si>
    <t>Marincin</t>
  </si>
  <si>
    <t>Petter</t>
  </si>
  <si>
    <t>Granberg</t>
  </si>
  <si>
    <t>Polak</t>
  </si>
  <si>
    <t>Postma</t>
  </si>
  <si>
    <t>Zbynek</t>
  </si>
  <si>
    <t>Jonas</t>
  </si>
  <si>
    <t>Brodin</t>
  </si>
  <si>
    <t>McCabe</t>
  </si>
  <si>
    <t>Jyrki</t>
  </si>
  <si>
    <t>Jokipakka</t>
  </si>
  <si>
    <t>Stuart</t>
  </si>
  <si>
    <t>Gorges</t>
  </si>
  <si>
    <t>Lovejoy</t>
  </si>
  <si>
    <t>Dmitry</t>
  </si>
  <si>
    <t>Kulikov</t>
  </si>
  <si>
    <t>Fayne</t>
  </si>
  <si>
    <t>Gudbranson</t>
  </si>
  <si>
    <t>CBS</t>
  </si>
  <si>
    <t>Rieder</t>
  </si>
  <si>
    <t>Sifverberg</t>
  </si>
  <si>
    <t>Tobias</t>
  </si>
  <si>
    <t>PoolPro</t>
  </si>
  <si>
    <t>Colonne2</t>
  </si>
  <si>
    <t>Colonne3</t>
  </si>
  <si>
    <t>TJ</t>
  </si>
  <si>
    <t>Mitch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</si>
</sst>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u/>
      <sz val="8"/>
      <color rgb="FF000000"/>
      <name val="Verdana"/>
      <family val="2"/>
    </font>
    <font>
      <b/>
      <sz val="8"/>
      <color rgb="FFFF0000"/>
      <name val="Verdana"/>
      <family val="2"/>
    </font>
    <font>
      <sz val="11"/>
      <color rgb="FF333333"/>
      <name val="Calibri"/>
      <family val="2"/>
      <scheme val="minor"/>
    </font>
    <font>
      <sz val="10"/>
      <color rgb="FF11111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E8"/>
        <bgColor indexed="64"/>
      </patternFill>
    </fill>
    <fill>
      <patternFill patternType="solid">
        <fgColor rgb="FFF8F8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EFEDE9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ck">
        <color rgb="FFEEEEEE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0" fillId="0" borderId="2" xfId="0" applyFont="1" applyBorder="1"/>
    <xf numFmtId="0" fontId="0" fillId="2" borderId="2" xfId="0" applyFont="1" applyFill="1" applyBorder="1"/>
    <xf numFmtId="0" fontId="3" fillId="3" borderId="0" xfId="0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2" fillId="0" borderId="0" xfId="0" applyFont="1"/>
    <xf numFmtId="0" fontId="0" fillId="0" borderId="0" xfId="0" applyFont="1"/>
    <xf numFmtId="0" fontId="0" fillId="0" borderId="0" xfId="0" applyFont="1" applyBorder="1" applyAlignment="1"/>
    <xf numFmtId="0" fontId="6" fillId="0" borderId="0" xfId="0" applyFont="1" applyBorder="1" applyAlignment="1">
      <alignment wrapText="1"/>
    </xf>
    <xf numFmtId="0" fontId="6" fillId="0" borderId="1" xfId="0" applyFont="1" applyBorder="1" applyAlignment="1">
      <alignment wrapText="1"/>
    </xf>
    <xf numFmtId="164" fontId="2" fillId="0" borderId="0" xfId="0" applyNumberFormat="1" applyFont="1"/>
    <xf numFmtId="0" fontId="8" fillId="5" borderId="3" xfId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6" borderId="0" xfId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8" fillId="5" borderId="0" xfId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164" fontId="0" fillId="0" borderId="0" xfId="0" applyNumberFormat="1"/>
    <xf numFmtId="1" fontId="0" fillId="0" borderId="0" xfId="0" applyNumberFormat="1"/>
    <xf numFmtId="0" fontId="2" fillId="0" borderId="0" xfId="0" applyNumberFormat="1" applyFont="1"/>
    <xf numFmtId="0" fontId="0" fillId="0" borderId="0" xfId="0" applyNumberFormat="1"/>
    <xf numFmtId="0" fontId="0" fillId="0" borderId="1" xfId="0" applyFont="1" applyBorder="1" applyAlignment="1"/>
  </cellXfs>
  <cellStyles count="2">
    <cellStyle name="Lien hypertexte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  <dxf>
      <font>
        <b val="0"/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FEDE9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://games.espn.com/fhl/tools/projections?" TargetMode="External"/><Relationship Id="rId6" Type="http://schemas.openxmlformats.org/officeDocument/2006/relationships/hyperlink" Target="http://games.espn.com/fhl/tools/projections?&amp;startIndex=120" TargetMode="External"/><Relationship Id="rId5" Type="http://schemas.openxmlformats.org/officeDocument/2006/relationships/hyperlink" Target="http://games.espn.com/fhl/tools/projections?&amp;startIndex=80" TargetMode="External"/><Relationship Id="rId4" Type="http://schemas.openxmlformats.org/officeDocument/2006/relationships/hyperlink" Target="http://games.espn.com/fhl/tools/projections?&amp;startIndex=4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142875</xdr:colOff>
      <xdr:row>1</xdr:row>
      <xdr:rowOff>114300</xdr:rowOff>
    </xdr:to>
    <xdr:pic>
      <xdr:nvPicPr>
        <xdr:cNvPr id="2" name="Image 1" descr="http://g.espncdn.com/s/fhllm/15/images/icons/sml/news_recent.png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90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114300</xdr:rowOff>
    </xdr:to>
    <xdr:pic>
      <xdr:nvPicPr>
        <xdr:cNvPr id="3" name="Image 2" descr="http://g.espncdn.com/s/fhllm/15/images/icons/sml/news_breaking.png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114300</xdr:rowOff>
    </xdr:to>
    <xdr:pic>
      <xdr:nvPicPr>
        <xdr:cNvPr id="4" name="Image 3" descr="http://g.espncdn.com/s/fhllm/15/images/icons/sml/news_breaking.png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476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114300</xdr:rowOff>
    </xdr:to>
    <xdr:pic>
      <xdr:nvPicPr>
        <xdr:cNvPr id="5" name="Image 4" descr="http://g.espncdn.com/s/fhllm/15/images/icons/sml/news_recent.png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667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114300</xdr:rowOff>
    </xdr:to>
    <xdr:pic>
      <xdr:nvPicPr>
        <xdr:cNvPr id="6" name="Image 5" descr="http://g.espncdn.com/s/fhllm/15/images/icons/sml/news_breaking.png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429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142875</xdr:colOff>
      <xdr:row>40</xdr:row>
      <xdr:rowOff>114300</xdr:rowOff>
    </xdr:to>
    <xdr:pic>
      <xdr:nvPicPr>
        <xdr:cNvPr id="7" name="Image 6" descr="http://g.espncdn.com/s/fhllm/15/images/icons/sml/news_breaking.png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7620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142875</xdr:colOff>
      <xdr:row>56</xdr:row>
      <xdr:rowOff>114300</xdr:rowOff>
    </xdr:to>
    <xdr:pic>
      <xdr:nvPicPr>
        <xdr:cNvPr id="20" name="Image 19" descr="http://g.espncdn.com/s/fhllm/15/images/icons/sml/news_recent.png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0668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142875</xdr:colOff>
      <xdr:row>58</xdr:row>
      <xdr:rowOff>114300</xdr:rowOff>
    </xdr:to>
    <xdr:pic>
      <xdr:nvPicPr>
        <xdr:cNvPr id="21" name="Image 20" descr="http://g.espncdn.com/s/fhllm/15/images/icons/sml/news_recent.png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1049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142875</xdr:colOff>
      <xdr:row>62</xdr:row>
      <xdr:rowOff>114300</xdr:rowOff>
    </xdr:to>
    <xdr:pic>
      <xdr:nvPicPr>
        <xdr:cNvPr id="22" name="Image 21" descr="http://g.espncdn.com/s/fhllm/15/images/icons/sml/news_recent.png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1811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142875</xdr:colOff>
      <xdr:row>81</xdr:row>
      <xdr:rowOff>114300</xdr:rowOff>
    </xdr:to>
    <xdr:pic>
      <xdr:nvPicPr>
        <xdr:cNvPr id="23" name="Image 22" descr="http://g.espncdn.com/s/fhllm/15/images/icons/sml/news_recent.png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5430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142875</xdr:colOff>
      <xdr:row>111</xdr:row>
      <xdr:rowOff>114300</xdr:rowOff>
    </xdr:to>
    <xdr:pic>
      <xdr:nvPicPr>
        <xdr:cNvPr id="24" name="Image 23" descr="http://g.espncdn.com/s/fhllm/15/images/icons/sml/news_recent.png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1145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142875</xdr:colOff>
      <xdr:row>128</xdr:row>
      <xdr:rowOff>114300</xdr:rowOff>
    </xdr:to>
    <xdr:pic>
      <xdr:nvPicPr>
        <xdr:cNvPr id="25" name="Image 24" descr="http://g.espncdn.com/s/fhllm/15/images/icons/sml/news_recent.png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4384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142875</xdr:colOff>
      <xdr:row>131</xdr:row>
      <xdr:rowOff>114300</xdr:rowOff>
    </xdr:to>
    <xdr:pic>
      <xdr:nvPicPr>
        <xdr:cNvPr id="26" name="Image 25" descr="http://g.espncdn.com/s/fhllm/15/images/icons/sml/news_breaking.png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4955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142875</xdr:colOff>
      <xdr:row>134</xdr:row>
      <xdr:rowOff>114300</xdr:rowOff>
    </xdr:to>
    <xdr:pic>
      <xdr:nvPicPr>
        <xdr:cNvPr id="27" name="Image 26" descr="http://g.espncdn.com/s/fhllm/15/images/icons/sml/news_recent.png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5527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au1" displayName="Tableau1" ref="A1:N206" totalsRowShown="0">
  <autoFilter ref="A1:N206"/>
  <sortState ref="A2:N206">
    <sortCondition descending="1" ref="K1:K206"/>
  </sortState>
  <tableColumns count="14">
    <tableColumn id="1" name="Colonne1" dataDxfId="5"/>
    <tableColumn id="2" name="Prenom"/>
    <tableColumn id="8" name="Nom"/>
    <tableColumn id="3" name="Colonne32"/>
    <tableColumn id="4" name="Lepool.com" dataDxfId="4"/>
    <tableColumn id="5" name="HM"/>
    <tableColumn id="6" name="Pool Pro"/>
    <tableColumn id="7" name="HN"/>
    <tableColumn id="10" name="ESPN"/>
    <tableColumn id="14" name="CBS"/>
    <tableColumn id="9" name="Moyenne" dataDxfId="3">
      <calculatedColumnFormula>AVERAGE(Tableau1[[#This Row],[Lepool.com]:[CBS]])</calculatedColumnFormula>
    </tableColumn>
    <tableColumn id="11" name="Écart-type" dataDxfId="2">
      <calculatedColumnFormula>_xlfn.STDEV.S(Tableau1[[#This Row],[Lepool.com]:[CBS]])</calculatedColumnFormula>
    </tableColumn>
    <tableColumn id="13" name="Moy. Sans HM" dataDxfId="1">
      <calculatedColumnFormula>AVERAGE(E2,G2,H2,I2,Tableau1[[#This Row],[CBS]])</calculatedColumnFormula>
    </tableColumn>
    <tableColumn id="12" name="Moy - HM" dataDxfId="0">
      <calculatedColumnFormula>AVERAGE(E2,G2,H2,I2,Tableau1[[#This Row],[CBS]])-Tableau1[[#This Row],[HM]]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I3:M29" totalsRowShown="0">
  <autoFilter ref="I3:M29"/>
  <sortState ref="I4:M29">
    <sortCondition ref="J3:J29"/>
  </sortState>
  <tableColumns count="5">
    <tableColumn id="1" name="Colonne1"/>
    <tableColumn id="2" name="Colonne2"/>
    <tableColumn id="3" name="PoolPro"/>
    <tableColumn id="4" name="HN"/>
    <tableColumn id="5" name="Colonn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bssports.com/fantasyhockey/players/playerpage/1964559/riley-sheahan" TargetMode="External"/><Relationship Id="rId299" Type="http://schemas.openxmlformats.org/officeDocument/2006/relationships/hyperlink" Target="http://www.cbssports.com/fantasyhockey/players/playerpage/1282428/michael-frolik" TargetMode="External"/><Relationship Id="rId21" Type="http://schemas.openxmlformats.org/officeDocument/2006/relationships/hyperlink" Target="http://www.cbssports.com/fantasyhockey/players/playerpage/433666/ryan-kesler" TargetMode="External"/><Relationship Id="rId63" Type="http://schemas.openxmlformats.org/officeDocument/2006/relationships/hyperlink" Target="http://www.cbssports.com/fantasyhockey/players/playerpage/1606858/kyle-turris" TargetMode="External"/><Relationship Id="rId159" Type="http://schemas.openxmlformats.org/officeDocument/2006/relationships/hyperlink" Target="http://www.cbssports.com/fantasyhockey/players/playerpage/1280606/wayne-simmonds" TargetMode="External"/><Relationship Id="rId324" Type="http://schemas.openxmlformats.org/officeDocument/2006/relationships/hyperlink" Target="http://www.cbssports.com/fantasyhockey/players/playerpage/1639341/josh-bailey" TargetMode="External"/><Relationship Id="rId366" Type="http://schemas.openxmlformats.org/officeDocument/2006/relationships/hyperlink" Target="http://www.cbssports.com/fantasyhockey/players/playerpage/433220/shea-weber" TargetMode="External"/><Relationship Id="rId170" Type="http://schemas.openxmlformats.org/officeDocument/2006/relationships/hyperlink" Target="http://www.cbssports.com/fantasyhockey/players/playerpage/433597/jiri-hudler" TargetMode="External"/><Relationship Id="rId226" Type="http://schemas.openxmlformats.org/officeDocument/2006/relationships/hyperlink" Target="http://www.cbssports.com/fantasyhockey/players/playerpage/2076028/anthony-mantha" TargetMode="External"/><Relationship Id="rId433" Type="http://schemas.openxmlformats.org/officeDocument/2006/relationships/hyperlink" Target="http://www.cbssports.com/fantasyhockey/players/playerpage/1639403/travis-hamonic" TargetMode="External"/><Relationship Id="rId268" Type="http://schemas.openxmlformats.org/officeDocument/2006/relationships/hyperlink" Target="http://www.cbssports.com/fantasyhockey/players/playerpage/1897673/carl-hagelin" TargetMode="External"/><Relationship Id="rId475" Type="http://schemas.openxmlformats.org/officeDocument/2006/relationships/hyperlink" Target="http://www.cbssports.com/fantasyhockey/players/playerpage/1770975/mark-pysyk" TargetMode="External"/><Relationship Id="rId32" Type="http://schemas.openxmlformats.org/officeDocument/2006/relationships/hyperlink" Target="http://www.cbssports.com/fantasyhockey/players/playerpage/2076014/aleksander-barkov" TargetMode="External"/><Relationship Id="rId74" Type="http://schemas.openxmlformats.org/officeDocument/2006/relationships/hyperlink" Target="http://www.cbssports.com/fantasyhockey/players/playerpage/1134161/travis-zajac" TargetMode="External"/><Relationship Id="rId128" Type="http://schemas.openxmlformats.org/officeDocument/2006/relationships/hyperlink" Target="http://www.cbssports.com/fantasyhockey/players/playerpage/1897594/andy-andreoff" TargetMode="External"/><Relationship Id="rId335" Type="http://schemas.openxmlformats.org/officeDocument/2006/relationships/hyperlink" Target="http://www.cbssports.com/fantasyhockey/players/playerpage/347857/scottie-upshall" TargetMode="External"/><Relationship Id="rId377" Type="http://schemas.openxmlformats.org/officeDocument/2006/relationships/hyperlink" Target="http://www.cbssports.com/fantasyhockey/players/playerpage/19791/zdeno-chara" TargetMode="External"/><Relationship Id="rId500" Type="http://schemas.openxmlformats.org/officeDocument/2006/relationships/hyperlink" Target="http://www.cbssports.com/fantasyhockey/players/playerpage/1134147/roman-polak" TargetMode="External"/><Relationship Id="rId5" Type="http://schemas.openxmlformats.org/officeDocument/2006/relationships/hyperlink" Target="http://www.cbssports.com/fantasyhockey/players/playerpage/433588/patrice-bergeron" TargetMode="External"/><Relationship Id="rId181" Type="http://schemas.openxmlformats.org/officeDocument/2006/relationships/hyperlink" Target="http://www.cbssports.com/fantasyhockey/players/playerpage/2147475/david-pastrnak" TargetMode="External"/><Relationship Id="rId237" Type="http://schemas.openxmlformats.org/officeDocument/2006/relationships/hyperlink" Target="http://www.cbssports.com/fantasyhockey/players/playerpage/1707586/erik-condra" TargetMode="External"/><Relationship Id="rId402" Type="http://schemas.openxmlformats.org/officeDocument/2006/relationships/hyperlink" Target="http://www.cbssports.com/fantasyhockey/players/playerpage/435205/john-michael-liles" TargetMode="External"/><Relationship Id="rId279" Type="http://schemas.openxmlformats.org/officeDocument/2006/relationships/hyperlink" Target="http://www.cbssports.com/fantasyhockey/players/playerpage/2000661/tomas-hertl" TargetMode="External"/><Relationship Id="rId444" Type="http://schemas.openxmlformats.org/officeDocument/2006/relationships/hyperlink" Target="http://www.cbssports.com/fantasyhockey/players/playerpage/2147580/trevor-van-riemsdyk" TargetMode="External"/><Relationship Id="rId486" Type="http://schemas.openxmlformats.org/officeDocument/2006/relationships/hyperlink" Target="http://www.cbssports.com/fantasyhockey/players/playerpage/274035/ron-hainsey" TargetMode="External"/><Relationship Id="rId43" Type="http://schemas.openxmlformats.org/officeDocument/2006/relationships/hyperlink" Target="http://www.cbssports.com/fantasyhockey/players/playerpage/1897806/vincent-trocheck" TargetMode="External"/><Relationship Id="rId139" Type="http://schemas.openxmlformats.org/officeDocument/2006/relationships/hyperlink" Target="http://www.cbssports.com/fantasyhockey/players/playerpage/1770930/jacob-josefson" TargetMode="External"/><Relationship Id="rId290" Type="http://schemas.openxmlformats.org/officeDocument/2006/relationships/hyperlink" Target="http://www.cbssports.com/fantasyhockey/players/playerpage/565389/jussi-jokinen" TargetMode="External"/><Relationship Id="rId304" Type="http://schemas.openxmlformats.org/officeDocument/2006/relationships/hyperlink" Target="http://www.cbssports.com/fantasyhockey/players/playerpage/2147336/nikolaj-ehlers" TargetMode="External"/><Relationship Id="rId346" Type="http://schemas.openxmlformats.org/officeDocument/2006/relationships/hyperlink" Target="http://www.cbssports.com/fantasyhockey/players/playerpage/1639439/matt-martin" TargetMode="External"/><Relationship Id="rId388" Type="http://schemas.openxmlformats.org/officeDocument/2006/relationships/hyperlink" Target="http://www.cbssports.com/fantasyhockey/players/playerpage/273310/dan-hamhuis" TargetMode="External"/><Relationship Id="rId511" Type="http://schemas.openxmlformats.org/officeDocument/2006/relationships/hyperlink" Target="http://www.cbssports.com/fantasyhockey/players/playerpage/1770920/erik-gudbranson" TargetMode="External"/><Relationship Id="rId85" Type="http://schemas.openxmlformats.org/officeDocument/2006/relationships/hyperlink" Target="http://www.cbssports.com/fantasyhockey/players/playerpage/2076042/alexander-wennberg" TargetMode="External"/><Relationship Id="rId150" Type="http://schemas.openxmlformats.org/officeDocument/2006/relationships/hyperlink" Target="http://www.cbssports.com/fantasyhockey/players/playerpage/565361/dave-bolland" TargetMode="External"/><Relationship Id="rId192" Type="http://schemas.openxmlformats.org/officeDocument/2006/relationships/hyperlink" Target="http://www.cbssports.com/fantasyhockey/players/playerpage/566058/lee-stempniak" TargetMode="External"/><Relationship Id="rId206" Type="http://schemas.openxmlformats.org/officeDocument/2006/relationships/hyperlink" Target="http://www.cbssports.com/fantasyhockey/players/playerpage/2000681/tom-wilson" TargetMode="External"/><Relationship Id="rId413" Type="http://schemas.openxmlformats.org/officeDocument/2006/relationships/hyperlink" Target="http://www.cbssports.com/fantasyhockey/players/playerpage/2147283/aaron-ekblad" TargetMode="External"/><Relationship Id="rId248" Type="http://schemas.openxmlformats.org/officeDocument/2006/relationships/hyperlink" Target="http://www.cbssports.com/fantasyhockey/players/playerpage/566097/david-clarkson" TargetMode="External"/><Relationship Id="rId455" Type="http://schemas.openxmlformats.org/officeDocument/2006/relationships/hyperlink" Target="http://www.cbssports.com/fantasyhockey/players/playerpage/1137447/dan-girardi" TargetMode="External"/><Relationship Id="rId497" Type="http://schemas.openxmlformats.org/officeDocument/2006/relationships/hyperlink" Target="http://www.cbssports.com/fantasyhockey/players/playerpage/1770933/steven-kampfer" TargetMode="External"/><Relationship Id="rId12" Type="http://schemas.openxmlformats.org/officeDocument/2006/relationships/hyperlink" Target="http://www.cbssports.com/fantasyhockey/players/playerpage/1282469/claude-giroux" TargetMode="External"/><Relationship Id="rId108" Type="http://schemas.openxmlformats.org/officeDocument/2006/relationships/hyperlink" Target="http://www.cbssports.com/fantasyhockey/players/playerpage/2245506/auston-matthews" TargetMode="External"/><Relationship Id="rId315" Type="http://schemas.openxmlformats.org/officeDocument/2006/relationships/hyperlink" Target="http://www.cbssports.com/fantasyhockey/players/playerpage/434880/clarke-macarthur" TargetMode="External"/><Relationship Id="rId357" Type="http://schemas.openxmlformats.org/officeDocument/2006/relationships/hyperlink" Target="http://www.cbssports.com/fantasyhockey/players/playerpage/566030/kris-letang" TargetMode="External"/><Relationship Id="rId54" Type="http://schemas.openxmlformats.org/officeDocument/2006/relationships/hyperlink" Target="http://www.cbssports.com/fantasyhockey/players/playerpage/1897752/jean-gabriel-pageau" TargetMode="External"/><Relationship Id="rId96" Type="http://schemas.openxmlformats.org/officeDocument/2006/relationships/hyperlink" Target="http://www.cbssports.com/fantasyhockey/players/playerpage/2094655/chris-wagner" TargetMode="External"/><Relationship Id="rId161" Type="http://schemas.openxmlformats.org/officeDocument/2006/relationships/hyperlink" Target="http://www.cbssports.com/fantasyhockey/players/playerpage/1280574/patric-hornqvist" TargetMode="External"/><Relationship Id="rId217" Type="http://schemas.openxmlformats.org/officeDocument/2006/relationships/hyperlink" Target="http://www.cbssports.com/fantasyhockey/players/playerpage/1639496/dale-weise" TargetMode="External"/><Relationship Id="rId399" Type="http://schemas.openxmlformats.org/officeDocument/2006/relationships/hyperlink" Target="http://www.cbssports.com/fantasyhockey/players/playerpage/1639440/alec-martinez" TargetMode="External"/><Relationship Id="rId259" Type="http://schemas.openxmlformats.org/officeDocument/2006/relationships/hyperlink" Target="http://www.cbssports.com/fantasyhockey/players/playerpage/369012/patrick-sharp" TargetMode="External"/><Relationship Id="rId424" Type="http://schemas.openxmlformats.org/officeDocument/2006/relationships/hyperlink" Target="http://www.cbssports.com/fantasyhockey/players/playerpage/1707452/david-savard" TargetMode="External"/><Relationship Id="rId466" Type="http://schemas.openxmlformats.org/officeDocument/2006/relationships/hyperlink" Target="http://www.cbssports.com/fantasyhockey/players/playerpage/2147295/stephen-johns" TargetMode="External"/><Relationship Id="rId23" Type="http://schemas.openxmlformats.org/officeDocument/2006/relationships/hyperlink" Target="http://www.cbssports.com/fantasyhockey/players/playerpage/1133462/derick-brassard" TargetMode="External"/><Relationship Id="rId119" Type="http://schemas.openxmlformats.org/officeDocument/2006/relationships/hyperlink" Target="http://www.cbssports.com/fantasyhockey/players/playerpage/2094650/chris-tierney" TargetMode="External"/><Relationship Id="rId270" Type="http://schemas.openxmlformats.org/officeDocument/2006/relationships/hyperlink" Target="http://www.cbssports.com/fantasyhockey/players/playerpage/1897753/ondrej-palat" TargetMode="External"/><Relationship Id="rId326" Type="http://schemas.openxmlformats.org/officeDocument/2006/relationships/hyperlink" Target="http://www.cbssports.com/fantasyhockey/players/playerpage/1133712/jamie-mcginn" TargetMode="External"/><Relationship Id="rId65" Type="http://schemas.openxmlformats.org/officeDocument/2006/relationships/hyperlink" Target="http://www.cbssports.com/fantasyhockey/players/playerpage/1770957/riley-nash" TargetMode="External"/><Relationship Id="rId130" Type="http://schemas.openxmlformats.org/officeDocument/2006/relationships/hyperlink" Target="http://www.cbssports.com/fantasyhockey/players/playerpage/2094620/joakim-nordstrom" TargetMode="External"/><Relationship Id="rId368" Type="http://schemas.openxmlformats.org/officeDocument/2006/relationships/hyperlink" Target="http://www.cbssports.com/fantasyhockey/players/playerpage/1765197/oliver-ekman-larsson" TargetMode="External"/><Relationship Id="rId172" Type="http://schemas.openxmlformats.org/officeDocument/2006/relationships/hyperlink" Target="http://www.cbssports.com/fantasyhockey/players/playerpage/1134106/david-backes" TargetMode="External"/><Relationship Id="rId228" Type="http://schemas.openxmlformats.org/officeDocument/2006/relationships/hyperlink" Target="http://www.cbssports.com/fantasyhockey/players/playerpage/371763/alex-burrows" TargetMode="External"/><Relationship Id="rId435" Type="http://schemas.openxmlformats.org/officeDocument/2006/relationships/hyperlink" Target="http://www.cbssports.com/fantasyhockey/players/playerpage/2051254/andrej-sustr" TargetMode="External"/><Relationship Id="rId477" Type="http://schemas.openxmlformats.org/officeDocument/2006/relationships/hyperlink" Target="http://www.cbssports.com/fantasyhockey/players/playerpage/2178823/noah-hanifin" TargetMode="External"/><Relationship Id="rId281" Type="http://schemas.openxmlformats.org/officeDocument/2006/relationships/hyperlink" Target="http://www.cbssports.com/fantasyhockey/players/playerpage/1899136/brandon-saad" TargetMode="External"/><Relationship Id="rId337" Type="http://schemas.openxmlformats.org/officeDocument/2006/relationships/hyperlink" Target="http://www.cbssports.com/fantasyhockey/players/playerpage/1707392/kyle-clifford" TargetMode="External"/><Relationship Id="rId502" Type="http://schemas.openxmlformats.org/officeDocument/2006/relationships/hyperlink" Target="http://www.cbssports.com/fantasyhockey/players/playerpage/369001/zbynek-michalek" TargetMode="External"/><Relationship Id="rId34" Type="http://schemas.openxmlformats.org/officeDocument/2006/relationships/hyperlink" Target="http://www.cbssports.com/fantasyhockey/players/playerpage/2076027/nathan-mackinnon" TargetMode="External"/><Relationship Id="rId76" Type="http://schemas.openxmlformats.org/officeDocument/2006/relationships/hyperlink" Target="http://www.cbssports.com/fantasyhockey/players/playerpage/19630/matt-cullen" TargetMode="External"/><Relationship Id="rId141" Type="http://schemas.openxmlformats.org/officeDocument/2006/relationships/hyperlink" Target="http://www.cbssports.com/fantasyhockey/players/playerpage/1771009/chris-vandevelde" TargetMode="External"/><Relationship Id="rId379" Type="http://schemas.openxmlformats.org/officeDocument/2006/relationships/hyperlink" Target="http://www.cbssports.com/fantasyhockey/players/playerpage/1286087/anton-stralman" TargetMode="External"/><Relationship Id="rId7" Type="http://schemas.openxmlformats.org/officeDocument/2006/relationships/hyperlink" Target="http://www.cbssports.com/fantasyhockey/players/playerpage/273557/jason-spezza" TargetMode="External"/><Relationship Id="rId183" Type="http://schemas.openxmlformats.org/officeDocument/2006/relationships/hyperlink" Target="http://www.cbssports.com/fantasyhockey/players/playerpage/1897597/cam-atkinson" TargetMode="External"/><Relationship Id="rId239" Type="http://schemas.openxmlformats.org/officeDocument/2006/relationships/hyperlink" Target="http://www.cbssports.com/fantasyhockey/players/playerpage/2054434/dmitrij-jaskin" TargetMode="External"/><Relationship Id="rId390" Type="http://schemas.openxmlformats.org/officeDocument/2006/relationships/hyperlink" Target="http://www.cbssports.com/fantasyhockey/players/playerpage/346966/trevor-daley" TargetMode="External"/><Relationship Id="rId404" Type="http://schemas.openxmlformats.org/officeDocument/2006/relationships/hyperlink" Target="http://www.cbssports.com/fantasyhockey/players/playerpage/565841/mark-streit" TargetMode="External"/><Relationship Id="rId446" Type="http://schemas.openxmlformats.org/officeDocument/2006/relationships/hyperlink" Target="http://www.cbssports.com/fantasyhockey/players/playerpage/1769706/jordie-benn" TargetMode="External"/><Relationship Id="rId250" Type="http://schemas.openxmlformats.org/officeDocument/2006/relationships/hyperlink" Target="http://www.cbssports.com/fantasyhockey/players/playerpage/272754/chris-thorburn" TargetMode="External"/><Relationship Id="rId292" Type="http://schemas.openxmlformats.org/officeDocument/2006/relationships/hyperlink" Target="http://www.cbssports.com/fantasyhockey/players/playerpage/1707461/tomas-tatar" TargetMode="External"/><Relationship Id="rId306" Type="http://schemas.openxmlformats.org/officeDocument/2006/relationships/hyperlink" Target="http://www.cbssports.com/fantasyhockey/players/playerpage/1134160/daniel-winnik" TargetMode="External"/><Relationship Id="rId488" Type="http://schemas.openxmlformats.org/officeDocument/2006/relationships/hyperlink" Target="http://www.cbssports.com/fantasyhockey/players/playerpage/2093843/chris-bigras" TargetMode="External"/><Relationship Id="rId45" Type="http://schemas.openxmlformats.org/officeDocument/2006/relationships/hyperlink" Target="http://www.cbssports.com/fantasyhockey/players/playerpage/1639405/adam-henrique" TargetMode="External"/><Relationship Id="rId87" Type="http://schemas.openxmlformats.org/officeDocument/2006/relationships/hyperlink" Target="http://www.cbssports.com/fantasyhockey/players/playerpage/2147297/jori-lehtera" TargetMode="External"/><Relationship Id="rId110" Type="http://schemas.openxmlformats.org/officeDocument/2006/relationships/hyperlink" Target="http://www.cbssports.com/fantasyhockey/players/playerpage/2093845/joseph-blandisi" TargetMode="External"/><Relationship Id="rId348" Type="http://schemas.openxmlformats.org/officeDocument/2006/relationships/hyperlink" Target="http://www.cbssports.com/fantasyhockey/players/playerpage/1286082/matt-hendricks" TargetMode="External"/><Relationship Id="rId152" Type="http://schemas.openxmlformats.org/officeDocument/2006/relationships/hyperlink" Target="http://www.cbssports.com/fantasyhockey/players/playerpage/368994/brooks-laich" TargetMode="External"/><Relationship Id="rId194" Type="http://schemas.openxmlformats.org/officeDocument/2006/relationships/hyperlink" Target="http://www.cbssports.com/fantasyhockey/players/playerpage/565839/alexander-radulov" TargetMode="External"/><Relationship Id="rId208" Type="http://schemas.openxmlformats.org/officeDocument/2006/relationships/hyperlink" Target="http://www.cbssports.com/fantasyhockey/players/playerpage/273354/jordin-tootoo" TargetMode="External"/><Relationship Id="rId415" Type="http://schemas.openxmlformats.org/officeDocument/2006/relationships/hyperlink" Target="http://www.cbssports.com/fantasyhockey/players/playerpage/1282431/niklas-hjalmarsson" TargetMode="External"/><Relationship Id="rId457" Type="http://schemas.openxmlformats.org/officeDocument/2006/relationships/hyperlink" Target="http://www.cbssports.com/fantasyhockey/players/playerpage/435220/paul-martin" TargetMode="External"/><Relationship Id="rId240" Type="http://schemas.openxmlformats.org/officeDocument/2006/relationships/hyperlink" Target="http://www.cbssports.com/fantasyhockey/players/playerpage/2094638/miikka-salomaki" TargetMode="External"/><Relationship Id="rId261" Type="http://schemas.openxmlformats.org/officeDocument/2006/relationships/hyperlink" Target="http://www.cbssports.com/fantasyhockey/players/playerpage/151203/daniel-sedin" TargetMode="External"/><Relationship Id="rId478" Type="http://schemas.openxmlformats.org/officeDocument/2006/relationships/hyperlink" Target="http://www.cbssports.com/fantasyhockey/players/playerpage/565680/jakub-kindl" TargetMode="External"/><Relationship Id="rId499" Type="http://schemas.openxmlformats.org/officeDocument/2006/relationships/hyperlink" Target="http://www.cbssports.com/fantasyhockey/players/playerpage/2094782/petter-granberg" TargetMode="External"/><Relationship Id="rId14" Type="http://schemas.openxmlformats.org/officeDocument/2006/relationships/hyperlink" Target="http://www.cbssports.com/fantasyhockey/players/playerpage/434820/jeff-carter" TargetMode="External"/><Relationship Id="rId35" Type="http://schemas.openxmlformats.org/officeDocument/2006/relationships/hyperlink" Target="http://www.cbssports.com/fantasyhockey/players/playerpage/1899132/rickard-rakell" TargetMode="External"/><Relationship Id="rId56" Type="http://schemas.openxmlformats.org/officeDocument/2006/relationships/hyperlink" Target="http://www.cbssports.com/fantasyhockey/players/playerpage/1134138/frans-nielsen" TargetMode="External"/><Relationship Id="rId77" Type="http://schemas.openxmlformats.org/officeDocument/2006/relationships/hyperlink" Target="http://www.cbssports.com/fantasyhockey/players/playerpage/566179/valtteri-filppula" TargetMode="External"/><Relationship Id="rId100" Type="http://schemas.openxmlformats.org/officeDocument/2006/relationships/hyperlink" Target="http://www.cbssports.com/fantasyhockey/players/playerpage/1280611/brandon-sutter" TargetMode="External"/><Relationship Id="rId282" Type="http://schemas.openxmlformats.org/officeDocument/2006/relationships/hyperlink" Target="http://www.cbssports.com/fantasyhockey/players/playerpage/1897686/jonathan-huberdeau" TargetMode="External"/><Relationship Id="rId317" Type="http://schemas.openxmlformats.org/officeDocument/2006/relationships/hyperlink" Target="http://www.cbssports.com/fantasyhockey/players/playerpage/1133424/milan-lucic" TargetMode="External"/><Relationship Id="rId338" Type="http://schemas.openxmlformats.org/officeDocument/2006/relationships/hyperlink" Target="http://www.cbssports.com/fantasyhockey/players/playerpage/1776606/brandon-bollig" TargetMode="External"/><Relationship Id="rId359" Type="http://schemas.openxmlformats.org/officeDocument/2006/relationships/hyperlink" Target="http://www.cbssports.com/fantasyhockey/players/playerpage/1282455/pk-subban" TargetMode="External"/><Relationship Id="rId503" Type="http://schemas.openxmlformats.org/officeDocument/2006/relationships/hyperlink" Target="http://www.cbssports.com/fantasyhockey/players/playerpage/2040002/jonas-brodin" TargetMode="External"/><Relationship Id="rId8" Type="http://schemas.openxmlformats.org/officeDocument/2006/relationships/hyperlink" Target="http://www.cbssports.com/fantasyhockey/players/playerpage/1685406/john-tavares" TargetMode="External"/><Relationship Id="rId98" Type="http://schemas.openxmlformats.org/officeDocument/2006/relationships/hyperlink" Target="http://www.cbssports.com/fantasyhockey/players/playerpage/565675/darren-helm" TargetMode="External"/><Relationship Id="rId121" Type="http://schemas.openxmlformats.org/officeDocument/2006/relationships/hyperlink" Target="http://www.cbssports.com/fantasyhockey/players/playerpage/433607/brad-richardson" TargetMode="External"/><Relationship Id="rId142" Type="http://schemas.openxmlformats.org/officeDocument/2006/relationships/hyperlink" Target="http://www.cbssports.com/fantasyhockey/players/playerpage/2147184/william-karlsson" TargetMode="External"/><Relationship Id="rId163" Type="http://schemas.openxmlformats.org/officeDocument/2006/relationships/hyperlink" Target="http://www.cbssports.com/fantasyhockey/players/playerpage/1280617/jakub-voracek" TargetMode="External"/><Relationship Id="rId184" Type="http://schemas.openxmlformats.org/officeDocument/2006/relationships/hyperlink" Target="http://www.cbssports.com/fantasyhockey/players/playerpage/274306/joel-ward" TargetMode="External"/><Relationship Id="rId219" Type="http://schemas.openxmlformats.org/officeDocument/2006/relationships/hyperlink" Target="http://www.cbssports.com/fantasyhockey/players/playerpage/2245503/patrik-laine" TargetMode="External"/><Relationship Id="rId370" Type="http://schemas.openxmlformats.org/officeDocument/2006/relationships/hyperlink" Target="http://www.cbssports.com/fantasyhockey/players/playerpage/1628806/drew-doughty" TargetMode="External"/><Relationship Id="rId391" Type="http://schemas.openxmlformats.org/officeDocument/2006/relationships/hyperlink" Target="http://www.cbssports.com/fantasyhockey/players/playerpage/565842/ryan-suter" TargetMode="External"/><Relationship Id="rId405" Type="http://schemas.openxmlformats.org/officeDocument/2006/relationships/hyperlink" Target="http://www.cbssports.com/fantasyhockey/players/playerpage/1228267/erik-johnson" TargetMode="External"/><Relationship Id="rId426" Type="http://schemas.openxmlformats.org/officeDocument/2006/relationships/hyperlink" Target="http://www.cbssports.com/fantasyhockey/players/playerpage/1770879/justin-braun" TargetMode="External"/><Relationship Id="rId447" Type="http://schemas.openxmlformats.org/officeDocument/2006/relationships/hyperlink" Target="http://www.cbssports.com/fantasyhockey/players/playerpage/2198314/ben-hutton" TargetMode="External"/><Relationship Id="rId230" Type="http://schemas.openxmlformats.org/officeDocument/2006/relationships/hyperlink" Target="http://www.cbssports.com/fantasyhockey/players/playerpage/1133489/chris-stewart" TargetMode="External"/><Relationship Id="rId251" Type="http://schemas.openxmlformats.org/officeDocument/2006/relationships/hyperlink" Target="http://www.cbssports.com/fantasyhockey/players/playerpage/2038300/beau-bennett" TargetMode="External"/><Relationship Id="rId468" Type="http://schemas.openxmlformats.org/officeDocument/2006/relationships/hyperlink" Target="http://www.cbssports.com/fantasyhockey/players/playerpage/1282429/alex-goligoski" TargetMode="External"/><Relationship Id="rId489" Type="http://schemas.openxmlformats.org/officeDocument/2006/relationships/hyperlink" Target="http://www.cbssports.com/fantasyhockey/players/playerpage/205123/nick-schultz" TargetMode="External"/><Relationship Id="rId25" Type="http://schemas.openxmlformats.org/officeDocument/2006/relationships/hyperlink" Target="http://www.cbssports.com/fantasyhockey/players/playerpage/2178633/connor-mcdavid" TargetMode="External"/><Relationship Id="rId46" Type="http://schemas.openxmlformats.org/officeDocument/2006/relationships/hyperlink" Target="http://www.cbssports.com/fantasyhockey/players/playerpage/152183/mike-ribeiro" TargetMode="External"/><Relationship Id="rId67" Type="http://schemas.openxmlformats.org/officeDocument/2006/relationships/hyperlink" Target="http://www.cbssports.com/fantasyhockey/players/playerpage/1134156/carl-soderberg" TargetMode="External"/><Relationship Id="rId272" Type="http://schemas.openxmlformats.org/officeDocument/2006/relationships/hyperlink" Target="http://www.cbssports.com/fantasyhockey/players/playerpage/1897704/gabriel-landeskog" TargetMode="External"/><Relationship Id="rId293" Type="http://schemas.openxmlformats.org/officeDocument/2006/relationships/hyperlink" Target="http://www.cbssports.com/fantasyhockey/players/playerpage/566127/benoit-pouliot" TargetMode="External"/><Relationship Id="rId307" Type="http://schemas.openxmlformats.org/officeDocument/2006/relationships/hyperlink" Target="http://www.cbssports.com/fantasyhockey/players/playerpage/565429/thomas-vanek" TargetMode="External"/><Relationship Id="rId328" Type="http://schemas.openxmlformats.org/officeDocument/2006/relationships/hyperlink" Target="http://www.cbssports.com/fantasyhockey/players/playerpage/1282478/mason-raymond" TargetMode="External"/><Relationship Id="rId349" Type="http://schemas.openxmlformats.org/officeDocument/2006/relationships/hyperlink" Target="http://www.cbssports.com/fantasyhockey/players/playerpage/2147476/nick-paul" TargetMode="External"/><Relationship Id="rId88" Type="http://schemas.openxmlformats.org/officeDocument/2006/relationships/hyperlink" Target="http://www.cbssports.com/fantasyhockey/players/playerpage/2000655/radek-faksa" TargetMode="External"/><Relationship Id="rId111" Type="http://schemas.openxmlformats.org/officeDocument/2006/relationships/hyperlink" Target="http://www.cbssports.com/fantasyhockey/players/playerpage/2094579/erik-haula" TargetMode="External"/><Relationship Id="rId132" Type="http://schemas.openxmlformats.org/officeDocument/2006/relationships/hyperlink" Target="http://www.cbssports.com/fantasyhockey/players/playerpage/2094558/laurent-dauphin" TargetMode="External"/><Relationship Id="rId153" Type="http://schemas.openxmlformats.org/officeDocument/2006/relationships/hyperlink" Target="http://www.cbssports.com/fantasyhockey/players/playerpage/1240390/patrick-kane" TargetMode="External"/><Relationship Id="rId174" Type="http://schemas.openxmlformats.org/officeDocument/2006/relationships/hyperlink" Target="http://www.cbssports.com/fantasyhockey/players/playerpage/565257/bobby-ryan" TargetMode="External"/><Relationship Id="rId195" Type="http://schemas.openxmlformats.org/officeDocument/2006/relationships/hyperlink" Target="http://www.cbssports.com/fantasyhockey/players/playerpage/1493839/kyle-okposo" TargetMode="External"/><Relationship Id="rId209" Type="http://schemas.openxmlformats.org/officeDocument/2006/relationships/hyperlink" Target="http://www.cbssports.com/fantasyhockey/players/playerpage/1961381/jt-brown" TargetMode="External"/><Relationship Id="rId360" Type="http://schemas.openxmlformats.org/officeDocument/2006/relationships/hyperlink" Target="http://www.cbssports.com/fantasyhockey/players/playerpage/1639364/john-carlson" TargetMode="External"/><Relationship Id="rId381" Type="http://schemas.openxmlformats.org/officeDocument/2006/relationships/hyperlink" Target="http://www.cbssports.com/fantasyhockey/players/playerpage/204657/andrei-markov" TargetMode="External"/><Relationship Id="rId416" Type="http://schemas.openxmlformats.org/officeDocument/2006/relationships/hyperlink" Target="http://www.cbssports.com/fantasyhockey/players/playerpage/2000653/cody-ceci" TargetMode="External"/><Relationship Id="rId220" Type="http://schemas.openxmlformats.org/officeDocument/2006/relationships/hyperlink" Target="http://www.cbssports.com/fantasyhockey/players/playerpage/1285575/torrey-mitchell" TargetMode="External"/><Relationship Id="rId241" Type="http://schemas.openxmlformats.org/officeDocument/2006/relationships/hyperlink" Target="http://www.cbssports.com/fantasyhockey/players/playerpage/1707418/zack-kassian" TargetMode="External"/><Relationship Id="rId437" Type="http://schemas.openxmlformats.org/officeDocument/2006/relationships/hyperlink" Target="http://www.cbssports.com/fantasyhockey/players/playerpage/1770919/radko-gudas" TargetMode="External"/><Relationship Id="rId458" Type="http://schemas.openxmlformats.org/officeDocument/2006/relationships/hyperlink" Target="http://www.cbssports.com/fantasyhockey/players/playerpage/1897719/brandon-manning" TargetMode="External"/><Relationship Id="rId479" Type="http://schemas.openxmlformats.org/officeDocument/2006/relationships/hyperlink" Target="http://www.cbssports.com/fantasyhockey/players/playerpage/1707435/john-moore" TargetMode="External"/><Relationship Id="rId15" Type="http://schemas.openxmlformats.org/officeDocument/2006/relationships/hyperlink" Target="http://www.cbssports.com/fantasyhockey/players/playerpage/1133596/david-krejci" TargetMode="External"/><Relationship Id="rId36" Type="http://schemas.openxmlformats.org/officeDocument/2006/relationships/hyperlink" Target="http://www.cbssports.com/fantasyhockey/players/playerpage/1707417/nazem-kadri" TargetMode="External"/><Relationship Id="rId57" Type="http://schemas.openxmlformats.org/officeDocument/2006/relationships/hyperlink" Target="http://www.cbssports.com/fantasyhockey/players/playerpage/1707441/ryan-oreilly" TargetMode="External"/><Relationship Id="rId262" Type="http://schemas.openxmlformats.org/officeDocument/2006/relationships/hyperlink" Target="http://www.cbssports.com/fantasyhockey/players/playerpage/367818/alexander-steen" TargetMode="External"/><Relationship Id="rId283" Type="http://schemas.openxmlformats.org/officeDocument/2006/relationships/hyperlink" Target="http://www.cbssports.com/fantasyhockey/players/playerpage/1897689/boone-jenner" TargetMode="External"/><Relationship Id="rId318" Type="http://schemas.openxmlformats.org/officeDocument/2006/relationships/hyperlink" Target="http://www.cbssports.com/fantasyhockey/players/playerpage/1897611/reid-boucher" TargetMode="External"/><Relationship Id="rId339" Type="http://schemas.openxmlformats.org/officeDocument/2006/relationships/hyperlink" Target="http://www.cbssports.com/fantasyhockey/players/playerpage/1280586/patrick-maroon" TargetMode="External"/><Relationship Id="rId490" Type="http://schemas.openxmlformats.org/officeDocument/2006/relationships/hyperlink" Target="http://www.cbssports.com/fantasyhockey/players/playerpage/1286415/matt-hunwick" TargetMode="External"/><Relationship Id="rId504" Type="http://schemas.openxmlformats.org/officeDocument/2006/relationships/hyperlink" Target="http://www.cbssports.com/fantasyhockey/players/playerpage/2038918/jake-mccabe" TargetMode="External"/><Relationship Id="rId78" Type="http://schemas.openxmlformats.org/officeDocument/2006/relationships/hyperlink" Target="http://www.cbssports.com/fantasyhockey/players/playerpage/2197831/mattias-janmark" TargetMode="External"/><Relationship Id="rId99" Type="http://schemas.openxmlformats.org/officeDocument/2006/relationships/hyperlink" Target="http://www.cbssports.com/fantasyhockey/players/playerpage/2041394/charlie-coyle" TargetMode="External"/><Relationship Id="rId101" Type="http://schemas.openxmlformats.org/officeDocument/2006/relationships/hyperlink" Target="http://www.cbssports.com/fantasyhockey/players/playerpage/151109/chris-kelly" TargetMode="External"/><Relationship Id="rId122" Type="http://schemas.openxmlformats.org/officeDocument/2006/relationships/hyperlink" Target="http://www.cbssports.com/fantasyhockey/players/playerpage/2147494/dennis-rasmussen" TargetMode="External"/><Relationship Id="rId143" Type="http://schemas.openxmlformats.org/officeDocument/2006/relationships/hyperlink" Target="http://www.cbssports.com/fantasyhockey/players/playerpage/2198225/sergey-kalinin" TargetMode="External"/><Relationship Id="rId164" Type="http://schemas.openxmlformats.org/officeDocument/2006/relationships/hyperlink" Target="http://www.cbssports.com/fantasyhockey/players/playerpage/1771071/brendan-gallagher" TargetMode="External"/><Relationship Id="rId185" Type="http://schemas.openxmlformats.org/officeDocument/2006/relationships/hyperlink" Target="http://www.cbssports.com/fantasyhockey/players/playerpage/273213/ales-hemsky" TargetMode="External"/><Relationship Id="rId350" Type="http://schemas.openxmlformats.org/officeDocument/2006/relationships/hyperlink" Target="http://www.cbssports.com/fantasyhockey/players/playerpage/2043047/johan-larsson" TargetMode="External"/><Relationship Id="rId371" Type="http://schemas.openxmlformats.org/officeDocument/2006/relationships/hyperlink" Target="http://www.cbssports.com/fantasyhockey/players/playerpage/435155/mark-giordano" TargetMode="External"/><Relationship Id="rId406" Type="http://schemas.openxmlformats.org/officeDocument/2006/relationships/hyperlink" Target="http://www.cbssports.com/fantasyhockey/players/playerpage/583339/kevin-bieksa" TargetMode="External"/><Relationship Id="rId9" Type="http://schemas.openxmlformats.org/officeDocument/2006/relationships/hyperlink" Target="http://www.cbssports.com/fantasyhockey/players/playerpage/1133460/nicklas-backstrom" TargetMode="External"/><Relationship Id="rId210" Type="http://schemas.openxmlformats.org/officeDocument/2006/relationships/hyperlink" Target="http://www.cbssports.com/fantasyhockey/players/playerpage/433636/dustin-brown" TargetMode="External"/><Relationship Id="rId392" Type="http://schemas.openxmlformats.org/officeDocument/2006/relationships/hyperlink" Target="http://www.cbssports.com/fantasyhockey/players/playerpage/2000665/hampus-lindholm" TargetMode="External"/><Relationship Id="rId427" Type="http://schemas.openxmlformats.org/officeDocument/2006/relationships/hyperlink" Target="http://www.cbssports.com/fantasyhockey/players/playerpage/273550/brooks-orpik" TargetMode="External"/><Relationship Id="rId448" Type="http://schemas.openxmlformats.org/officeDocument/2006/relationships/hyperlink" Target="http://www.cbssports.com/fantasyhockey/players/playerpage/1770992/brendan-smith" TargetMode="External"/><Relationship Id="rId469" Type="http://schemas.openxmlformats.org/officeDocument/2006/relationships/hyperlink" Target="http://www.cbssports.com/fantasyhockey/players/playerpage/2094539/anthony-bitetto" TargetMode="External"/><Relationship Id="rId26" Type="http://schemas.openxmlformats.org/officeDocument/2006/relationships/hyperlink" Target="http://www.cbssports.com/fantasyhockey/players/playerpage/1707454/brayden-schenn" TargetMode="External"/><Relationship Id="rId231" Type="http://schemas.openxmlformats.org/officeDocument/2006/relationships/hyperlink" Target="http://www.cbssports.com/fantasyhockey/players/playerpage/204694/chris-neil" TargetMode="External"/><Relationship Id="rId252" Type="http://schemas.openxmlformats.org/officeDocument/2006/relationships/hyperlink" Target="http://www.cbssports.com/fantasyhockey/players/playerpage/1639346/jamie-benn" TargetMode="External"/><Relationship Id="rId273" Type="http://schemas.openxmlformats.org/officeDocument/2006/relationships/hyperlink" Target="http://www.cbssports.com/fantasyhockey/players/playerpage/1771123/marcus-johansson" TargetMode="External"/><Relationship Id="rId294" Type="http://schemas.openxmlformats.org/officeDocument/2006/relationships/hyperlink" Target="http://www.cbssports.com/fantasyhockey/players/playerpage/2260805/jimmy-vesey" TargetMode="External"/><Relationship Id="rId308" Type="http://schemas.openxmlformats.org/officeDocument/2006/relationships/hyperlink" Target="http://www.cbssports.com/fantasyhockey/players/playerpage/2147081/sam-bennett" TargetMode="External"/><Relationship Id="rId329" Type="http://schemas.openxmlformats.org/officeDocument/2006/relationships/hyperlink" Target="http://www.cbssports.com/fantasyhockey/players/playerpage/2094796/matt-nieto" TargetMode="External"/><Relationship Id="rId480" Type="http://schemas.openxmlformats.org/officeDocument/2006/relationships/hyperlink" Target="http://www.cbssports.com/fantasyhockey/players/playerpage/1769723/dalton-prout" TargetMode="External"/><Relationship Id="rId47" Type="http://schemas.openxmlformats.org/officeDocument/2006/relationships/hyperlink" Target="http://www.cbssports.com/fantasyhockey/players/playerpage/1639481/zack-smith" TargetMode="External"/><Relationship Id="rId68" Type="http://schemas.openxmlformats.org/officeDocument/2006/relationships/hyperlink" Target="http://www.cbssports.com/fantasyhockey/players/playerpage/2147141/leon-draisaitl" TargetMode="External"/><Relationship Id="rId89" Type="http://schemas.openxmlformats.org/officeDocument/2006/relationships/hyperlink" Target="http://www.cbssports.com/fantasyhockey/players/playerpage/1282417/patrik-berglund" TargetMode="External"/><Relationship Id="rId112" Type="http://schemas.openxmlformats.org/officeDocument/2006/relationships/hyperlink" Target="http://www.cbssports.com/fantasyhockey/players/playerpage/1897598/jonathan-marchessault" TargetMode="External"/><Relationship Id="rId133" Type="http://schemas.openxmlformats.org/officeDocument/2006/relationships/hyperlink" Target="http://www.cbssports.com/fantasyhockey/players/playerpage/1713505/mark-letestu" TargetMode="External"/><Relationship Id="rId154" Type="http://schemas.openxmlformats.org/officeDocument/2006/relationships/hyperlink" Target="http://www.cbssports.com/fantasyhockey/players/playerpage/2094594/nikita-kucherov" TargetMode="External"/><Relationship Id="rId175" Type="http://schemas.openxmlformats.org/officeDocument/2006/relationships/hyperlink" Target="http://www.cbssports.com/fantasyhockey/players/playerpage/2147516/nick-schmaltz" TargetMode="External"/><Relationship Id="rId340" Type="http://schemas.openxmlformats.org/officeDocument/2006/relationships/hyperlink" Target="http://www.cbssports.com/fantasyhockey/players/playerpage/2147137/phil-di-giuseppe" TargetMode="External"/><Relationship Id="rId361" Type="http://schemas.openxmlformats.org/officeDocument/2006/relationships/hyperlink" Target="http://www.cbssports.com/fantasyhockey/players/playerpage/1770931/roman-josi" TargetMode="External"/><Relationship Id="rId196" Type="http://schemas.openxmlformats.org/officeDocument/2006/relationships/hyperlink" Target="http://www.cbssports.com/fantasyhockey/players/playerpage/2145886/kevin-hayes" TargetMode="External"/><Relationship Id="rId200" Type="http://schemas.openxmlformats.org/officeDocument/2006/relationships/hyperlink" Target="http://www.cbssports.com/fantasyhockey/players/playerpage/1133619/drew-stafford" TargetMode="External"/><Relationship Id="rId382" Type="http://schemas.openxmlformats.org/officeDocument/2006/relationships/hyperlink" Target="http://www.cbssports.com/fantasyhockey/players/playerpage/1757711/ryan-mcdonagh" TargetMode="External"/><Relationship Id="rId417" Type="http://schemas.openxmlformats.org/officeDocument/2006/relationships/hyperlink" Target="http://www.cbssports.com/fantasyhockey/players/playerpage/1639719/nick-holden" TargetMode="External"/><Relationship Id="rId438" Type="http://schemas.openxmlformats.org/officeDocument/2006/relationships/hyperlink" Target="http://www.cbssports.com/fantasyhockey/players/playerpage/347842/jay-bouwmeester" TargetMode="External"/><Relationship Id="rId459" Type="http://schemas.openxmlformats.org/officeDocument/2006/relationships/hyperlink" Target="http://www.cbssports.com/fantasyhockey/players/playerpage/2000669/ryan-murray" TargetMode="External"/><Relationship Id="rId16" Type="http://schemas.openxmlformats.org/officeDocument/2006/relationships/hyperlink" Target="http://www.cbssports.com/fantasyhockey/players/playerpage/2119761/evgeny-kuznetsov" TargetMode="External"/><Relationship Id="rId221" Type="http://schemas.openxmlformats.org/officeDocument/2006/relationships/hyperlink" Target="http://www.cbssports.com/fantasyhockey/players/playerpage/1707567/tyler-randell" TargetMode="External"/><Relationship Id="rId242" Type="http://schemas.openxmlformats.org/officeDocument/2006/relationships/hyperlink" Target="http://www.cbssports.com/fantasyhockey/players/playerpage/1639479/colton-sceviour" TargetMode="External"/><Relationship Id="rId263" Type="http://schemas.openxmlformats.org/officeDocument/2006/relationships/hyperlink" Target="http://www.cbssports.com/fantasyhockey/players/playerpage/1628803/mikkel-boedker" TargetMode="External"/><Relationship Id="rId284" Type="http://schemas.openxmlformats.org/officeDocument/2006/relationships/hyperlink" Target="http://www.cbssports.com/fantasyhockey/players/playerpage/1770990/jeff-skinner" TargetMode="External"/><Relationship Id="rId319" Type="http://schemas.openxmlformats.org/officeDocument/2006/relationships/hyperlink" Target="http://www.cbssports.com/fantasyhockey/players/playerpage/2146553/viktor-arvidsson" TargetMode="External"/><Relationship Id="rId470" Type="http://schemas.openxmlformats.org/officeDocument/2006/relationships/hyperlink" Target="http://www.cbssports.com/fantasyhockey/players/playerpage/274294/rob-scuderi" TargetMode="External"/><Relationship Id="rId491" Type="http://schemas.openxmlformats.org/officeDocument/2006/relationships/hyperlink" Target="http://www.cbssports.com/fantasyhockey/players/playerpage/1770870/alex-biega" TargetMode="External"/><Relationship Id="rId505" Type="http://schemas.openxmlformats.org/officeDocument/2006/relationships/hyperlink" Target="http://www.cbssports.com/fantasyhockey/players/playerpage/2094405/jyrki-jokipakka" TargetMode="External"/><Relationship Id="rId37" Type="http://schemas.openxmlformats.org/officeDocument/2006/relationships/hyperlink" Target="http://www.cbssports.com/fantasyhockey/players/playerpage/151204/henrik-sedin" TargetMode="External"/><Relationship Id="rId58" Type="http://schemas.openxmlformats.org/officeDocument/2006/relationships/hyperlink" Target="http://www.cbssports.com/fantasyhockey/players/playerpage/2076018/max-domi" TargetMode="External"/><Relationship Id="rId79" Type="http://schemas.openxmlformats.org/officeDocument/2006/relationships/hyperlink" Target="http://www.cbssports.com/fantasyhockey/players/playerpage/1897737/vladislav-namestnikov" TargetMode="External"/><Relationship Id="rId102" Type="http://schemas.openxmlformats.org/officeDocument/2006/relationships/hyperlink" Target="http://www.cbssports.com/fantasyhockey/players/playerpage/2147185/melker-karlsson" TargetMode="External"/><Relationship Id="rId123" Type="http://schemas.openxmlformats.org/officeDocument/2006/relationships/hyperlink" Target="http://www.cbssports.com/fantasyhockey/players/playerpage/2094056/cedric-paquette" TargetMode="External"/><Relationship Id="rId144" Type="http://schemas.openxmlformats.org/officeDocument/2006/relationships/hyperlink" Target="http://www.cbssports.com/fantasyhockey/players/playerpage/2094573/markus-granlund" TargetMode="External"/><Relationship Id="rId330" Type="http://schemas.openxmlformats.org/officeDocument/2006/relationships/hyperlink" Target="http://www.cbssports.com/fantasyhockey/players/playerpage/1280578/dwight-king" TargetMode="External"/><Relationship Id="rId90" Type="http://schemas.openxmlformats.org/officeDocument/2006/relationships/hyperlink" Target="http://www.cbssports.com/fantasyhockey/players/playerpage/20424/mike-fisher" TargetMode="External"/><Relationship Id="rId165" Type="http://schemas.openxmlformats.org/officeDocument/2006/relationships/hyperlink" Target="http://www.cbssports.com/fantasyhockey/players/playerpage/1628812/tj-oshie" TargetMode="External"/><Relationship Id="rId186" Type="http://schemas.openxmlformats.org/officeDocument/2006/relationships/hyperlink" Target="http://www.cbssports.com/fantasyhockey/players/playerpage/1960631/reilly-smith" TargetMode="External"/><Relationship Id="rId351" Type="http://schemas.openxmlformats.org/officeDocument/2006/relationships/hyperlink" Target="http://www.cbssports.com/fantasyhockey/players/playerpage/1707857/viktor-stalberg" TargetMode="External"/><Relationship Id="rId372" Type="http://schemas.openxmlformats.org/officeDocument/2006/relationships/hyperlink" Target="http://www.cbssports.com/fantasyhockey/players/playerpage/1960399/torey-krug" TargetMode="External"/><Relationship Id="rId393" Type="http://schemas.openxmlformats.org/officeDocument/2006/relationships/hyperlink" Target="http://www.cbssports.com/fantasyhockey/players/playerpage/1282446/matt-niskanen" TargetMode="External"/><Relationship Id="rId407" Type="http://schemas.openxmlformats.org/officeDocument/2006/relationships/hyperlink" Target="http://www.cbssports.com/fantasyhockey/players/playerpage/346965/johnny-boychuk" TargetMode="External"/><Relationship Id="rId428" Type="http://schemas.openxmlformats.org/officeDocument/2006/relationships/hyperlink" Target="http://www.cbssports.com/fantasyhockey/players/playerpage/1639513/jason-demers" TargetMode="External"/><Relationship Id="rId449" Type="http://schemas.openxmlformats.org/officeDocument/2006/relationships/hyperlink" Target="http://www.cbssports.com/fantasyhockey/players/playerpage/565398/adam-mcquaid" TargetMode="External"/><Relationship Id="rId211" Type="http://schemas.openxmlformats.org/officeDocument/2006/relationships/hyperlink" Target="http://www.cbssports.com/fantasyhockey/players/playerpage/1707443/richard-panik" TargetMode="External"/><Relationship Id="rId232" Type="http://schemas.openxmlformats.org/officeDocument/2006/relationships/hyperlink" Target="http://www.cbssports.com/fantasyhockey/players/playerpage/2076025/curtis-lazar" TargetMode="External"/><Relationship Id="rId253" Type="http://schemas.openxmlformats.org/officeDocument/2006/relationships/hyperlink" Target="http://www.cbssports.com/fantasyhockey/players/playerpage/559829/alex-ovechkin" TargetMode="External"/><Relationship Id="rId274" Type="http://schemas.openxmlformats.org/officeDocument/2006/relationships/hyperlink" Target="http://www.cbssports.com/fantasyhockey/players/playerpage/565239/andrew-ladd" TargetMode="External"/><Relationship Id="rId295" Type="http://schemas.openxmlformats.org/officeDocument/2006/relationships/hyperlink" Target="http://www.cbssports.com/fantasyhockey/players/playerpage/1778767/jaden-schwartz" TargetMode="External"/><Relationship Id="rId309" Type="http://schemas.openxmlformats.org/officeDocument/2006/relationships/hyperlink" Target="http://www.cbssports.com/fantasyhockey/players/playerpage/1133703/nick-foligno" TargetMode="External"/><Relationship Id="rId460" Type="http://schemas.openxmlformats.org/officeDocument/2006/relationships/hyperlink" Target="http://www.cbssports.com/fantasyhockey/players/playerpage/1892908/alexei-emelin" TargetMode="External"/><Relationship Id="rId481" Type="http://schemas.openxmlformats.org/officeDocument/2006/relationships/hyperlink" Target="http://www.cbssports.com/fantasyhockey/players/playerpage/1899078/frank-corrado" TargetMode="External"/><Relationship Id="rId27" Type="http://schemas.openxmlformats.org/officeDocument/2006/relationships/hyperlink" Target="http://www.cbssports.com/fantasyhockey/players/playerpage/2000657/alex-galchenyuk" TargetMode="External"/><Relationship Id="rId48" Type="http://schemas.openxmlformats.org/officeDocument/2006/relationships/hyperlink" Target="http://www.cbssports.com/fantasyhockey/players/playerpage/2147285/robby-fabbri" TargetMode="External"/><Relationship Id="rId69" Type="http://schemas.openxmlformats.org/officeDocument/2006/relationships/hyperlink" Target="http://www.cbssports.com/fantasyhockey/players/playerpage/2094401/seth-griffith" TargetMode="External"/><Relationship Id="rId113" Type="http://schemas.openxmlformats.org/officeDocument/2006/relationships/hyperlink" Target="http://www.cbssports.com/fantasyhockey/players/playerpage/1899096/tyler-graovac" TargetMode="External"/><Relationship Id="rId134" Type="http://schemas.openxmlformats.org/officeDocument/2006/relationships/hyperlink" Target="http://www.cbssports.com/fantasyhockey/players/playerpage/1133593/stephen-gionta" TargetMode="External"/><Relationship Id="rId320" Type="http://schemas.openxmlformats.org/officeDocument/2006/relationships/hyperlink" Target="http://www.cbssports.com/fantasyhockey/players/playerpage/152286/jason-chimera" TargetMode="External"/><Relationship Id="rId80" Type="http://schemas.openxmlformats.org/officeDocument/2006/relationships/hyperlink" Target="http://www.cbssports.com/fantasyhockey/players/playerpage/1770889/joe-colborne" TargetMode="External"/><Relationship Id="rId155" Type="http://schemas.openxmlformats.org/officeDocument/2006/relationships/hyperlink" Target="http://www.cbssports.com/fantasyhockey/players/playerpage/1133422/phil-kessel" TargetMode="External"/><Relationship Id="rId176" Type="http://schemas.openxmlformats.org/officeDocument/2006/relationships/hyperlink" Target="http://www.cbssports.com/fantasyhockey/players/playerpage/19368/shane-doan" TargetMode="External"/><Relationship Id="rId197" Type="http://schemas.openxmlformats.org/officeDocument/2006/relationships/hyperlink" Target="http://www.cbssports.com/fantasyhockey/players/playerpage/205109/marian-gaborik" TargetMode="External"/><Relationship Id="rId341" Type="http://schemas.openxmlformats.org/officeDocument/2006/relationships/hyperlink" Target="http://www.cbssports.com/fantasyhockey/players/playerpage/1769712/micheal-ferland" TargetMode="External"/><Relationship Id="rId362" Type="http://schemas.openxmlformats.org/officeDocument/2006/relationships/hyperlink" Target="http://www.cbssports.com/fantasyhockey/players/playerpage/435185/duncan-keith" TargetMode="External"/><Relationship Id="rId383" Type="http://schemas.openxmlformats.org/officeDocument/2006/relationships/hyperlink" Target="http://www.cbssports.com/fantasyhockey/players/playerpage/1639463/alex-pietrangelo" TargetMode="External"/><Relationship Id="rId418" Type="http://schemas.openxmlformats.org/officeDocument/2006/relationships/hyperlink" Target="http://www.cbssports.com/fantasyhockey/players/playerpage/1897812/david-warsofsky" TargetMode="External"/><Relationship Id="rId439" Type="http://schemas.openxmlformats.org/officeDocument/2006/relationships/hyperlink" Target="http://www.cbssports.com/fantasyhockey/players/playerpage/2094815/chris-wideman" TargetMode="External"/><Relationship Id="rId201" Type="http://schemas.openxmlformats.org/officeDocument/2006/relationships/hyperlink" Target="http://www.cbssports.com/fantasyhockey/players/playerpage/2197818/joonas-donskoi" TargetMode="External"/><Relationship Id="rId222" Type="http://schemas.openxmlformats.org/officeDocument/2006/relationships/hyperlink" Target="http://www.cbssports.com/fantasyhockey/players/playerpage/2094564/jesper-fast" TargetMode="External"/><Relationship Id="rId243" Type="http://schemas.openxmlformats.org/officeDocument/2006/relationships/hyperlink" Target="http://www.cbssports.com/fantasyhockey/players/playerpage/274253/brian-gionta" TargetMode="External"/><Relationship Id="rId264" Type="http://schemas.openxmlformats.org/officeDocument/2006/relationships/hyperlink" Target="http://www.cbssports.com/fantasyhockey/players/playerpage/368971/michael-cammalleri" TargetMode="External"/><Relationship Id="rId285" Type="http://schemas.openxmlformats.org/officeDocument/2006/relationships/hyperlink" Target="http://www.cbssports.com/fantasyhockey/players/playerpage/151240/henrik-zetterberg" TargetMode="External"/><Relationship Id="rId450" Type="http://schemas.openxmlformats.org/officeDocument/2006/relationships/hyperlink" Target="http://www.cbssports.com/fantasyhockey/players/playerpage/433601/marc-methot" TargetMode="External"/><Relationship Id="rId471" Type="http://schemas.openxmlformats.org/officeDocument/2006/relationships/hyperlink" Target="http://www.cbssports.com/fantasyhockey/players/playerpage/1133591/jonathan-ericsson" TargetMode="External"/><Relationship Id="rId506" Type="http://schemas.openxmlformats.org/officeDocument/2006/relationships/hyperlink" Target="http://www.cbssports.com/fantasyhockey/players/playerpage/566407/mark-stuart" TargetMode="External"/><Relationship Id="rId17" Type="http://schemas.openxmlformats.org/officeDocument/2006/relationships/hyperlink" Target="http://www.cbssports.com/fantasyhockey/players/playerpage/19634/joe-thornton" TargetMode="External"/><Relationship Id="rId38" Type="http://schemas.openxmlformats.org/officeDocument/2006/relationships/hyperlink" Target="http://www.cbssports.com/fantasyhockey/players/playerpage/1133423/bryan-little" TargetMode="External"/><Relationship Id="rId59" Type="http://schemas.openxmlformats.org/officeDocument/2006/relationships/hyperlink" Target="http://www.cbssports.com/fantasyhockey/players/playerpage/1280555/mikael-backlund" TargetMode="External"/><Relationship Id="rId103" Type="http://schemas.openxmlformats.org/officeDocument/2006/relationships/hyperlink" Target="http://www.cbssports.com/fantasyhockey/players/playerpage/1282169/paul-byron" TargetMode="External"/><Relationship Id="rId124" Type="http://schemas.openxmlformats.org/officeDocument/2006/relationships/hyperlink" Target="http://www.cbssports.com/fantasyhockey/players/playerpage/1707933/andrew-desjardins" TargetMode="External"/><Relationship Id="rId310" Type="http://schemas.openxmlformats.org/officeDocument/2006/relationships/hyperlink" Target="http://www.cbssports.com/fantasyhockey/players/playerpage/1284625/andrew-cogliano" TargetMode="External"/><Relationship Id="rId492" Type="http://schemas.openxmlformats.org/officeDocument/2006/relationships/hyperlink" Target="http://www.cbssports.com/fantasyhockey/players/playerpage/2147652/brett-pesce" TargetMode="External"/><Relationship Id="rId70" Type="http://schemas.openxmlformats.org/officeDocument/2006/relationships/hyperlink" Target="http://www.cbssports.com/fantasyhockey/players/playerpage/1707849/tyler-bozak" TargetMode="External"/><Relationship Id="rId91" Type="http://schemas.openxmlformats.org/officeDocument/2006/relationships/hyperlink" Target="http://www.cbssports.com/fantasyhockey/players/playerpage/1707465/linden-vey" TargetMode="External"/><Relationship Id="rId145" Type="http://schemas.openxmlformats.org/officeDocument/2006/relationships/hyperlink" Target="http://www.cbssports.com/fantasyhockey/players/playerpage/152173/derek-mackenzie" TargetMode="External"/><Relationship Id="rId166" Type="http://schemas.openxmlformats.org/officeDocument/2006/relationships/hyperlink" Target="http://www.cbssports.com/fantasyhockey/players/playerpage/1771018/mats-zuccarello" TargetMode="External"/><Relationship Id="rId187" Type="http://schemas.openxmlformats.org/officeDocument/2006/relationships/hyperlink" Target="http://www.cbssports.com/fantasyhockey/players/playerpage/19096/jarome-iginla" TargetMode="External"/><Relationship Id="rId331" Type="http://schemas.openxmlformats.org/officeDocument/2006/relationships/hyperlink" Target="http://www.cbssports.com/fantasyhockey/players/playerpage/1639361/matt-calvert" TargetMode="External"/><Relationship Id="rId352" Type="http://schemas.openxmlformats.org/officeDocument/2006/relationships/hyperlink" Target="http://www.cbssports.com/fantasyhockey/players/playerpage/1137126/matt-moulson" TargetMode="External"/><Relationship Id="rId373" Type="http://schemas.openxmlformats.org/officeDocument/2006/relationships/hyperlink" Target="http://www.cbssports.com/fantasyhockey/players/playerpage/1770986/kevin-shattenkirk" TargetMode="External"/><Relationship Id="rId394" Type="http://schemas.openxmlformats.org/officeDocument/2006/relationships/hyperlink" Target="http://www.cbssports.com/fantasyhockey/players/playerpage/2000666/olli-maatta" TargetMode="External"/><Relationship Id="rId408" Type="http://schemas.openxmlformats.org/officeDocument/2006/relationships/hyperlink" Target="http://www.cbssports.com/fantasyhockey/players/playerpage/204443/francois-beauchemin" TargetMode="External"/><Relationship Id="rId429" Type="http://schemas.openxmlformats.org/officeDocument/2006/relationships/hyperlink" Target="http://www.cbssports.com/fantasyhockey/players/playerpage/273331/johnny-oduya" TargetMode="External"/><Relationship Id="rId1" Type="http://schemas.openxmlformats.org/officeDocument/2006/relationships/hyperlink" Target="http://www.cbssports.com/fantasyhockey/players/playerpage/1128973/evgeni-malkin" TargetMode="External"/><Relationship Id="rId212" Type="http://schemas.openxmlformats.org/officeDocument/2006/relationships/hyperlink" Target="http://www.cbssports.com/fantasyhockey/players/playerpage/433648/eric-fehr" TargetMode="External"/><Relationship Id="rId233" Type="http://schemas.openxmlformats.org/officeDocument/2006/relationships/hyperlink" Target="http://www.cbssports.com/fantasyhockey/players/playerpage/2198328/jake-virtanen" TargetMode="External"/><Relationship Id="rId254" Type="http://schemas.openxmlformats.org/officeDocument/2006/relationships/hyperlink" Target="http://www.cbssports.com/fantasyhockey/players/playerpage/2197859/artemi-panarin" TargetMode="External"/><Relationship Id="rId440" Type="http://schemas.openxmlformats.org/officeDocument/2006/relationships/hyperlink" Target="http://www.cbssports.com/fantasyhockey/players/playerpage/2076023/seth-jones" TargetMode="External"/><Relationship Id="rId28" Type="http://schemas.openxmlformats.org/officeDocument/2006/relationships/hyperlink" Target="http://www.cbssports.com/fantasyhockey/players/playerpage/274304/antoine-vermette" TargetMode="External"/><Relationship Id="rId49" Type="http://schemas.openxmlformats.org/officeDocument/2006/relationships/hyperlink" Target="http://www.cbssports.com/fantasyhockey/players/playerpage/1892911/jt-miller" TargetMode="External"/><Relationship Id="rId114" Type="http://schemas.openxmlformats.org/officeDocument/2006/relationships/hyperlink" Target="http://www.cbssports.com/fantasyhockey/players/playerpage/2178635/dylan-strome" TargetMode="External"/><Relationship Id="rId275" Type="http://schemas.openxmlformats.org/officeDocument/2006/relationships/hyperlink" Target="http://www.cbssports.com/fantasyhockey/players/playerpage/19674/patrick-marleau" TargetMode="External"/><Relationship Id="rId296" Type="http://schemas.openxmlformats.org/officeDocument/2006/relationships/hyperlink" Target="http://www.cbssports.com/fantasyhockey/players/playerpage/2038244/leo-komarov" TargetMode="External"/><Relationship Id="rId300" Type="http://schemas.openxmlformats.org/officeDocument/2006/relationships/hyperlink" Target="http://www.cbssports.com/fantasyhockey/players/playerpage/2053408/anders-lee" TargetMode="External"/><Relationship Id="rId461" Type="http://schemas.openxmlformats.org/officeDocument/2006/relationships/hyperlink" Target="http://www.cbssports.com/fantasyhockey/players/playerpage/565423/marc-staal" TargetMode="External"/><Relationship Id="rId482" Type="http://schemas.openxmlformats.org/officeDocument/2006/relationships/hyperlink" Target="http://www.cbssports.com/fantasyhockey/players/playerpage/2094615/connor-murphy" TargetMode="External"/><Relationship Id="rId60" Type="http://schemas.openxmlformats.org/officeDocument/2006/relationships/hyperlink" Target="http://www.cbssports.com/fantasyhockey/players/playerpage/1897763/victor-rask" TargetMode="External"/><Relationship Id="rId81" Type="http://schemas.openxmlformats.org/officeDocument/2006/relationships/hyperlink" Target="http://www.cbssports.com/fantasyhockey/players/playerpage/1899125/ryan-nugent-hopkins" TargetMode="External"/><Relationship Id="rId135" Type="http://schemas.openxmlformats.org/officeDocument/2006/relationships/hyperlink" Target="http://www.cbssports.com/fantasyhockey/players/playerpage/2094643/nick-shore" TargetMode="External"/><Relationship Id="rId156" Type="http://schemas.openxmlformats.org/officeDocument/2006/relationships/hyperlink" Target="http://www.cbssports.com/fantasyhockey/players/playerpage/1778768/vladimir-tarasenko" TargetMode="External"/><Relationship Id="rId177" Type="http://schemas.openxmlformats.org/officeDocument/2006/relationships/hyperlink" Target="http://www.cbssports.com/fantasyhockey/players/playerpage/1970778/jakob-silfverberg" TargetMode="External"/><Relationship Id="rId198" Type="http://schemas.openxmlformats.org/officeDocument/2006/relationships/hyperlink" Target="http://www.cbssports.com/fantasyhockey/players/playerpage/2147507/bryan-rust" TargetMode="External"/><Relationship Id="rId321" Type="http://schemas.openxmlformats.org/officeDocument/2006/relationships/hyperlink" Target="http://www.cbssports.com/fantasyhockey/players/playerpage/2095287/michael-raffl" TargetMode="External"/><Relationship Id="rId342" Type="http://schemas.openxmlformats.org/officeDocument/2006/relationships/hyperlink" Target="http://www.cbssports.com/fantasyhockey/players/playerpage/2147108/pierre-edouard-bellemare" TargetMode="External"/><Relationship Id="rId363" Type="http://schemas.openxmlformats.org/officeDocument/2006/relationships/hyperlink" Target="http://www.cbssports.com/fantasyhockey/players/playerpage/2094406/john-klingberg" TargetMode="External"/><Relationship Id="rId384" Type="http://schemas.openxmlformats.org/officeDocument/2006/relationships/hyperlink" Target="http://www.cbssports.com/fantasyhockey/players/playerpage/1897652/mattias-ekholm" TargetMode="External"/><Relationship Id="rId419" Type="http://schemas.openxmlformats.org/officeDocument/2006/relationships/hyperlink" Target="http://www.cbssports.com/fantasyhockey/players/playerpage/2000671/derrick-pouliot" TargetMode="External"/><Relationship Id="rId202" Type="http://schemas.openxmlformats.org/officeDocument/2006/relationships/hyperlink" Target="http://www.cbssports.com/fantasyhockey/players/playerpage/565363/troy-brouwer" TargetMode="External"/><Relationship Id="rId223" Type="http://schemas.openxmlformats.org/officeDocument/2006/relationships/hyperlink" Target="http://www.cbssports.com/fantasyhockey/players/playerpage/565360/jared-boll" TargetMode="External"/><Relationship Id="rId244" Type="http://schemas.openxmlformats.org/officeDocument/2006/relationships/hyperlink" Target="http://www.cbssports.com/fantasyhockey/players/playerpage/1770901/emerson-etem" TargetMode="External"/><Relationship Id="rId430" Type="http://schemas.openxmlformats.org/officeDocument/2006/relationships/hyperlink" Target="http://www.cbssports.com/fantasyhockey/players/playerpage/1639484/jared-spurgeon" TargetMode="External"/><Relationship Id="rId18" Type="http://schemas.openxmlformats.org/officeDocument/2006/relationships/hyperlink" Target="http://www.cbssports.com/fantasyhockey/players/playerpage/1282170/logan-couture" TargetMode="External"/><Relationship Id="rId39" Type="http://schemas.openxmlformats.org/officeDocument/2006/relationships/hyperlink" Target="http://www.cbssports.com/fantasyhockey/players/playerpage/1114920/paul-stastny" TargetMode="External"/><Relationship Id="rId265" Type="http://schemas.openxmlformats.org/officeDocument/2006/relationships/hyperlink" Target="http://www.cbssports.com/fantasyhockey/players/playerpage/2076019/jonathan-drouin" TargetMode="External"/><Relationship Id="rId286" Type="http://schemas.openxmlformats.org/officeDocument/2006/relationships/hyperlink" Target="http://www.cbssports.com/fantasyhockey/players/playerpage/1639343/matt-beleskey" TargetMode="External"/><Relationship Id="rId451" Type="http://schemas.openxmlformats.org/officeDocument/2006/relationships/hyperlink" Target="http://www.cbssports.com/fantasyhockey/players/playerpage/1707431/brayden-mcnabb" TargetMode="External"/><Relationship Id="rId472" Type="http://schemas.openxmlformats.org/officeDocument/2006/relationships/hyperlink" Target="http://www.cbssports.com/fantasyhockey/players/playerpage/1707412/carl-gunnarsson" TargetMode="External"/><Relationship Id="rId493" Type="http://schemas.openxmlformats.org/officeDocument/2006/relationships/hyperlink" Target="http://www.cbssports.com/fantasyhockey/players/playerpage/1137448/andy-greene" TargetMode="External"/><Relationship Id="rId507" Type="http://schemas.openxmlformats.org/officeDocument/2006/relationships/hyperlink" Target="http://www.cbssports.com/fantasyhockey/players/playerpage/371784/josh-gorges" TargetMode="External"/><Relationship Id="rId50" Type="http://schemas.openxmlformats.org/officeDocument/2006/relationships/hyperlink" Target="http://www.cbssports.com/fantasyhockey/players/playerpage/1282477/mathieu-perreault" TargetMode="External"/><Relationship Id="rId104" Type="http://schemas.openxmlformats.org/officeDocument/2006/relationships/hyperlink" Target="http://www.cbssports.com/fantasyhockey/players/playerpage/2198231/pavel-zacha" TargetMode="External"/><Relationship Id="rId125" Type="http://schemas.openxmlformats.org/officeDocument/2006/relationships/hyperlink" Target="http://www.cbssports.com/fantasyhockey/players/playerpage/2093866/colton-sissons" TargetMode="External"/><Relationship Id="rId146" Type="http://schemas.openxmlformats.org/officeDocument/2006/relationships/hyperlink" Target="http://www.cbssports.com/fantasyhockey/players/playerpage/1137120/ryan-carter" TargetMode="External"/><Relationship Id="rId167" Type="http://schemas.openxmlformats.org/officeDocument/2006/relationships/hyperlink" Target="http://www.cbssports.com/fantasyhockey/players/playerpage/19668/marian-hossa" TargetMode="External"/><Relationship Id="rId188" Type="http://schemas.openxmlformats.org/officeDocument/2006/relationships/hyperlink" Target="http://www.cbssports.com/fantasyhockey/players/playerpage/565668/loui-eriksson" TargetMode="External"/><Relationship Id="rId311" Type="http://schemas.openxmlformats.org/officeDocument/2006/relationships/hyperlink" Target="http://www.cbssports.com/fantasyhockey/players/playerpage/2094560/anthony-duclair" TargetMode="External"/><Relationship Id="rId332" Type="http://schemas.openxmlformats.org/officeDocument/2006/relationships/hyperlink" Target="http://www.cbssports.com/fantasyhockey/players/playerpage/1960880/jason-zucker" TargetMode="External"/><Relationship Id="rId353" Type="http://schemas.openxmlformats.org/officeDocument/2006/relationships/hyperlink" Target="http://www.cbssports.com/fantasyhockey/players/playerpage/152194/shawn-thornton" TargetMode="External"/><Relationship Id="rId374" Type="http://schemas.openxmlformats.org/officeDocument/2006/relationships/hyperlink" Target="http://www.cbssports.com/fantasyhockey/players/playerpage/433604/dion-phaneuf" TargetMode="External"/><Relationship Id="rId395" Type="http://schemas.openxmlformats.org/officeDocument/2006/relationships/hyperlink" Target="http://www.cbssports.com/fantasyhockey/players/playerpage/565379/mike-green" TargetMode="External"/><Relationship Id="rId409" Type="http://schemas.openxmlformats.org/officeDocument/2006/relationships/hyperlink" Target="http://www.cbssports.com/fantasyhockey/players/playerpage/2076037/ryan-pulock" TargetMode="External"/><Relationship Id="rId71" Type="http://schemas.openxmlformats.org/officeDocument/2006/relationships/hyperlink" Target="http://www.cbssports.com/fantasyhockey/players/playerpage/2059787/brock-nelson" TargetMode="External"/><Relationship Id="rId92" Type="http://schemas.openxmlformats.org/officeDocument/2006/relationships/hyperlink" Target="http://www.cbssports.com/fantasyhockey/players/playerpage/433611/eric-staal" TargetMode="External"/><Relationship Id="rId213" Type="http://schemas.openxmlformats.org/officeDocument/2006/relationships/hyperlink" Target="http://www.cbssports.com/fantasyhockey/players/playerpage/2094595/tom-kuhnhackl" TargetMode="External"/><Relationship Id="rId234" Type="http://schemas.openxmlformats.org/officeDocument/2006/relationships/hyperlink" Target="http://www.cbssports.com/fantasyhockey/players/playerpage/1639425/nikolay-kulemin" TargetMode="External"/><Relationship Id="rId420" Type="http://schemas.openxmlformats.org/officeDocument/2006/relationships/hyperlink" Target="http://www.cbssports.com/fantasyhockey/players/playerpage/2094613/kevan-miller" TargetMode="External"/><Relationship Id="rId2" Type="http://schemas.openxmlformats.org/officeDocument/2006/relationships/hyperlink" Target="http://www.cbssports.com/fantasyhockey/players/playerpage/559301/sidney-crosby" TargetMode="External"/><Relationship Id="rId29" Type="http://schemas.openxmlformats.org/officeDocument/2006/relationships/hyperlink" Target="http://www.cbssports.com/fantasyhockey/players/playerpage/1685404/matt-duchene" TargetMode="External"/><Relationship Id="rId255" Type="http://schemas.openxmlformats.org/officeDocument/2006/relationships/hyperlink" Target="http://www.cbssports.com/fantasyhockey/players/playerpage/1133425/brad-marchand" TargetMode="External"/><Relationship Id="rId276" Type="http://schemas.openxmlformats.org/officeDocument/2006/relationships/hyperlink" Target="http://www.cbssports.com/fantasyhockey/players/playerpage/1966327/chris-kreider" TargetMode="External"/><Relationship Id="rId297" Type="http://schemas.openxmlformats.org/officeDocument/2006/relationships/hyperlink" Target="http://www.cbssports.com/fantasyhockey/players/playerpage/1899135/antoine-roussel" TargetMode="External"/><Relationship Id="rId441" Type="http://schemas.openxmlformats.org/officeDocument/2006/relationships/hyperlink" Target="http://www.cbssports.com/fantasyhockey/players/playerpage/565421/andrej-sekera" TargetMode="External"/><Relationship Id="rId462" Type="http://schemas.openxmlformats.org/officeDocument/2006/relationships/hyperlink" Target="http://www.cbssports.com/fantasyhockey/players/playerpage/1707453/marco-scandella" TargetMode="External"/><Relationship Id="rId483" Type="http://schemas.openxmlformats.org/officeDocument/2006/relationships/hyperlink" Target="http://www.cbssports.com/fantasyhockey/players/playerpage/1892909/adam-larsson" TargetMode="External"/><Relationship Id="rId40" Type="http://schemas.openxmlformats.org/officeDocument/2006/relationships/hyperlink" Target="http://www.cbssports.com/fantasyhockey/players/playerpage/1769728/ryan-spooner" TargetMode="External"/><Relationship Id="rId115" Type="http://schemas.openxmlformats.org/officeDocument/2006/relationships/hyperlink" Target="http://www.cbssports.com/fantasyhockey/players/playerpage/1133473/trevor-lewis" TargetMode="External"/><Relationship Id="rId136" Type="http://schemas.openxmlformats.org/officeDocument/2006/relationships/hyperlink" Target="http://www.cbssports.com/fantasyhockey/players/playerpage/2044867/brian-flynn" TargetMode="External"/><Relationship Id="rId157" Type="http://schemas.openxmlformats.org/officeDocument/2006/relationships/hyperlink" Target="http://www.cbssports.com/fantasyhockey/players/playerpage/433603/corey-perry" TargetMode="External"/><Relationship Id="rId178" Type="http://schemas.openxmlformats.org/officeDocument/2006/relationships/hyperlink" Target="http://www.cbssports.com/fantasyhockey/players/playerpage/19278/jaromir-jagr" TargetMode="External"/><Relationship Id="rId301" Type="http://schemas.openxmlformats.org/officeDocument/2006/relationships/hyperlink" Target="http://www.cbssports.com/fantasyhockey/players/playerpage/2146557/kevin-fiala" TargetMode="External"/><Relationship Id="rId322" Type="http://schemas.openxmlformats.org/officeDocument/2006/relationships/hyperlink" Target="http://www.cbssports.com/fantasyhockey/players/playerpage/1897762/shane-prince" TargetMode="External"/><Relationship Id="rId343" Type="http://schemas.openxmlformats.org/officeDocument/2006/relationships/hyperlink" Target="http://www.cbssports.com/fantasyhockey/players/playerpage/1707405/marcus-foligno" TargetMode="External"/><Relationship Id="rId364" Type="http://schemas.openxmlformats.org/officeDocument/2006/relationships/hyperlink" Target="http://www.cbssports.com/fantasyhockey/players/playerpage/566539/dustin-byfuglien" TargetMode="External"/><Relationship Id="rId61" Type="http://schemas.openxmlformats.org/officeDocument/2006/relationships/hyperlink" Target="http://www.cbssports.com/fantasyhockey/players/playerpage/2147463/william-nylander" TargetMode="External"/><Relationship Id="rId82" Type="http://schemas.openxmlformats.org/officeDocument/2006/relationships/hyperlink" Target="http://www.cbssports.com/fantasyhockey/players/playerpage/2076022/bo-horvat" TargetMode="External"/><Relationship Id="rId199" Type="http://schemas.openxmlformats.org/officeDocument/2006/relationships/hyperlink" Target="http://www.cbssports.com/fantasyhockey/players/playerpage/1899100/jimmy-hayes" TargetMode="External"/><Relationship Id="rId203" Type="http://schemas.openxmlformats.org/officeDocument/2006/relationships/hyperlink" Target="http://www.cbssports.com/fantasyhockey/players/playerpage/1765199/nino-niederreiter" TargetMode="External"/><Relationship Id="rId385" Type="http://schemas.openxmlformats.org/officeDocument/2006/relationships/hyperlink" Target="http://www.cbssports.com/fantasyhockey/players/playerpage/1770908/cam-fowler" TargetMode="External"/><Relationship Id="rId19" Type="http://schemas.openxmlformats.org/officeDocument/2006/relationships/hyperlink" Target="http://www.cbssports.com/fantasyhockey/players/playerpage/1769716/ryan-johansen" TargetMode="External"/><Relationship Id="rId224" Type="http://schemas.openxmlformats.org/officeDocument/2006/relationships/hyperlink" Target="http://www.cbssports.com/fantasyhockey/players/playerpage/1897766/matt-read" TargetMode="External"/><Relationship Id="rId245" Type="http://schemas.openxmlformats.org/officeDocument/2006/relationships/hyperlink" Target="http://www.cbssports.com/fantasyhockey/players/playerpage/2178852/mikko-rantanen" TargetMode="External"/><Relationship Id="rId266" Type="http://schemas.openxmlformats.org/officeDocument/2006/relationships/hyperlink" Target="http://www.cbssports.com/fantasyhockey/players/playerpage/346970/rick-nash" TargetMode="External"/><Relationship Id="rId287" Type="http://schemas.openxmlformats.org/officeDocument/2006/relationships/hyperlink" Target="http://www.cbssports.com/fantasyhockey/players/playerpage/2094409/curtis-mckenzie" TargetMode="External"/><Relationship Id="rId410" Type="http://schemas.openxmlformats.org/officeDocument/2006/relationships/hyperlink" Target="http://www.cbssports.com/fantasyhockey/players/playerpage/1282459/yannick-weber" TargetMode="External"/><Relationship Id="rId431" Type="http://schemas.openxmlformats.org/officeDocument/2006/relationships/hyperlink" Target="http://www.cbssports.com/fantasyhockey/players/playerpage/1770890/ian-cole" TargetMode="External"/><Relationship Id="rId452" Type="http://schemas.openxmlformats.org/officeDocument/2006/relationships/hyperlink" Target="http://www.cbssports.com/fantasyhockey/players/playerpage/1771081/alex-petrovic" TargetMode="External"/><Relationship Id="rId473" Type="http://schemas.openxmlformats.org/officeDocument/2006/relationships/hyperlink" Target="http://www.cbssports.com/fantasyhockey/players/playerpage/1286081/toby-enstrom" TargetMode="External"/><Relationship Id="rId494" Type="http://schemas.openxmlformats.org/officeDocument/2006/relationships/hyperlink" Target="http://www.cbssports.com/fantasyhockey/players/playerpage/1707557/ben-chiarot" TargetMode="External"/><Relationship Id="rId508" Type="http://schemas.openxmlformats.org/officeDocument/2006/relationships/hyperlink" Target="http://www.cbssports.com/fantasyhockey/players/playerpage/1639520/ben-lovejoy" TargetMode="External"/><Relationship Id="rId30" Type="http://schemas.openxmlformats.org/officeDocument/2006/relationships/hyperlink" Target="http://www.cbssports.com/fantasyhockey/players/playerpage/2076030/sean-monahan" TargetMode="External"/><Relationship Id="rId105" Type="http://schemas.openxmlformats.org/officeDocument/2006/relationships/hyperlink" Target="http://www.cbssports.com/fantasyhockey/players/playerpage/2147496/sam-reinhart" TargetMode="External"/><Relationship Id="rId126" Type="http://schemas.openxmlformats.org/officeDocument/2006/relationships/hyperlink" Target="http://www.cbssports.com/fantasyhockey/players/playerpage/1280567/sam-gagner" TargetMode="External"/><Relationship Id="rId147" Type="http://schemas.openxmlformats.org/officeDocument/2006/relationships/hyperlink" Target="http://www.cbssports.com/fantasyhockey/players/playerpage/204707/steve-ott" TargetMode="External"/><Relationship Id="rId168" Type="http://schemas.openxmlformats.org/officeDocument/2006/relationships/hyperlink" Target="http://www.cbssports.com/fantasyhockey/players/playerpage/1771005/tyler-toffoli" TargetMode="External"/><Relationship Id="rId312" Type="http://schemas.openxmlformats.org/officeDocument/2006/relationships/hyperlink" Target="http://www.cbssports.com/fantasyhockey/players/playerpage/2147521/conor-sheary" TargetMode="External"/><Relationship Id="rId333" Type="http://schemas.openxmlformats.org/officeDocument/2006/relationships/hyperlink" Target="http://www.cbssports.com/fantasyhockey/players/playerpage/1137195/cody-mcleod" TargetMode="External"/><Relationship Id="rId354" Type="http://schemas.openxmlformats.org/officeDocument/2006/relationships/hyperlink" Target="http://www.cbssports.com/fantasyhockey/players/playerpage/1707397/nicolas-deslauriers" TargetMode="External"/><Relationship Id="rId51" Type="http://schemas.openxmlformats.org/officeDocument/2006/relationships/hyperlink" Target="http://www.cbssports.com/fantasyhockey/players/playerpage/1897634/sean-couturier" TargetMode="External"/><Relationship Id="rId72" Type="http://schemas.openxmlformats.org/officeDocument/2006/relationships/hyperlink" Target="http://www.cbssports.com/fantasyhockey/players/playerpage/2178632/jack-eichel" TargetMode="External"/><Relationship Id="rId93" Type="http://schemas.openxmlformats.org/officeDocument/2006/relationships/hyperlink" Target="http://www.cbssports.com/fantasyhockey/players/playerpage/1639595/david-desharnais" TargetMode="External"/><Relationship Id="rId189" Type="http://schemas.openxmlformats.org/officeDocument/2006/relationships/hyperlink" Target="http://www.cbssports.com/fantasyhockey/players/playerpage/1899139/andrew-shaw" TargetMode="External"/><Relationship Id="rId375" Type="http://schemas.openxmlformats.org/officeDocument/2006/relationships/hyperlink" Target="http://www.cbssports.com/fantasyhockey/players/playerpage/1133727/marc-edouard-vlasic" TargetMode="External"/><Relationship Id="rId396" Type="http://schemas.openxmlformats.org/officeDocument/2006/relationships/hyperlink" Target="http://www.cbssports.com/fantasyhockey/players/playerpage/2197860/colton-parayko" TargetMode="External"/><Relationship Id="rId3" Type="http://schemas.openxmlformats.org/officeDocument/2006/relationships/hyperlink" Target="http://www.cbssports.com/fantasyhockey/players/playerpage/1757712/tyler-seguin" TargetMode="External"/><Relationship Id="rId214" Type="http://schemas.openxmlformats.org/officeDocument/2006/relationships/hyperlink" Target="http://www.cbssports.com/fantasyhockey/players/playerpage/2094395/oliver-bjorkstrand" TargetMode="External"/><Relationship Id="rId235" Type="http://schemas.openxmlformats.org/officeDocument/2006/relationships/hyperlink" Target="http://www.cbssports.com/fantasyhockey/players/playerpage/2000682/nail-yakupov" TargetMode="External"/><Relationship Id="rId256" Type="http://schemas.openxmlformats.org/officeDocument/2006/relationships/hyperlink" Target="http://www.cbssports.com/fantasyhockey/players/playerpage/1628813/max-pacioretty" TargetMode="External"/><Relationship Id="rId277" Type="http://schemas.openxmlformats.org/officeDocument/2006/relationships/hyperlink" Target="http://www.cbssports.com/fantasyhockey/players/playerpage/2042076/alex-killorn" TargetMode="External"/><Relationship Id="rId298" Type="http://schemas.openxmlformats.org/officeDocument/2006/relationships/hyperlink" Target="http://www.cbssports.com/fantasyhockey/players/playerpage/1282181/david-perron" TargetMode="External"/><Relationship Id="rId400" Type="http://schemas.openxmlformats.org/officeDocument/2006/relationships/hyperlink" Target="http://www.cbssports.com/fantasyhockey/players/playerpage/1770942/nick-leddy" TargetMode="External"/><Relationship Id="rId421" Type="http://schemas.openxmlformats.org/officeDocument/2006/relationships/hyperlink" Target="http://www.cbssports.com/fantasyhockey/players/playerpage/2094561/brian-dumoulin" TargetMode="External"/><Relationship Id="rId442" Type="http://schemas.openxmlformats.org/officeDocument/2006/relationships/hyperlink" Target="http://www.cbssports.com/fantasyhockey/players/playerpage/1280571/thomas-hickey" TargetMode="External"/><Relationship Id="rId463" Type="http://schemas.openxmlformats.org/officeDocument/2006/relationships/hyperlink" Target="http://www.cbssports.com/fantasyhockey/players/playerpage/1897644/brenden-dillon" TargetMode="External"/><Relationship Id="rId484" Type="http://schemas.openxmlformats.org/officeDocument/2006/relationships/hyperlink" Target="http://www.cbssports.com/fantasyhockey/players/playerpage/1771089/chris-tanev" TargetMode="External"/><Relationship Id="rId116" Type="http://schemas.openxmlformats.org/officeDocument/2006/relationships/hyperlink" Target="http://www.cbssports.com/fantasyhockey/players/playerpage/566122/john-mitchell" TargetMode="External"/><Relationship Id="rId137" Type="http://schemas.openxmlformats.org/officeDocument/2006/relationships/hyperlink" Target="http://www.cbssports.com/fantasyhockey/players/playerpage/2076016/marko-dano" TargetMode="External"/><Relationship Id="rId158" Type="http://schemas.openxmlformats.org/officeDocument/2006/relationships/hyperlink" Target="http://www.cbssports.com/fantasyhockey/players/playerpage/565402/james-neal" TargetMode="External"/><Relationship Id="rId302" Type="http://schemas.openxmlformats.org/officeDocument/2006/relationships/hyperlink" Target="http://www.cbssports.com/fantasyhockey/players/playerpage/1689412/colin-wilson" TargetMode="External"/><Relationship Id="rId323" Type="http://schemas.openxmlformats.org/officeDocument/2006/relationships/hyperlink" Target="http://www.cbssports.com/fantasyhockey/players/playerpage/1899072/sven-baertschi" TargetMode="External"/><Relationship Id="rId344" Type="http://schemas.openxmlformats.org/officeDocument/2006/relationships/hyperlink" Target="http://www.cbssports.com/fantasyhockey/players/playerpage/2094050/jordan-martinook" TargetMode="External"/><Relationship Id="rId20" Type="http://schemas.openxmlformats.org/officeDocument/2006/relationships/hyperlink" Target="http://www.cbssports.com/fantasyhockey/players/playerpage/1897780/mark-scheifele" TargetMode="External"/><Relationship Id="rId41" Type="http://schemas.openxmlformats.org/officeDocument/2006/relationships/hyperlink" Target="http://www.cbssports.com/fantasyhockey/players/playerpage/1743550/nick-bonino" TargetMode="External"/><Relationship Id="rId62" Type="http://schemas.openxmlformats.org/officeDocument/2006/relationships/hyperlink" Target="http://www.cbssports.com/fantasyhockey/players/playerpage/1134121/martin-hanzal" TargetMode="External"/><Relationship Id="rId83" Type="http://schemas.openxmlformats.org/officeDocument/2006/relationships/hyperlink" Target="http://www.cbssports.com/fantasyhockey/players/playerpage/2197887/frank-vatrano" TargetMode="External"/><Relationship Id="rId179" Type="http://schemas.openxmlformats.org/officeDocument/2006/relationships/hyperlink" Target="http://www.cbssports.com/fantasyhockey/players/playerpage/1283869/teddy-purcell" TargetMode="External"/><Relationship Id="rId365" Type="http://schemas.openxmlformats.org/officeDocument/2006/relationships/hyperlink" Target="http://www.cbssports.com/fantasyhockey/players/playerpage/1685405/victor-hedman" TargetMode="External"/><Relationship Id="rId386" Type="http://schemas.openxmlformats.org/officeDocument/2006/relationships/hyperlink" Target="http://www.cbssports.com/fantasyhockey/players/playerpage/1897675/dougie-hamilton" TargetMode="External"/><Relationship Id="rId190" Type="http://schemas.openxmlformats.org/officeDocument/2006/relationships/hyperlink" Target="http://www.cbssports.com/fantasyhockey/players/playerpage/1897791/craig-smith" TargetMode="External"/><Relationship Id="rId204" Type="http://schemas.openxmlformats.org/officeDocument/2006/relationships/hyperlink" Target="http://www.cbssports.com/fantasyhockey/players/playerpage/272751/jason-pominville" TargetMode="External"/><Relationship Id="rId225" Type="http://schemas.openxmlformats.org/officeDocument/2006/relationships/hyperlink" Target="http://www.cbssports.com/fantasyhockey/players/playerpage/1771015/tommy-wingels" TargetMode="External"/><Relationship Id="rId246" Type="http://schemas.openxmlformats.org/officeDocument/2006/relationships/hyperlink" Target="http://www.cbssports.com/fantasyhockey/players/playerpage/1899092/stanislav-galiev" TargetMode="External"/><Relationship Id="rId267" Type="http://schemas.openxmlformats.org/officeDocument/2006/relationships/hyperlink" Target="http://www.cbssports.com/fantasyhockey/players/playerpage/1757713/taylor-hall" TargetMode="External"/><Relationship Id="rId288" Type="http://schemas.openxmlformats.org/officeDocument/2006/relationships/hyperlink" Target="http://www.cbssports.com/fantasyhockey/players/playerpage/204569/scott-hartnell" TargetMode="External"/><Relationship Id="rId411" Type="http://schemas.openxmlformats.org/officeDocument/2006/relationships/hyperlink" Target="http://www.cbssports.com/fantasyhockey/players/playerpage/433212/kevin-klein" TargetMode="External"/><Relationship Id="rId432" Type="http://schemas.openxmlformats.org/officeDocument/2006/relationships/hyperlink" Target="http://www.cbssports.com/fantasyhockey/players/playerpage/1639667/jason-garrison" TargetMode="External"/><Relationship Id="rId453" Type="http://schemas.openxmlformats.org/officeDocument/2006/relationships/hyperlink" Target="http://www.cbssports.com/fantasyhockey/players/playerpage/2053880/danny-dekeyser" TargetMode="External"/><Relationship Id="rId474" Type="http://schemas.openxmlformats.org/officeDocument/2006/relationships/hyperlink" Target="http://www.cbssports.com/fantasyhockey/players/playerpage/2094777/dylan-demelo" TargetMode="External"/><Relationship Id="rId509" Type="http://schemas.openxmlformats.org/officeDocument/2006/relationships/hyperlink" Target="http://www.cbssports.com/fantasyhockey/players/playerpage/1707518/dmitry-kulikov" TargetMode="External"/><Relationship Id="rId106" Type="http://schemas.openxmlformats.org/officeDocument/2006/relationships/hyperlink" Target="http://www.cbssports.com/fantasyhockey/players/playerpage/2198317/jared-mccann" TargetMode="External"/><Relationship Id="rId127" Type="http://schemas.openxmlformats.org/officeDocument/2006/relationships/hyperlink" Target="http://www.cbssports.com/fantasyhockey/players/playerpage/2095135/luke-glendening" TargetMode="External"/><Relationship Id="rId313" Type="http://schemas.openxmlformats.org/officeDocument/2006/relationships/hyperlink" Target="http://www.cbssports.com/fantasyhockey/players/playerpage/565815/blake-comeau" TargetMode="External"/><Relationship Id="rId495" Type="http://schemas.openxmlformats.org/officeDocument/2006/relationships/hyperlink" Target="http://www.cbssports.com/fantasyhockey/players/playerpage/2094608/alexei-marchenko" TargetMode="External"/><Relationship Id="rId10" Type="http://schemas.openxmlformats.org/officeDocument/2006/relationships/hyperlink" Target="http://www.cbssports.com/fantasyhockey/players/playerpage/433595/ryan-getzlaf" TargetMode="External"/><Relationship Id="rId31" Type="http://schemas.openxmlformats.org/officeDocument/2006/relationships/hyperlink" Target="http://www.cbssports.com/fantasyhockey/players/playerpage/1897821/mika-zibanejad" TargetMode="External"/><Relationship Id="rId52" Type="http://schemas.openxmlformats.org/officeDocument/2006/relationships/hyperlink" Target="http://www.cbssports.com/fantasyhockey/players/playerpage/566104/brandon-dubinsky" TargetMode="External"/><Relationship Id="rId73" Type="http://schemas.openxmlformats.org/officeDocument/2006/relationships/hyperlink" Target="http://www.cbssports.com/fantasyhockey/players/playerpage/2054009/nick-bjugstad" TargetMode="External"/><Relationship Id="rId94" Type="http://schemas.openxmlformats.org/officeDocument/2006/relationships/hyperlink" Target="http://www.cbssports.com/fantasyhockey/players/playerpage/1605163/jay-beagle" TargetMode="External"/><Relationship Id="rId148" Type="http://schemas.openxmlformats.org/officeDocument/2006/relationships/hyperlink" Target="http://www.cbssports.com/fantasyhockey/players/playerpage/368528/boyd-gordon" TargetMode="External"/><Relationship Id="rId169" Type="http://schemas.openxmlformats.org/officeDocument/2006/relationships/hyperlink" Target="http://www.cbssports.com/fantasyhockey/players/playerpage/273227/pa-parenteau" TargetMode="External"/><Relationship Id="rId334" Type="http://schemas.openxmlformats.org/officeDocument/2006/relationships/hyperlink" Target="http://www.cbssports.com/fantasyhockey/players/playerpage/2147499/nick-ritchie" TargetMode="External"/><Relationship Id="rId355" Type="http://schemas.openxmlformats.org/officeDocument/2006/relationships/hyperlink" Target="http://www.cbssports.com/fantasyhockey/players/playerpage/565358/bryan-bickell" TargetMode="External"/><Relationship Id="rId376" Type="http://schemas.openxmlformats.org/officeDocument/2006/relationships/hyperlink" Target="http://www.cbssports.com/fantasyhockey/players/playerpage/1639452/jake-muzzin" TargetMode="External"/><Relationship Id="rId397" Type="http://schemas.openxmlformats.org/officeDocument/2006/relationships/hyperlink" Target="http://www.cbssports.com/fantasyhockey/players/playerpage/19784/brian-campbell" TargetMode="External"/><Relationship Id="rId4" Type="http://schemas.openxmlformats.org/officeDocument/2006/relationships/hyperlink" Target="http://www.cbssports.com/fantasyhockey/players/playerpage/1628816/steven-stamkos" TargetMode="External"/><Relationship Id="rId180" Type="http://schemas.openxmlformats.org/officeDocument/2006/relationships/hyperlink" Target="http://www.cbssports.com/fantasyhockey/players/playerpage/2076021/ryan-hartman" TargetMode="External"/><Relationship Id="rId215" Type="http://schemas.openxmlformats.org/officeDocument/2006/relationships/hyperlink" Target="http://www.cbssports.com/fantasyhockey/players/playerpage/1897797/ryan-strome" TargetMode="External"/><Relationship Id="rId236" Type="http://schemas.openxmlformats.org/officeDocument/2006/relationships/hyperlink" Target="http://www.cbssports.com/fantasyhockey/players/playerpage/2245512/jesse-puljujarvi" TargetMode="External"/><Relationship Id="rId257" Type="http://schemas.openxmlformats.org/officeDocument/2006/relationships/hyperlink" Target="http://www.cbssports.com/fantasyhockey/players/playerpage/2123003/johnny-gaudreau" TargetMode="External"/><Relationship Id="rId278" Type="http://schemas.openxmlformats.org/officeDocument/2006/relationships/hyperlink" Target="http://www.cbssports.com/fantasyhockey/players/playerpage/1689413/james-van-riemsdyk" TargetMode="External"/><Relationship Id="rId401" Type="http://schemas.openxmlformats.org/officeDocument/2006/relationships/hyperlink" Target="http://www.cbssports.com/fantasyhockey/players/playerpage/1639357/tj-brodie" TargetMode="External"/><Relationship Id="rId422" Type="http://schemas.openxmlformats.org/officeDocument/2006/relationships/hyperlink" Target="http://www.cbssports.com/fantasyhockey/players/playerpage/435194/niklas-kronwall" TargetMode="External"/><Relationship Id="rId443" Type="http://schemas.openxmlformats.org/officeDocument/2006/relationships/hyperlink" Target="http://www.cbssports.com/fantasyhockey/players/playerpage/2000654/matt-dumba" TargetMode="External"/><Relationship Id="rId464" Type="http://schemas.openxmlformats.org/officeDocument/2006/relationships/hyperlink" Target="http://www.cbssports.com/fantasyhockey/players/playerpage/204526/deryk-engelland" TargetMode="External"/><Relationship Id="rId303" Type="http://schemas.openxmlformats.org/officeDocument/2006/relationships/hyperlink" Target="http://www.cbssports.com/fantasyhockey/players/playerpage/2076015/andre-burakovsky" TargetMode="External"/><Relationship Id="rId485" Type="http://schemas.openxmlformats.org/officeDocument/2006/relationships/hyperlink" Target="http://www.cbssports.com/fantasyhockey/players/playerpage/1707759/simon-despres" TargetMode="External"/><Relationship Id="rId42" Type="http://schemas.openxmlformats.org/officeDocument/2006/relationships/hyperlink" Target="http://www.cbssports.com/fantasyhockey/players/playerpage/1286409/artem-anisimov" TargetMode="External"/><Relationship Id="rId84" Type="http://schemas.openxmlformats.org/officeDocument/2006/relationships/hyperlink" Target="http://www.cbssports.com/fantasyhockey/players/playerpage/1639390/tyler-ennis" TargetMode="External"/><Relationship Id="rId138" Type="http://schemas.openxmlformats.org/officeDocument/2006/relationships/hyperlink" Target="http://www.cbssports.com/fantasyhockey/players/playerpage/435114/kyle-brodziak" TargetMode="External"/><Relationship Id="rId345" Type="http://schemas.openxmlformats.org/officeDocument/2006/relationships/hyperlink" Target="http://www.cbssports.com/fantasyhockey/players/playerpage/1639352/lance-bouma" TargetMode="External"/><Relationship Id="rId387" Type="http://schemas.openxmlformats.org/officeDocument/2006/relationships/hyperlink" Target="http://www.cbssports.com/fantasyhockey/players/playerpage/1707401/ryan-ellis" TargetMode="External"/><Relationship Id="rId510" Type="http://schemas.openxmlformats.org/officeDocument/2006/relationships/hyperlink" Target="http://www.cbssports.com/fantasyhockey/players/playerpage/1770902/mark-fayne" TargetMode="External"/><Relationship Id="rId191" Type="http://schemas.openxmlformats.org/officeDocument/2006/relationships/hyperlink" Target="http://www.cbssports.com/fantasyhockey/players/playerpage/566017/jannik-hansen" TargetMode="External"/><Relationship Id="rId205" Type="http://schemas.openxmlformats.org/officeDocument/2006/relationships/hyperlink" Target="http://www.cbssports.com/fantasyhockey/players/playerpage/2197880/nikita-soshnikov" TargetMode="External"/><Relationship Id="rId247" Type="http://schemas.openxmlformats.org/officeDocument/2006/relationships/hyperlink" Target="http://www.cbssports.com/fantasyhockey/players/playerpage/2095130/joel-armia" TargetMode="External"/><Relationship Id="rId412" Type="http://schemas.openxmlformats.org/officeDocument/2006/relationships/hyperlink" Target="http://www.cbssports.com/fantasyhockey/players/playerpage/2000673/morgan-rielly" TargetMode="External"/><Relationship Id="rId107" Type="http://schemas.openxmlformats.org/officeDocument/2006/relationships/hyperlink" Target="http://www.cbssports.com/fantasyhockey/players/playerpage/1133476/shawn-matthias" TargetMode="External"/><Relationship Id="rId289" Type="http://schemas.openxmlformats.org/officeDocument/2006/relationships/hyperlink" Target="http://www.cbssports.com/fantasyhockey/players/playerpage/1606856/justin-abdelkader" TargetMode="External"/><Relationship Id="rId454" Type="http://schemas.openxmlformats.org/officeDocument/2006/relationships/hyperlink" Target="http://www.cbssports.com/fantasyhockey/players/playerpage/433590/braydon-coburn" TargetMode="External"/><Relationship Id="rId496" Type="http://schemas.openxmlformats.org/officeDocument/2006/relationships/hyperlink" Target="http://www.cbssports.com/fantasyhockey/players/playerpage/2076043/nikita-zadorov" TargetMode="External"/><Relationship Id="rId11" Type="http://schemas.openxmlformats.org/officeDocument/2006/relationships/hyperlink" Target="http://www.cbssports.com/fantasyhockey/players/playerpage/565682/anze-kopitar" TargetMode="External"/><Relationship Id="rId53" Type="http://schemas.openxmlformats.org/officeDocument/2006/relationships/hyperlink" Target="http://www.cbssports.com/fantasyhockey/players/playerpage/1770972/brandon-pirri" TargetMode="External"/><Relationship Id="rId149" Type="http://schemas.openxmlformats.org/officeDocument/2006/relationships/hyperlink" Target="http://www.cbssports.com/fantasyhockey/players/playerpage/2000659/zemgus-girgensons" TargetMode="External"/><Relationship Id="rId314" Type="http://schemas.openxmlformats.org/officeDocument/2006/relationships/hyperlink" Target="http://www.cbssports.com/fantasyhockey/players/playerpage/2245520/matthew-tkachuk" TargetMode="External"/><Relationship Id="rId356" Type="http://schemas.openxmlformats.org/officeDocument/2006/relationships/hyperlink" Target="http://www.cbssports.com/fantasyhockey/players/playerpage/433206/brent-burns" TargetMode="External"/><Relationship Id="rId398" Type="http://schemas.openxmlformats.org/officeDocument/2006/relationships/hyperlink" Target="http://www.cbssports.com/fantasyhockey/players/playerpage/566137/keith-yandle" TargetMode="External"/><Relationship Id="rId95" Type="http://schemas.openxmlformats.org/officeDocument/2006/relationships/hyperlink" Target="http://www.cbssports.com/fantasyhockey/players/playerpage/2094584/calle-jarnkrok" TargetMode="External"/><Relationship Id="rId160" Type="http://schemas.openxmlformats.org/officeDocument/2006/relationships/hyperlink" Target="http://www.cbssports.com/fantasyhockey/players/playerpage/1622609/blake-wheeler" TargetMode="External"/><Relationship Id="rId216" Type="http://schemas.openxmlformats.org/officeDocument/2006/relationships/hyperlink" Target="http://www.cbssports.com/fantasyhockey/players/playerpage/2076026/elias-lindholm" TargetMode="External"/><Relationship Id="rId423" Type="http://schemas.openxmlformats.org/officeDocument/2006/relationships/hyperlink" Target="http://www.cbssports.com/fantasyhockey/players/playerpage/1897666/jake-gardiner" TargetMode="External"/><Relationship Id="rId258" Type="http://schemas.openxmlformats.org/officeDocument/2006/relationships/hyperlink" Target="http://www.cbssports.com/fantasyhockey/players/playerpage/2000656/filip-forsberg" TargetMode="External"/><Relationship Id="rId465" Type="http://schemas.openxmlformats.org/officeDocument/2006/relationships/hyperlink" Target="http://www.cbssports.com/fantasyhockey/players/playerpage/1899123/joe-morrow" TargetMode="External"/><Relationship Id="rId22" Type="http://schemas.openxmlformats.org/officeDocument/2006/relationships/hyperlink" Target="http://www.cbssports.com/fantasyhockey/players/playerpage/1903257/tyler-johnson" TargetMode="External"/><Relationship Id="rId64" Type="http://schemas.openxmlformats.org/officeDocument/2006/relationships/hyperlink" Target="http://www.cbssports.com/fantasyhockey/players/playerpage/1707514/cody-eakin" TargetMode="External"/><Relationship Id="rId118" Type="http://schemas.openxmlformats.org/officeDocument/2006/relationships/hyperlink" Target="http://www.cbssports.com/fantasyhockey/players/playerpage/2000664/scott-laughton" TargetMode="External"/><Relationship Id="rId325" Type="http://schemas.openxmlformats.org/officeDocument/2006/relationships/hyperlink" Target="http://www.cbssports.com/fantasyhockey/players/playerpage/372289/joffrey-lupul" TargetMode="External"/><Relationship Id="rId367" Type="http://schemas.openxmlformats.org/officeDocument/2006/relationships/hyperlink" Target="http://www.cbssports.com/fantasyhockey/players/playerpage/435267/brent-seabrook" TargetMode="External"/><Relationship Id="rId171" Type="http://schemas.openxmlformats.org/officeDocument/2006/relationships/hyperlink" Target="http://www.cbssports.com/fantasyhockey/players/playerpage/204851/justin-williams" TargetMode="External"/><Relationship Id="rId227" Type="http://schemas.openxmlformats.org/officeDocument/2006/relationships/hyperlink" Target="http://www.cbssports.com/fantasyhockey/players/playerpage/1280563/derek-dorsett" TargetMode="External"/><Relationship Id="rId269" Type="http://schemas.openxmlformats.org/officeDocument/2006/relationships/hyperlink" Target="http://www.cbssports.com/fantasyhockey/players/playerpage/557239/zach-parise" TargetMode="External"/><Relationship Id="rId434" Type="http://schemas.openxmlformats.org/officeDocument/2006/relationships/hyperlink" Target="http://www.cbssports.com/fantasyhockey/players/playerpage/20109/michal-rozsival" TargetMode="External"/><Relationship Id="rId476" Type="http://schemas.openxmlformats.org/officeDocument/2006/relationships/hyperlink" Target="http://www.cbssports.com/fantasyhockey/players/playerpage/1628805/taylor-chorney" TargetMode="External"/><Relationship Id="rId33" Type="http://schemas.openxmlformats.org/officeDocument/2006/relationships/hyperlink" Target="http://www.cbssports.com/fantasyhockey/players/playerpage/369005/tomas-plekanec" TargetMode="External"/><Relationship Id="rId129" Type="http://schemas.openxmlformats.org/officeDocument/2006/relationships/hyperlink" Target="http://www.cbssports.com/fantasyhockey/players/playerpage/1812123/marcus-kruger" TargetMode="External"/><Relationship Id="rId280" Type="http://schemas.openxmlformats.org/officeDocument/2006/relationships/hyperlink" Target="http://www.cbssports.com/fantasyhockey/players/playerpage/2147277/daniel-carr" TargetMode="External"/><Relationship Id="rId336" Type="http://schemas.openxmlformats.org/officeDocument/2006/relationships/hyperlink" Target="http://www.cbssports.com/fantasyhockey/players/playerpage/433214/milan-michalek" TargetMode="External"/><Relationship Id="rId501" Type="http://schemas.openxmlformats.org/officeDocument/2006/relationships/hyperlink" Target="http://www.cbssports.com/fantasyhockey/players/playerpage/1639526/paul-postma" TargetMode="External"/><Relationship Id="rId75" Type="http://schemas.openxmlformats.org/officeDocument/2006/relationships/hyperlink" Target="http://www.cbssports.com/fantasyhockey/players/playerpage/1133726/jordan-staal" TargetMode="External"/><Relationship Id="rId140" Type="http://schemas.openxmlformats.org/officeDocument/2006/relationships/hyperlink" Target="http://www.cbssports.com/fantasyhockey/players/playerpage/2000678/teuvo-teravainen" TargetMode="External"/><Relationship Id="rId182" Type="http://schemas.openxmlformats.org/officeDocument/2006/relationships/hyperlink" Target="http://www.cbssports.com/fantasyhockey/players/playerpage/1639388/jordan-eberle" TargetMode="External"/><Relationship Id="rId378" Type="http://schemas.openxmlformats.org/officeDocument/2006/relationships/hyperlink" Target="http://www.cbssports.com/fantasyhockey/players/playerpage/1707381/tyson-barrie" TargetMode="External"/><Relationship Id="rId403" Type="http://schemas.openxmlformats.org/officeDocument/2006/relationships/hyperlink" Target="http://www.cbssports.com/fantasyhockey/players/playerpage/1639453/tyler-myers" TargetMode="External"/><Relationship Id="rId6" Type="http://schemas.openxmlformats.org/officeDocument/2006/relationships/hyperlink" Target="http://www.cbssports.com/fantasyhockey/players/playerpage/1133717/joe-pavelski" TargetMode="External"/><Relationship Id="rId238" Type="http://schemas.openxmlformats.org/officeDocument/2006/relationships/hyperlink" Target="http://www.cbssports.com/fantasyhockey/players/playerpage/1897665/ryan-garbutt" TargetMode="External"/><Relationship Id="rId445" Type="http://schemas.openxmlformats.org/officeDocument/2006/relationships/hyperlink" Target="http://www.cbssports.com/fantasyhockey/players/playerpage/2094652/zach-trotman" TargetMode="External"/><Relationship Id="rId487" Type="http://schemas.openxmlformats.org/officeDocument/2006/relationships/hyperlink" Target="http://www.cbssports.com/fantasyhockey/players/playerpage/2197878/jaccob-slavin" TargetMode="External"/><Relationship Id="rId291" Type="http://schemas.openxmlformats.org/officeDocument/2006/relationships/hyperlink" Target="http://www.cbssports.com/fantasyhockey/players/playerpage/1707561/evander-kane" TargetMode="External"/><Relationship Id="rId305" Type="http://schemas.openxmlformats.org/officeDocument/2006/relationships/hyperlink" Target="http://www.cbssports.com/fantasyhockey/players/playerpage/2000670/tanner-pearson" TargetMode="External"/><Relationship Id="rId347" Type="http://schemas.openxmlformats.org/officeDocument/2006/relationships/hyperlink" Target="http://www.cbssports.com/fantasyhockey/players/playerpage/1897713/adam-lowry" TargetMode="External"/><Relationship Id="rId44" Type="http://schemas.openxmlformats.org/officeDocument/2006/relationships/hyperlink" Target="http://www.cbssports.com/fantasyhockey/players/playerpage/2147354/dylan-larkin" TargetMode="External"/><Relationship Id="rId86" Type="http://schemas.openxmlformats.org/officeDocument/2006/relationships/hyperlink" Target="http://www.cbssports.com/fantasyhockey/players/playerpage/1282214/brian-boyle" TargetMode="External"/><Relationship Id="rId151" Type="http://schemas.openxmlformats.org/officeDocument/2006/relationships/hyperlink" Target="http://www.cbssports.com/fantasyhockey/players/playerpage/274275/jay-mcclement" TargetMode="External"/><Relationship Id="rId389" Type="http://schemas.openxmlformats.org/officeDocument/2006/relationships/hyperlink" Target="http://www.cbssports.com/fantasyhockey/players/playerpage/1661360/david-schlemko" TargetMode="External"/><Relationship Id="rId193" Type="http://schemas.openxmlformats.org/officeDocument/2006/relationships/hyperlink" Target="http://www.cbssports.com/fantasyhockey/players/playerpage/1897745/gustav-nyquist" TargetMode="External"/><Relationship Id="rId207" Type="http://schemas.openxmlformats.org/officeDocument/2006/relationships/hyperlink" Target="http://www.cbssports.com/fantasyhockey/players/playerpage/151231/radim-vrbata" TargetMode="External"/><Relationship Id="rId249" Type="http://schemas.openxmlformats.org/officeDocument/2006/relationships/hyperlink" Target="http://www.cbssports.com/fantasyhockey/players/playerpage/2050261/alex-chiasson" TargetMode="External"/><Relationship Id="rId414" Type="http://schemas.openxmlformats.org/officeDocument/2006/relationships/hyperlink" Target="http://www.cbssports.com/fantasyhockey/players/playerpage/1639486/michael-stone" TargetMode="External"/><Relationship Id="rId456" Type="http://schemas.openxmlformats.org/officeDocument/2006/relationships/hyperlink" Target="http://www.cbssports.com/fantasyhockey/players/playerpage/1133601/andrew-macdonald" TargetMode="External"/><Relationship Id="rId498" Type="http://schemas.openxmlformats.org/officeDocument/2006/relationships/hyperlink" Target="http://www.cbssports.com/fantasyhockey/players/playerpage/1770947/martin-marincin" TargetMode="External"/><Relationship Id="rId13" Type="http://schemas.openxmlformats.org/officeDocument/2006/relationships/hyperlink" Target="http://www.cbssports.com/fantasyhockey/players/playerpage/1282456/jonathan-toews" TargetMode="External"/><Relationship Id="rId109" Type="http://schemas.openxmlformats.org/officeDocument/2006/relationships/hyperlink" Target="http://www.cbssports.com/fantasyhockey/players/playerpage/2184557/mitchell-marner" TargetMode="External"/><Relationship Id="rId260" Type="http://schemas.openxmlformats.org/officeDocument/2006/relationships/hyperlink" Target="http://www.cbssports.com/fantasyhockey/players/playerpage/1137449/mike-hoffman" TargetMode="External"/><Relationship Id="rId316" Type="http://schemas.openxmlformats.org/officeDocument/2006/relationships/hyperlink" Target="http://www.cbssports.com/fantasyhockey/players/playerpage/2076034/valeri-nichushkin" TargetMode="External"/><Relationship Id="rId55" Type="http://schemas.openxmlformats.org/officeDocument/2006/relationships/hyperlink" Target="http://www.cbssports.com/fantasyhockey/players/playerpage/566114/mikko-koivu" TargetMode="External"/><Relationship Id="rId97" Type="http://schemas.openxmlformats.org/officeDocument/2006/relationships/hyperlink" Target="http://www.cbssports.com/fantasyhockey/players/playerpage/2036205/mikael-granlund" TargetMode="External"/><Relationship Id="rId120" Type="http://schemas.openxmlformats.org/officeDocument/2006/relationships/hyperlink" Target="http://www.cbssports.com/fantasyhockey/players/playerpage/2000660/mikhail-grigorenko" TargetMode="External"/><Relationship Id="rId358" Type="http://schemas.openxmlformats.org/officeDocument/2006/relationships/hyperlink" Target="http://www.cbssports.com/fantasyhockey/players/playerpage/1697789/erik-karlsson" TargetMode="External"/><Relationship Id="rId162" Type="http://schemas.openxmlformats.org/officeDocument/2006/relationships/hyperlink" Target="http://www.cbssports.com/fantasyhockey/players/playerpage/1770996/mark-stone" TargetMode="External"/><Relationship Id="rId218" Type="http://schemas.openxmlformats.org/officeDocument/2006/relationships/hyperlink" Target="http://www.cbssports.com/fantasyhockey/players/playerpage/1133704/michael-grabner" TargetMode="External"/><Relationship Id="rId425" Type="http://schemas.openxmlformats.org/officeDocument/2006/relationships/hyperlink" Target="http://www.cbssports.com/fantasyhockey/players/playerpage/2076038/rasmus-ristolainen" TargetMode="External"/><Relationship Id="rId467" Type="http://schemas.openxmlformats.org/officeDocument/2006/relationships/hyperlink" Target="http://www.cbssports.com/fantasyhockey/players/playerpage/1707471/calvin-de-haan" TargetMode="External"/><Relationship Id="rId271" Type="http://schemas.openxmlformats.org/officeDocument/2006/relationships/hyperlink" Target="http://www.cbssports.com/fantasyhockey/players/playerpage/435197/chris-kunitz" TargetMode="External"/><Relationship Id="rId24" Type="http://schemas.openxmlformats.org/officeDocument/2006/relationships/hyperlink" Target="http://www.cbssports.com/fantasyhockey/players/playerpage/1770995/derek-stepan" TargetMode="External"/><Relationship Id="rId66" Type="http://schemas.openxmlformats.org/officeDocument/2006/relationships/hyperlink" Target="http://www.cbssports.com/fantasyhockey/players/playerpage/1628807/lars-eller" TargetMode="External"/><Relationship Id="rId131" Type="http://schemas.openxmlformats.org/officeDocument/2006/relationships/hyperlink" Target="http://www.cbssports.com/fantasyhockey/players/playerpage/1899080/phillip-danault" TargetMode="External"/><Relationship Id="rId327" Type="http://schemas.openxmlformats.org/officeDocument/2006/relationships/hyperlink" Target="http://www.cbssports.com/fantasyhockey/players/playerpage/2147085/christian-dvorak" TargetMode="External"/><Relationship Id="rId369" Type="http://schemas.openxmlformats.org/officeDocument/2006/relationships/hyperlink" Target="http://www.cbssports.com/fantasyhockey/players/playerpage/2146558/shayne-gostisbehere" TargetMode="External"/><Relationship Id="rId173" Type="http://schemas.openxmlformats.org/officeDocument/2006/relationships/hyperlink" Target="http://www.cbssports.com/fantasyhockey/players/playerpage/1770966/kyle-palmieri" TargetMode="External"/><Relationship Id="rId229" Type="http://schemas.openxmlformats.org/officeDocument/2006/relationships/hyperlink" Target="http://www.cbssports.com/fantasyhockey/players/playerpage/1133466/cal-clutterbuck" TargetMode="External"/><Relationship Id="rId380" Type="http://schemas.openxmlformats.org/officeDocument/2006/relationships/hyperlink" Target="http://www.cbssports.com/fantasyhockey/players/playerpage/1897659/justin-faulk" TargetMode="External"/><Relationship Id="rId436" Type="http://schemas.openxmlformats.org/officeDocument/2006/relationships/hyperlink" Target="http://www.cbssports.com/fantasyhockey/players/playerpage/2000679/jacob-trou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6"/>
  <sheetViews>
    <sheetView tabSelected="1" topLeftCell="F1" zoomScale="90" zoomScaleNormal="90" workbookViewId="0">
      <pane ySplit="1" topLeftCell="A2" activePane="bottomLeft" state="frozen"/>
      <selection pane="bottomLeft" activeCell="P2" sqref="P2"/>
    </sheetView>
  </sheetViews>
  <sheetFormatPr baseColWidth="10" defaultColWidth="11.375" defaultRowHeight="15" x14ac:dyDescent="0.25"/>
  <cols>
    <col min="2" max="2" width="17" bestFit="1" customWidth="1"/>
    <col min="3" max="3" width="16.375" customWidth="1"/>
    <col min="4" max="4" width="3.875" customWidth="1"/>
    <col min="5" max="5" width="11" style="10"/>
    <col min="11" max="11" width="11" style="9"/>
    <col min="12" max="12" width="11.375" customWidth="1"/>
    <col min="13" max="13" width="13.875" bestFit="1" customWidth="1"/>
    <col min="16" max="16" width="12.875" customWidth="1"/>
  </cols>
  <sheetData>
    <row r="1" spans="1:20" x14ac:dyDescent="0.25">
      <c r="A1" t="s">
        <v>154</v>
      </c>
      <c r="B1" t="s">
        <v>711</v>
      </c>
      <c r="C1" t="s">
        <v>712</v>
      </c>
      <c r="D1" t="s">
        <v>461</v>
      </c>
      <c r="E1" s="10" t="s">
        <v>96</v>
      </c>
      <c r="F1" t="s">
        <v>155</v>
      </c>
      <c r="G1" t="s">
        <v>156</v>
      </c>
      <c r="H1" t="s">
        <v>157</v>
      </c>
      <c r="I1" t="s">
        <v>714</v>
      </c>
      <c r="J1" t="s">
        <v>1685</v>
      </c>
      <c r="K1" s="9" t="s">
        <v>713</v>
      </c>
      <c r="L1" t="s">
        <v>715</v>
      </c>
      <c r="M1" t="s">
        <v>717</v>
      </c>
      <c r="N1" t="s">
        <v>716</v>
      </c>
    </row>
    <row r="2" spans="1:20" ht="15.75" thickBot="1" x14ac:dyDescent="0.3">
      <c r="A2" s="2"/>
      <c r="B2" t="s">
        <v>162</v>
      </c>
      <c r="C2" t="s">
        <v>163</v>
      </c>
      <c r="E2" s="12">
        <v>89</v>
      </c>
      <c r="F2">
        <v>90</v>
      </c>
      <c r="G2">
        <v>95</v>
      </c>
      <c r="H2">
        <v>90</v>
      </c>
      <c r="I2">
        <v>91</v>
      </c>
      <c r="J2">
        <v>112</v>
      </c>
      <c r="K2" s="9">
        <f>AVERAGE(Tableau1[[#This Row],[Lepool.com]:[CBS]])</f>
        <v>94.5</v>
      </c>
      <c r="L2">
        <f>_xlfn.STDEV.S(Tableau1[[#This Row],[Lepool.com]:[CBS]])</f>
        <v>8.8260976654464915</v>
      </c>
      <c r="M2">
        <f>AVERAGE(E2,G2,H2,I2,Tableau1[[#This Row],[CBS]])</f>
        <v>95.4</v>
      </c>
      <c r="N2">
        <f>AVERAGE(E2,G2,H2,I2,Tableau1[[#This Row],[CBS]])-Tableau1[[#This Row],[HM]]</f>
        <v>5.4000000000000057</v>
      </c>
      <c r="Q2" s="21" t="e">
        <f>VLOOKUP(P2,Tableau1[[Nom]:[Moyenne]],9,0)</f>
        <v>#N/A</v>
      </c>
      <c r="R2" s="21" t="e">
        <f>VLOOKUP(P2,Tableau1[[Nom]:[Écart-type]],10,0)</f>
        <v>#N/A</v>
      </c>
      <c r="S2" s="22" t="e">
        <f>Q2-R2</f>
        <v>#N/A</v>
      </c>
      <c r="T2" s="22" t="e">
        <f>Q2+R2</f>
        <v>#N/A</v>
      </c>
    </row>
    <row r="3" spans="1:20" ht="15.75" thickBot="1" x14ac:dyDescent="0.3">
      <c r="A3" s="1"/>
      <c r="B3" t="s">
        <v>164</v>
      </c>
      <c r="C3" t="s">
        <v>165</v>
      </c>
      <c r="E3" s="13">
        <v>87</v>
      </c>
      <c r="F3">
        <v>93</v>
      </c>
      <c r="G3">
        <v>102</v>
      </c>
      <c r="H3">
        <v>95</v>
      </c>
      <c r="I3">
        <v>93</v>
      </c>
      <c r="J3">
        <v>89</v>
      </c>
      <c r="K3" s="9">
        <f>AVERAGE(Tableau1[[#This Row],[Lepool.com]:[CBS]])</f>
        <v>93.166666666666671</v>
      </c>
      <c r="L3">
        <f>_xlfn.STDEV.S(Tableau1[[#This Row],[Lepool.com]:[CBS]])</f>
        <v>5.23131595936115</v>
      </c>
      <c r="M3">
        <f>AVERAGE(E3,G3,H3,I3,Tableau1[[#This Row],[CBS]])</f>
        <v>93.2</v>
      </c>
      <c r="N3">
        <f>AVERAGE(E3,G3,H3,I3,Tableau1[[#This Row],[CBS]])-Tableau1[[#This Row],[HM]]</f>
        <v>0.20000000000000284</v>
      </c>
      <c r="P3" t="s">
        <v>328</v>
      </c>
      <c r="Q3" s="21">
        <f>VLOOKUP(P3,Tableau1[[Nom]:[Moyenne]],9,0)</f>
        <v>51.666666666666664</v>
      </c>
      <c r="R3" s="21">
        <f>VLOOKUP(P3,Tableau1[[Nom]:[Écart-type]],10,0)</f>
        <v>4.6761807778000488</v>
      </c>
      <c r="S3" s="22">
        <f t="shared" ref="S3:S6" si="0">Q3-R3</f>
        <v>46.990485888866615</v>
      </c>
      <c r="T3" s="22">
        <f t="shared" ref="T3:T6" si="1">Q3+R3</f>
        <v>56.342847444466713</v>
      </c>
    </row>
    <row r="4" spans="1:20" ht="15.75" thickBot="1" x14ac:dyDescent="0.3">
      <c r="A4" s="1"/>
      <c r="B4" t="s">
        <v>158</v>
      </c>
      <c r="C4" t="s">
        <v>159</v>
      </c>
      <c r="E4" s="13">
        <v>90</v>
      </c>
      <c r="F4">
        <v>92</v>
      </c>
      <c r="G4">
        <v>91</v>
      </c>
      <c r="H4">
        <v>82</v>
      </c>
      <c r="I4">
        <v>93</v>
      </c>
      <c r="J4">
        <v>92</v>
      </c>
      <c r="K4" s="9">
        <f>AVERAGE(Tableau1[[#This Row],[Lepool.com]:[CBS]])</f>
        <v>90</v>
      </c>
      <c r="L4">
        <f>_xlfn.STDEV.S(Tableau1[[#This Row],[Lepool.com]:[CBS]])</f>
        <v>4.0496913462633168</v>
      </c>
      <c r="M4">
        <f>AVERAGE(E4,G4,H4,I4,Tableau1[[#This Row],[CBS]])</f>
        <v>89.6</v>
      </c>
      <c r="N4">
        <f>AVERAGE(E4,G4,H4,I4,Tableau1[[#This Row],[CBS]])-Tableau1[[#This Row],[HM]]</f>
        <v>-2.4000000000000057</v>
      </c>
      <c r="P4" t="s">
        <v>279</v>
      </c>
      <c r="Q4" s="21">
        <f>VLOOKUP(P4,Tableau1[[Nom]:[Moyenne]],9,0)</f>
        <v>56.833333333333336</v>
      </c>
      <c r="R4" s="21">
        <f>VLOOKUP(P4,Tableau1[[Nom]:[Écart-type]],10,0)</f>
        <v>2.4013884872437168</v>
      </c>
      <c r="S4" s="22">
        <f t="shared" si="0"/>
        <v>54.431944846089621</v>
      </c>
      <c r="T4" s="22">
        <f t="shared" si="1"/>
        <v>59.23472182057705</v>
      </c>
    </row>
    <row r="5" spans="1:20" ht="15.75" thickBot="1" x14ac:dyDescent="0.3">
      <c r="A5" s="2"/>
      <c r="B5" t="s">
        <v>160</v>
      </c>
      <c r="C5" t="s">
        <v>161</v>
      </c>
      <c r="E5" s="13">
        <v>90</v>
      </c>
      <c r="F5">
        <v>87</v>
      </c>
      <c r="G5">
        <v>85</v>
      </c>
      <c r="H5">
        <v>96</v>
      </c>
      <c r="I5">
        <v>84</v>
      </c>
      <c r="J5">
        <v>82</v>
      </c>
      <c r="K5" s="14">
        <f>AVERAGE(Tableau1[[#This Row],[Lepool.com]:[CBS]])</f>
        <v>87.333333333333329</v>
      </c>
      <c r="L5">
        <f>_xlfn.STDEV.S(Tableau1[[#This Row],[Lepool.com]:[CBS]])</f>
        <v>5.0464508980734832</v>
      </c>
      <c r="M5">
        <f>AVERAGE(E5,G5,H5,I5,Tableau1[[#This Row],[CBS]])</f>
        <v>87.4</v>
      </c>
      <c r="N5">
        <f>AVERAGE(E5,G5,H5,I5,Tableau1[[#This Row],[CBS]])-Tableau1[[#This Row],[HM]]</f>
        <v>0.40000000000000568</v>
      </c>
      <c r="P5" t="s">
        <v>1518</v>
      </c>
      <c r="Q5" s="21">
        <f>VLOOKUP(P5,Tableau1[[Nom]:[Moyenne]],9,0)</f>
        <v>57.833333333333336</v>
      </c>
      <c r="R5" s="21">
        <f>VLOOKUP(P5,Tableau1[[Nom]:[Écart-type]],10,0)</f>
        <v>1.7224014243685084</v>
      </c>
      <c r="S5" s="22">
        <f t="shared" si="0"/>
        <v>56.11093190896483</v>
      </c>
      <c r="T5" s="22">
        <f t="shared" si="1"/>
        <v>59.555734757701842</v>
      </c>
    </row>
    <row r="6" spans="1:20" ht="15.75" thickBot="1" x14ac:dyDescent="0.3">
      <c r="A6" s="1"/>
      <c r="B6" t="s">
        <v>166</v>
      </c>
      <c r="C6" t="s">
        <v>167</v>
      </c>
      <c r="E6" s="13">
        <v>85</v>
      </c>
      <c r="F6">
        <v>85</v>
      </c>
      <c r="G6">
        <v>83</v>
      </c>
      <c r="H6">
        <v>75</v>
      </c>
      <c r="I6">
        <v>77</v>
      </c>
      <c r="J6">
        <v>82</v>
      </c>
      <c r="K6" s="9">
        <f>AVERAGE(Tableau1[[#This Row],[Lepool.com]:[CBS]])</f>
        <v>81.166666666666671</v>
      </c>
      <c r="L6">
        <f>_xlfn.STDEV.S(Tableau1[[#This Row],[Lepool.com]:[CBS]])</f>
        <v>4.2150523919242886</v>
      </c>
      <c r="M6">
        <f>AVERAGE(E6,G6,H6,I6,Tableau1[[#This Row],[CBS]])</f>
        <v>80.400000000000006</v>
      </c>
      <c r="N6">
        <f>AVERAGE(E6,G6,H6,I6,Tableau1[[#This Row],[CBS]])-Tableau1[[#This Row],[HM]]</f>
        <v>-4.5999999999999943</v>
      </c>
      <c r="P6" t="s">
        <v>1532</v>
      </c>
      <c r="Q6" s="21" t="e">
        <f>VLOOKUP(P6,Tableau1[[Nom]:[Moyenne]],9,0)</f>
        <v>#N/A</v>
      </c>
      <c r="R6" s="21" t="e">
        <f>VLOOKUP(P6,Tableau1[[Nom]:[Écart-type]],10,0)</f>
        <v>#N/A</v>
      </c>
      <c r="S6" s="22" t="e">
        <f t="shared" si="0"/>
        <v>#N/A</v>
      </c>
      <c r="T6" s="22" t="e">
        <f t="shared" si="1"/>
        <v>#N/A</v>
      </c>
    </row>
    <row r="7" spans="1:20" ht="15.75" thickBot="1" x14ac:dyDescent="0.3">
      <c r="A7" s="1"/>
      <c r="B7" t="s">
        <v>176</v>
      </c>
      <c r="C7" t="s">
        <v>177</v>
      </c>
      <c r="E7" s="13">
        <v>78</v>
      </c>
      <c r="F7">
        <v>80</v>
      </c>
      <c r="G7">
        <v>78</v>
      </c>
      <c r="H7">
        <v>77</v>
      </c>
      <c r="I7">
        <v>82</v>
      </c>
      <c r="J7">
        <v>88</v>
      </c>
      <c r="K7" s="9">
        <f>AVERAGE(Tableau1[[#This Row],[Lepool.com]:[CBS]])</f>
        <v>80.5</v>
      </c>
      <c r="L7">
        <f>_xlfn.STDEV.S(Tableau1[[#This Row],[Lepool.com]:[CBS]])</f>
        <v>4.0865633483405102</v>
      </c>
      <c r="M7">
        <f>AVERAGE(E7,G7,H7,I7,Tableau1[[#This Row],[CBS]])</f>
        <v>80.599999999999994</v>
      </c>
      <c r="N7">
        <f>AVERAGE(E7,G7,H7,I7,Tableau1[[#This Row],[CBS]])-Tableau1[[#This Row],[HM]]</f>
        <v>0.59999999999999432</v>
      </c>
      <c r="Q7" s="21" t="e">
        <f>VLOOKUP(P7,Tableau1[[Nom]:[Moyenne]],9,0)</f>
        <v>#N/A</v>
      </c>
      <c r="R7" s="21" t="e">
        <f>VLOOKUP(P7,Tableau1[[Nom]:[Écart-type]],10,0)</f>
        <v>#N/A</v>
      </c>
      <c r="S7" s="22" t="e">
        <f t="shared" ref="S7:S9" si="2">Q7-R7</f>
        <v>#N/A</v>
      </c>
      <c r="T7" s="22" t="e">
        <f t="shared" ref="T7:T9" si="3">Q7+R7</f>
        <v>#N/A</v>
      </c>
    </row>
    <row r="8" spans="1:20" ht="15.75" thickBot="1" x14ac:dyDescent="0.3">
      <c r="A8" s="2"/>
      <c r="B8" t="s">
        <v>172</v>
      </c>
      <c r="C8" t="s">
        <v>173</v>
      </c>
      <c r="E8" s="13">
        <v>80</v>
      </c>
      <c r="F8">
        <v>84</v>
      </c>
      <c r="G8">
        <v>74</v>
      </c>
      <c r="H8">
        <v>80</v>
      </c>
      <c r="I8">
        <v>84</v>
      </c>
      <c r="J8">
        <v>77</v>
      </c>
      <c r="K8" s="9">
        <f>AVERAGE(Tableau1[[#This Row],[Lepool.com]:[CBS]])</f>
        <v>79.833333333333329</v>
      </c>
      <c r="L8">
        <f>_xlfn.STDEV.S(Tableau1[[#This Row],[Lepool.com]:[CBS]])</f>
        <v>3.9200340134578759</v>
      </c>
      <c r="M8">
        <f>AVERAGE(E8,G8,H8,I8,Tableau1[[#This Row],[CBS]])</f>
        <v>79</v>
      </c>
      <c r="N8">
        <f>AVERAGE(E8,G8,H8,I8,Tableau1[[#This Row],[CBS]])-Tableau1[[#This Row],[HM]]</f>
        <v>-5</v>
      </c>
      <c r="Q8" s="21" t="e">
        <f>VLOOKUP(P8,Tableau1[[Nom]:[Moyenne]],9,0)</f>
        <v>#N/A</v>
      </c>
      <c r="R8" s="21" t="e">
        <f>VLOOKUP(P8,Tableau1[[Nom]:[Écart-type]],10,0)</f>
        <v>#N/A</v>
      </c>
      <c r="S8" s="22" t="e">
        <f t="shared" si="2"/>
        <v>#N/A</v>
      </c>
      <c r="T8" s="22" t="e">
        <f t="shared" si="3"/>
        <v>#N/A</v>
      </c>
    </row>
    <row r="9" spans="1:20" ht="15.75" thickBot="1" x14ac:dyDescent="0.3">
      <c r="A9" s="1"/>
      <c r="B9" t="s">
        <v>170</v>
      </c>
      <c r="C9" t="s">
        <v>171</v>
      </c>
      <c r="E9" s="13">
        <v>80</v>
      </c>
      <c r="F9">
        <v>85</v>
      </c>
      <c r="G9">
        <v>76</v>
      </c>
      <c r="H9">
        <v>83</v>
      </c>
      <c r="I9">
        <v>78</v>
      </c>
      <c r="J9">
        <v>76</v>
      </c>
      <c r="K9" s="9">
        <f>AVERAGE(Tableau1[[#This Row],[Lepool.com]:[CBS]])</f>
        <v>79.666666666666671</v>
      </c>
      <c r="L9">
        <f>_xlfn.STDEV.S(Tableau1[[#This Row],[Lepool.com]:[CBS]])</f>
        <v>3.723797345005051</v>
      </c>
      <c r="M9">
        <f>AVERAGE(E9,G9,H9,I9,Tableau1[[#This Row],[CBS]])</f>
        <v>78.599999999999994</v>
      </c>
      <c r="N9">
        <f>AVERAGE(E9,G9,H9,I9,Tableau1[[#This Row],[CBS]])-Tableau1[[#This Row],[HM]]</f>
        <v>-6.4000000000000057</v>
      </c>
      <c r="Q9" s="21" t="e">
        <f>VLOOKUP(P9,Tableau1[[Nom]:[Moyenne]],9,0)</f>
        <v>#N/A</v>
      </c>
      <c r="R9" s="21" t="e">
        <f>VLOOKUP(P9,Tableau1[[Nom]:[Écart-type]],10,0)</f>
        <v>#N/A</v>
      </c>
      <c r="S9" s="22" t="e">
        <f t="shared" si="2"/>
        <v>#N/A</v>
      </c>
      <c r="T9" s="22" t="e">
        <f t="shared" si="3"/>
        <v>#N/A</v>
      </c>
    </row>
    <row r="10" spans="1:20" ht="15.75" thickBot="1" x14ac:dyDescent="0.3">
      <c r="A10" s="1"/>
      <c r="B10" t="s">
        <v>178</v>
      </c>
      <c r="C10" t="s">
        <v>179</v>
      </c>
      <c r="E10" s="13">
        <v>77</v>
      </c>
      <c r="F10">
        <v>77</v>
      </c>
      <c r="G10">
        <v>75</v>
      </c>
      <c r="H10">
        <v>83</v>
      </c>
      <c r="I10">
        <v>81</v>
      </c>
      <c r="J10">
        <v>75</v>
      </c>
      <c r="K10" s="9">
        <f>AVERAGE(Tableau1[[#This Row],[Lepool.com]:[CBS]])</f>
        <v>78</v>
      </c>
      <c r="L10">
        <f>_xlfn.STDEV.S(Tableau1[[#This Row],[Lepool.com]:[CBS]])</f>
        <v>3.2863353450309969</v>
      </c>
      <c r="M10">
        <f>AVERAGE(E10,G10,H10,I10,Tableau1[[#This Row],[CBS]])</f>
        <v>78.2</v>
      </c>
      <c r="N10">
        <f>AVERAGE(E10,G10,H10,I10,Tableau1[[#This Row],[CBS]])-Tableau1[[#This Row],[HM]]</f>
        <v>1.2000000000000028</v>
      </c>
    </row>
    <row r="11" spans="1:20" ht="15.75" thickBot="1" x14ac:dyDescent="0.3">
      <c r="A11" s="2"/>
      <c r="B11" t="s">
        <v>202</v>
      </c>
      <c r="C11" t="s">
        <v>203</v>
      </c>
      <c r="E11" s="13">
        <v>70</v>
      </c>
      <c r="F11">
        <v>76</v>
      </c>
      <c r="G11">
        <v>82</v>
      </c>
      <c r="H11">
        <v>73</v>
      </c>
      <c r="I11">
        <v>72</v>
      </c>
      <c r="J11">
        <v>90</v>
      </c>
      <c r="K11" s="9">
        <f>AVERAGE(Tableau1[[#This Row],[Lepool.com]:[CBS]])</f>
        <v>77.166666666666671</v>
      </c>
      <c r="L11">
        <f>_xlfn.STDEV.S(Tableau1[[#This Row],[Lepool.com]:[CBS]])</f>
        <v>7.547626558506102</v>
      </c>
      <c r="M11">
        <f>AVERAGE(E11,G11,H11,I11,Tableau1[[#This Row],[CBS]])</f>
        <v>77.400000000000006</v>
      </c>
      <c r="N11">
        <f>AVERAGE(E11,G11,H11,I11,Tableau1[[#This Row],[CBS]])-Tableau1[[#This Row],[HM]]</f>
        <v>1.4000000000000057</v>
      </c>
    </row>
    <row r="12" spans="1:20" ht="15.75" thickBot="1" x14ac:dyDescent="0.3">
      <c r="A12" s="1"/>
      <c r="B12" t="s">
        <v>168</v>
      </c>
      <c r="C12" t="s">
        <v>169</v>
      </c>
      <c r="E12" s="13">
        <v>81</v>
      </c>
      <c r="F12">
        <v>79</v>
      </c>
      <c r="G12">
        <v>72</v>
      </c>
      <c r="H12">
        <v>75</v>
      </c>
      <c r="I12">
        <v>76</v>
      </c>
      <c r="J12">
        <v>78</v>
      </c>
      <c r="K12" s="9">
        <f>AVERAGE(Tableau1[[#This Row],[Lepool.com]:[CBS]])</f>
        <v>76.833333333333329</v>
      </c>
      <c r="L12">
        <f>_xlfn.STDEV.S(Tableau1[[#This Row],[Lepool.com]:[CBS]])</f>
        <v>3.1885210782848317</v>
      </c>
      <c r="M12">
        <f>AVERAGE(E12,G12,H12,I12,Tableau1[[#This Row],[CBS]])</f>
        <v>76.400000000000006</v>
      </c>
      <c r="N12">
        <f>AVERAGE(E12,G12,H12,I12,Tableau1[[#This Row],[CBS]])-Tableau1[[#This Row],[HM]]</f>
        <v>-2.5999999999999943</v>
      </c>
    </row>
    <row r="13" spans="1:20" ht="15.75" thickBot="1" x14ac:dyDescent="0.3">
      <c r="A13" s="1"/>
      <c r="B13" t="s">
        <v>174</v>
      </c>
      <c r="C13" t="s">
        <v>175</v>
      </c>
      <c r="E13" s="13">
        <v>79</v>
      </c>
      <c r="F13">
        <v>79</v>
      </c>
      <c r="G13">
        <v>76</v>
      </c>
      <c r="H13">
        <v>75</v>
      </c>
      <c r="I13">
        <v>73</v>
      </c>
      <c r="J13">
        <v>76</v>
      </c>
      <c r="K13" s="9">
        <f>AVERAGE(Tableau1[[#This Row],[Lepool.com]:[CBS]])</f>
        <v>76.333333333333329</v>
      </c>
      <c r="L13">
        <f>_xlfn.STDEV.S(Tableau1[[#This Row],[Lepool.com]:[CBS]])</f>
        <v>2.3380903889000244</v>
      </c>
      <c r="M13">
        <f>AVERAGE(E13,G13,H13,I13,Tableau1[[#This Row],[CBS]])</f>
        <v>75.8</v>
      </c>
      <c r="N13">
        <f>AVERAGE(E13,G13,H13,I13,Tableau1[[#This Row],[CBS]])-Tableau1[[#This Row],[HM]]</f>
        <v>-3.2000000000000028</v>
      </c>
    </row>
    <row r="14" spans="1:20" ht="15.75" thickBot="1" x14ac:dyDescent="0.3">
      <c r="A14" s="2"/>
      <c r="B14" t="s">
        <v>182</v>
      </c>
      <c r="C14" t="s">
        <v>183</v>
      </c>
      <c r="E14" s="13">
        <v>76</v>
      </c>
      <c r="F14">
        <v>77</v>
      </c>
      <c r="G14">
        <v>75</v>
      </c>
      <c r="H14">
        <v>73</v>
      </c>
      <c r="I14">
        <v>76</v>
      </c>
      <c r="J14">
        <v>78</v>
      </c>
      <c r="K14" s="9">
        <f>AVERAGE(Tableau1[[#This Row],[Lepool.com]:[CBS]])</f>
        <v>75.833333333333329</v>
      </c>
      <c r="L14">
        <f>_xlfn.STDEV.S(Tableau1[[#This Row],[Lepool.com]:[CBS]])</f>
        <v>1.7224014243685084</v>
      </c>
      <c r="M14">
        <f>AVERAGE(E14,G14,H14,I14,Tableau1[[#This Row],[CBS]])</f>
        <v>75.599999999999994</v>
      </c>
      <c r="N14">
        <f>AVERAGE(E14,G14,H14,I14,Tableau1[[#This Row],[CBS]])-Tableau1[[#This Row],[HM]]</f>
        <v>-1.4000000000000057</v>
      </c>
    </row>
    <row r="15" spans="1:20" ht="15.75" thickBot="1" x14ac:dyDescent="0.3">
      <c r="A15" s="1"/>
      <c r="B15" t="s">
        <v>198</v>
      </c>
      <c r="C15" t="s">
        <v>199</v>
      </c>
      <c r="E15" s="13">
        <v>71</v>
      </c>
      <c r="F15">
        <v>74</v>
      </c>
      <c r="G15">
        <v>72</v>
      </c>
      <c r="H15">
        <v>66</v>
      </c>
      <c r="I15">
        <v>82</v>
      </c>
      <c r="J15">
        <v>84</v>
      </c>
      <c r="K15" s="9">
        <f>AVERAGE(Tableau1[[#This Row],[Lepool.com]:[CBS]])</f>
        <v>74.833333333333329</v>
      </c>
      <c r="L15">
        <f>_xlfn.STDEV.S(Tableau1[[#This Row],[Lepool.com]:[CBS]])</f>
        <v>6.8823445617512249</v>
      </c>
      <c r="M15">
        <f>AVERAGE(E15,G15,H15,I15,Tableau1[[#This Row],[CBS]])</f>
        <v>75</v>
      </c>
      <c r="N15">
        <f>AVERAGE(E15,G15,H15,I15,Tableau1[[#This Row],[CBS]])-Tableau1[[#This Row],[HM]]</f>
        <v>1</v>
      </c>
    </row>
    <row r="16" spans="1:20" ht="15.75" thickBot="1" x14ac:dyDescent="0.3">
      <c r="A16" s="1"/>
      <c r="B16" t="s">
        <v>206</v>
      </c>
      <c r="C16" t="s">
        <v>207</v>
      </c>
      <c r="E16" s="13">
        <v>69</v>
      </c>
      <c r="F16">
        <v>75</v>
      </c>
      <c r="G16">
        <v>72</v>
      </c>
      <c r="H16">
        <v>80</v>
      </c>
      <c r="I16">
        <v>80</v>
      </c>
      <c r="J16">
        <v>71</v>
      </c>
      <c r="K16" s="9">
        <f>AVERAGE(Tableau1[[#This Row],[Lepool.com]:[CBS]])</f>
        <v>74.5</v>
      </c>
      <c r="L16">
        <f>_xlfn.STDEV.S(Tableau1[[#This Row],[Lepool.com]:[CBS]])</f>
        <v>4.6797435827190359</v>
      </c>
      <c r="M16">
        <f>AVERAGE(E16,G16,H16,I16,Tableau1[[#This Row],[CBS]])</f>
        <v>74.400000000000006</v>
      </c>
      <c r="N16">
        <f>AVERAGE(E16,G16,H16,I16,Tableau1[[#This Row],[CBS]])-Tableau1[[#This Row],[HM]]</f>
        <v>-0.59999999999999432</v>
      </c>
    </row>
    <row r="17" spans="1:14" ht="15.75" thickBot="1" x14ac:dyDescent="0.3">
      <c r="A17" s="2"/>
      <c r="B17" t="s">
        <v>208</v>
      </c>
      <c r="C17" t="s">
        <v>209</v>
      </c>
      <c r="E17" s="13">
        <v>69</v>
      </c>
      <c r="F17">
        <v>72</v>
      </c>
      <c r="G17">
        <v>70</v>
      </c>
      <c r="H17">
        <v>77</v>
      </c>
      <c r="I17">
        <v>74</v>
      </c>
      <c r="J17">
        <v>85</v>
      </c>
      <c r="K17" s="9">
        <f>AVERAGE(Tableau1[[#This Row],[Lepool.com]:[CBS]])</f>
        <v>74.5</v>
      </c>
      <c r="L17">
        <f>_xlfn.STDEV.S(Tableau1[[#This Row],[Lepool.com]:[CBS]])</f>
        <v>5.8906705900092566</v>
      </c>
      <c r="M17">
        <f>AVERAGE(E17,G17,H17,I17,Tableau1[[#This Row],[CBS]])</f>
        <v>75</v>
      </c>
      <c r="N17">
        <f>AVERAGE(E17,G17,H17,I17,Tableau1[[#This Row],[CBS]])-Tableau1[[#This Row],[HM]]</f>
        <v>3</v>
      </c>
    </row>
    <row r="18" spans="1:14" ht="15.75" thickBot="1" x14ac:dyDescent="0.3">
      <c r="A18" s="1"/>
      <c r="B18" t="s">
        <v>184</v>
      </c>
      <c r="C18" t="s">
        <v>185</v>
      </c>
      <c r="E18" s="13">
        <v>75</v>
      </c>
      <c r="F18">
        <v>77</v>
      </c>
      <c r="G18">
        <v>76</v>
      </c>
      <c r="H18">
        <v>73</v>
      </c>
      <c r="I18">
        <v>70</v>
      </c>
      <c r="J18">
        <v>73</v>
      </c>
      <c r="K18" s="9">
        <f>AVERAGE(Tableau1[[#This Row],[Lepool.com]:[CBS]])</f>
        <v>74</v>
      </c>
      <c r="L18">
        <f>_xlfn.STDEV.S(Tableau1[[#This Row],[Lepool.com]:[CBS]])</f>
        <v>2.5298221281347035</v>
      </c>
      <c r="M18">
        <f>AVERAGE(E18,G18,H18,I18,Tableau1[[#This Row],[CBS]])</f>
        <v>73.400000000000006</v>
      </c>
      <c r="N18">
        <f>AVERAGE(E18,G18,H18,I18,Tableau1[[#This Row],[CBS]])-Tableau1[[#This Row],[HM]]</f>
        <v>-3.5999999999999943</v>
      </c>
    </row>
    <row r="19" spans="1:14" ht="15.75" thickBot="1" x14ac:dyDescent="0.3">
      <c r="A19" s="1"/>
      <c r="B19" t="s">
        <v>186</v>
      </c>
      <c r="C19" t="s">
        <v>187</v>
      </c>
      <c r="E19" s="13">
        <v>74</v>
      </c>
      <c r="F19">
        <v>71</v>
      </c>
      <c r="G19">
        <v>77</v>
      </c>
      <c r="H19">
        <v>72</v>
      </c>
      <c r="I19">
        <v>70</v>
      </c>
      <c r="J19">
        <v>78</v>
      </c>
      <c r="K19" s="9">
        <f>AVERAGE(Tableau1[[#This Row],[Lepool.com]:[CBS]])</f>
        <v>73.666666666666671</v>
      </c>
      <c r="L19">
        <f>_xlfn.STDEV.S(Tableau1[[#This Row],[Lepool.com]:[CBS]])</f>
        <v>3.2659863237109041</v>
      </c>
      <c r="M19">
        <f>AVERAGE(E19,G19,H19,I19,Tableau1[[#This Row],[CBS]])</f>
        <v>74.2</v>
      </c>
      <c r="N19">
        <f>AVERAGE(E19,G19,H19,I19,Tableau1[[#This Row],[CBS]])-Tableau1[[#This Row],[HM]]</f>
        <v>3.2000000000000028</v>
      </c>
    </row>
    <row r="20" spans="1:14" ht="15.75" thickBot="1" x14ac:dyDescent="0.3">
      <c r="A20" s="2"/>
      <c r="B20" t="s">
        <v>168</v>
      </c>
      <c r="C20" t="s">
        <v>200</v>
      </c>
      <c r="E20" s="13">
        <v>71</v>
      </c>
      <c r="F20">
        <v>72</v>
      </c>
      <c r="G20">
        <v>70</v>
      </c>
      <c r="H20">
        <v>70</v>
      </c>
      <c r="I20">
        <v>76</v>
      </c>
      <c r="J20">
        <v>77</v>
      </c>
      <c r="K20" s="9">
        <f>AVERAGE(Tableau1[[#This Row],[Lepool.com]:[CBS]])</f>
        <v>72.666666666666671</v>
      </c>
      <c r="L20">
        <f>_xlfn.STDEV.S(Tableau1[[#This Row],[Lepool.com]:[CBS]])</f>
        <v>3.0767948691238201</v>
      </c>
      <c r="M20">
        <f>AVERAGE(E20,G20,H20,I20,Tableau1[[#This Row],[CBS]])</f>
        <v>72.8</v>
      </c>
      <c r="N20">
        <f>AVERAGE(E20,G20,H20,I20,Tableau1[[#This Row],[CBS]])-Tableau1[[#This Row],[HM]]</f>
        <v>0.79999999999999716</v>
      </c>
    </row>
    <row r="21" spans="1:14" ht="15.75" thickBot="1" x14ac:dyDescent="0.3">
      <c r="A21" s="1"/>
      <c r="B21" t="s">
        <v>180</v>
      </c>
      <c r="C21" t="s">
        <v>181</v>
      </c>
      <c r="E21" s="13">
        <v>77</v>
      </c>
      <c r="F21">
        <v>72</v>
      </c>
      <c r="G21">
        <v>68</v>
      </c>
      <c r="H21">
        <v>70</v>
      </c>
      <c r="I21">
        <v>73</v>
      </c>
      <c r="J21">
        <v>75</v>
      </c>
      <c r="K21" s="9">
        <f>AVERAGE(Tableau1[[#This Row],[Lepool.com]:[CBS]])</f>
        <v>72.5</v>
      </c>
      <c r="L21">
        <f>_xlfn.STDEV.S(Tableau1[[#This Row],[Lepool.com]:[CBS]])</f>
        <v>3.271085446759225</v>
      </c>
      <c r="M21">
        <f>AVERAGE(E21,G21,H21,I21,Tableau1[[#This Row],[CBS]])</f>
        <v>72.599999999999994</v>
      </c>
      <c r="N21">
        <f>AVERAGE(E21,G21,H21,I21,Tableau1[[#This Row],[CBS]])-Tableau1[[#This Row],[HM]]</f>
        <v>0.59999999999999432</v>
      </c>
    </row>
    <row r="22" spans="1:14" ht="15.75" thickBot="1" x14ac:dyDescent="0.3">
      <c r="A22" s="1"/>
      <c r="B22" t="s">
        <v>192</v>
      </c>
      <c r="C22" t="s">
        <v>193</v>
      </c>
      <c r="E22" s="13">
        <v>73</v>
      </c>
      <c r="F22">
        <v>69</v>
      </c>
      <c r="G22">
        <v>68</v>
      </c>
      <c r="H22">
        <v>72</v>
      </c>
      <c r="I22">
        <v>73</v>
      </c>
      <c r="J22">
        <v>80</v>
      </c>
      <c r="K22" s="9">
        <f>AVERAGE(Tableau1[[#This Row],[Lepool.com]:[CBS]])</f>
        <v>72.5</v>
      </c>
      <c r="L22">
        <f>_xlfn.STDEV.S(Tableau1[[#This Row],[Lepool.com]:[CBS]])</f>
        <v>4.2308391602612359</v>
      </c>
      <c r="M22">
        <f>AVERAGE(E22,G22,H22,I22,Tableau1[[#This Row],[CBS]])</f>
        <v>73.2</v>
      </c>
      <c r="N22">
        <f>AVERAGE(E22,G22,H22,I22,Tableau1[[#This Row],[CBS]])-Tableau1[[#This Row],[HM]]</f>
        <v>4.2000000000000028</v>
      </c>
    </row>
    <row r="23" spans="1:14" ht="15.75" thickBot="1" x14ac:dyDescent="0.3">
      <c r="A23" s="2"/>
      <c r="B23" t="s">
        <v>188</v>
      </c>
      <c r="C23" t="s">
        <v>189</v>
      </c>
      <c r="E23" s="13">
        <v>74</v>
      </c>
      <c r="F23">
        <v>71</v>
      </c>
      <c r="G23">
        <v>68</v>
      </c>
      <c r="H23">
        <v>74</v>
      </c>
      <c r="I23">
        <v>66</v>
      </c>
      <c r="J23">
        <v>75</v>
      </c>
      <c r="K23" s="9">
        <f>AVERAGE(Tableau1[[#This Row],[Lepool.com]:[CBS]])</f>
        <v>71.333333333333329</v>
      </c>
      <c r="L23">
        <f>_xlfn.STDEV.S(Tableau1[[#This Row],[Lepool.com]:[CBS]])</f>
        <v>3.6696957185394359</v>
      </c>
      <c r="M23">
        <f>AVERAGE(E23,G23,H23,I23,Tableau1[[#This Row],[CBS]])</f>
        <v>71.400000000000006</v>
      </c>
      <c r="N23">
        <f>AVERAGE(E23,G23,H23,I23,Tableau1[[#This Row],[CBS]])-Tableau1[[#This Row],[HM]]</f>
        <v>0.40000000000000568</v>
      </c>
    </row>
    <row r="24" spans="1:14" ht="15.75" thickBot="1" x14ac:dyDescent="0.3">
      <c r="A24" s="1"/>
      <c r="B24" t="s">
        <v>222</v>
      </c>
      <c r="C24" t="s">
        <v>223</v>
      </c>
      <c r="E24" s="13">
        <v>66</v>
      </c>
      <c r="F24">
        <v>69</v>
      </c>
      <c r="G24">
        <v>64</v>
      </c>
      <c r="H24">
        <v>64</v>
      </c>
      <c r="I24">
        <v>71</v>
      </c>
      <c r="J24">
        <v>77</v>
      </c>
      <c r="K24" s="9">
        <f>AVERAGE(Tableau1[[#This Row],[Lepool.com]:[CBS]])</f>
        <v>68.5</v>
      </c>
      <c r="L24">
        <f>_xlfn.STDEV.S(Tableau1[[#This Row],[Lepool.com]:[CBS]])</f>
        <v>5.0099900199501395</v>
      </c>
      <c r="M24">
        <f>AVERAGE(E24,G24,H24,I24,Tableau1[[#This Row],[CBS]])</f>
        <v>68.400000000000006</v>
      </c>
      <c r="N24">
        <f>AVERAGE(E24,G24,H24,I24,Tableau1[[#This Row],[CBS]])-Tableau1[[#This Row],[HM]]</f>
        <v>-0.59999999999999432</v>
      </c>
    </row>
    <row r="25" spans="1:14" ht="15.75" thickBot="1" x14ac:dyDescent="0.3">
      <c r="A25" s="1"/>
      <c r="B25" t="s">
        <v>196</v>
      </c>
      <c r="C25" t="s">
        <v>197</v>
      </c>
      <c r="E25" s="13">
        <v>72</v>
      </c>
      <c r="F25">
        <v>68</v>
      </c>
      <c r="G25">
        <v>70</v>
      </c>
      <c r="H25">
        <v>70</v>
      </c>
      <c r="I25">
        <v>61</v>
      </c>
      <c r="J25">
        <v>70</v>
      </c>
      <c r="K25" s="9">
        <f>AVERAGE(Tableau1[[#This Row],[Lepool.com]:[CBS]])</f>
        <v>68.5</v>
      </c>
      <c r="L25">
        <f>_xlfn.STDEV.S(Tableau1[[#This Row],[Lepool.com]:[CBS]])</f>
        <v>3.8858718455450894</v>
      </c>
      <c r="M25">
        <f>AVERAGE(E25,G25,H25,I25,Tableau1[[#This Row],[CBS]])</f>
        <v>68.599999999999994</v>
      </c>
      <c r="N25">
        <f>AVERAGE(E25,G25,H25,I25,Tableau1[[#This Row],[CBS]])-Tableau1[[#This Row],[HM]]</f>
        <v>0.59999999999999432</v>
      </c>
    </row>
    <row r="26" spans="1:14" ht="15.75" thickBot="1" x14ac:dyDescent="0.3">
      <c r="A26" s="2"/>
      <c r="B26" t="s">
        <v>190</v>
      </c>
      <c r="C26" t="s">
        <v>191</v>
      </c>
      <c r="E26" s="13">
        <v>73</v>
      </c>
      <c r="F26">
        <v>71</v>
      </c>
      <c r="G26">
        <v>66</v>
      </c>
      <c r="H26">
        <v>71</v>
      </c>
      <c r="I26">
        <v>59</v>
      </c>
      <c r="J26">
        <v>65</v>
      </c>
      <c r="K26" s="9">
        <f>AVERAGE(Tableau1[[#This Row],[Lepool.com]:[CBS]])</f>
        <v>67.5</v>
      </c>
      <c r="L26">
        <f>_xlfn.STDEV.S(Tableau1[[#This Row],[Lepool.com]:[CBS]])</f>
        <v>5.205766033928148</v>
      </c>
      <c r="M26">
        <f>AVERAGE(E26,G26,H26,I26,Tableau1[[#This Row],[CBS]])</f>
        <v>66.8</v>
      </c>
      <c r="N26">
        <f>AVERAGE(E26,G26,H26,I26,Tableau1[[#This Row],[CBS]])-Tableau1[[#This Row],[HM]]</f>
        <v>-4.2000000000000028</v>
      </c>
    </row>
    <row r="27" spans="1:14" ht="15.75" thickBot="1" x14ac:dyDescent="0.3">
      <c r="A27" s="1"/>
      <c r="B27" t="s">
        <v>204</v>
      </c>
      <c r="C27" t="s">
        <v>205</v>
      </c>
      <c r="E27" s="13">
        <v>70</v>
      </c>
      <c r="F27">
        <v>65</v>
      </c>
      <c r="G27">
        <v>65</v>
      </c>
      <c r="H27">
        <v>70</v>
      </c>
      <c r="I27">
        <v>63</v>
      </c>
      <c r="J27">
        <v>68</v>
      </c>
      <c r="K27" s="9">
        <f>AVERAGE(Tableau1[[#This Row],[Lepool.com]:[CBS]])</f>
        <v>66.833333333333329</v>
      </c>
      <c r="L27">
        <f>_xlfn.STDEV.S(Tableau1[[#This Row],[Lepool.com]:[CBS]])</f>
        <v>2.9268868558020253</v>
      </c>
      <c r="M27">
        <f>AVERAGE(E27,G27,H27,I27,Tableau1[[#This Row],[CBS]])</f>
        <v>67.2</v>
      </c>
      <c r="N27">
        <f>AVERAGE(E27,G27,H27,I27,Tableau1[[#This Row],[CBS]])-Tableau1[[#This Row],[HM]]</f>
        <v>2.2000000000000028</v>
      </c>
    </row>
    <row r="28" spans="1:14" ht="15.75" thickBot="1" x14ac:dyDescent="0.3">
      <c r="A28" s="1"/>
      <c r="B28" t="s">
        <v>210</v>
      </c>
      <c r="C28" t="s">
        <v>211</v>
      </c>
      <c r="E28" s="13">
        <v>69</v>
      </c>
      <c r="F28">
        <v>68</v>
      </c>
      <c r="G28">
        <v>66</v>
      </c>
      <c r="H28">
        <v>68</v>
      </c>
      <c r="I28">
        <v>68</v>
      </c>
      <c r="J28">
        <v>60</v>
      </c>
      <c r="K28" s="9">
        <f>AVERAGE(Tableau1[[#This Row],[Lepool.com]:[CBS]])</f>
        <v>66.5</v>
      </c>
      <c r="L28">
        <f>_xlfn.STDEV.S(Tableau1[[#This Row],[Lepool.com]:[CBS]])</f>
        <v>3.3316662497915361</v>
      </c>
      <c r="M28">
        <f>AVERAGE(E28,G28,H28,I28,Tableau1[[#This Row],[CBS]])</f>
        <v>66.2</v>
      </c>
      <c r="N28">
        <f>AVERAGE(E28,G28,H28,I28,Tableau1[[#This Row],[CBS]])-Tableau1[[#This Row],[HM]]</f>
        <v>-1.7999999999999972</v>
      </c>
    </row>
    <row r="29" spans="1:14" ht="15.75" thickBot="1" x14ac:dyDescent="0.3">
      <c r="A29" s="2"/>
      <c r="B29" t="s">
        <v>224</v>
      </c>
      <c r="C29" t="s">
        <v>225</v>
      </c>
      <c r="E29" s="13">
        <v>66</v>
      </c>
      <c r="F29">
        <v>67</v>
      </c>
      <c r="G29">
        <v>68</v>
      </c>
      <c r="H29">
        <v>68</v>
      </c>
      <c r="I29">
        <v>63</v>
      </c>
      <c r="J29">
        <v>64</v>
      </c>
      <c r="K29" s="9">
        <f>AVERAGE(Tableau1[[#This Row],[Lepool.com]:[CBS]])</f>
        <v>66</v>
      </c>
      <c r="L29">
        <f>_xlfn.STDEV.S(Tableau1[[#This Row],[Lepool.com]:[CBS]])</f>
        <v>2.0976176963403033</v>
      </c>
      <c r="M29">
        <f>AVERAGE(E29,G29,H29,I29,Tableau1[[#This Row],[CBS]])</f>
        <v>65.8</v>
      </c>
      <c r="N29">
        <f>AVERAGE(E29,G29,H29,I29,Tableau1[[#This Row],[CBS]])-Tableau1[[#This Row],[HM]]</f>
        <v>-1.2000000000000028</v>
      </c>
    </row>
    <row r="30" spans="1:14" ht="15.75" thickBot="1" x14ac:dyDescent="0.3">
      <c r="A30" s="1"/>
      <c r="B30" t="s">
        <v>216</v>
      </c>
      <c r="C30" t="s">
        <v>217</v>
      </c>
      <c r="E30" s="13">
        <v>67</v>
      </c>
      <c r="F30">
        <v>67</v>
      </c>
      <c r="G30">
        <v>68</v>
      </c>
      <c r="H30">
        <v>66</v>
      </c>
      <c r="I30">
        <v>61</v>
      </c>
      <c r="J30">
        <v>66</v>
      </c>
      <c r="K30" s="9">
        <f>AVERAGE(Tableau1[[#This Row],[Lepool.com]:[CBS]])</f>
        <v>65.833333333333329</v>
      </c>
      <c r="L30">
        <f>_xlfn.STDEV.S(Tableau1[[#This Row],[Lepool.com]:[CBS]])</f>
        <v>2.4832774042918899</v>
      </c>
      <c r="M30">
        <f>AVERAGE(E30,G30,H30,I30,Tableau1[[#This Row],[CBS]])</f>
        <v>65.599999999999994</v>
      </c>
      <c r="N30">
        <f>AVERAGE(E30,G30,H30,I30,Tableau1[[#This Row],[CBS]])-Tableau1[[#This Row],[HM]]</f>
        <v>-1.4000000000000057</v>
      </c>
    </row>
    <row r="31" spans="1:14" ht="15.75" thickBot="1" x14ac:dyDescent="0.3">
      <c r="A31" s="1"/>
      <c r="B31" t="s">
        <v>194</v>
      </c>
      <c r="C31" t="s">
        <v>195</v>
      </c>
      <c r="E31" s="13">
        <v>72</v>
      </c>
      <c r="F31">
        <v>68</v>
      </c>
      <c r="G31">
        <v>67</v>
      </c>
      <c r="H31">
        <v>65</v>
      </c>
      <c r="I31">
        <v>57</v>
      </c>
      <c r="J31">
        <v>64</v>
      </c>
      <c r="K31" s="9">
        <f>AVERAGE(Tableau1[[#This Row],[Lepool.com]:[CBS]])</f>
        <v>65.5</v>
      </c>
      <c r="L31">
        <f>_xlfn.STDEV.S(Tableau1[[#This Row],[Lepool.com]:[CBS]])</f>
        <v>5.0099900199501395</v>
      </c>
      <c r="M31">
        <f>AVERAGE(E31,G31,H31,I31,Tableau1[[#This Row],[CBS]])</f>
        <v>65</v>
      </c>
      <c r="N31">
        <f>AVERAGE(E31,G31,H31,I31,Tableau1[[#This Row],[CBS]])-Tableau1[[#This Row],[HM]]</f>
        <v>-3</v>
      </c>
    </row>
    <row r="32" spans="1:14" ht="15.75" thickBot="1" x14ac:dyDescent="0.3">
      <c r="A32" s="2"/>
      <c r="B32" t="s">
        <v>188</v>
      </c>
      <c r="C32" t="s">
        <v>201</v>
      </c>
      <c r="E32" s="13">
        <v>71</v>
      </c>
      <c r="F32">
        <v>65</v>
      </c>
      <c r="G32">
        <v>70</v>
      </c>
      <c r="H32">
        <v>69</v>
      </c>
      <c r="I32">
        <v>54</v>
      </c>
      <c r="J32">
        <v>64</v>
      </c>
      <c r="K32" s="9">
        <f>AVERAGE(Tableau1[[#This Row],[Lepool.com]:[CBS]])</f>
        <v>65.5</v>
      </c>
      <c r="L32">
        <f>_xlfn.STDEV.S(Tableau1[[#This Row],[Lepool.com]:[CBS]])</f>
        <v>6.2849025449882676</v>
      </c>
      <c r="M32">
        <f>AVERAGE(E32,G32,H32,I32,Tableau1[[#This Row],[CBS]])</f>
        <v>65.599999999999994</v>
      </c>
      <c r="N32">
        <f>AVERAGE(E32,G32,H32,I32,Tableau1[[#This Row],[CBS]])-Tableau1[[#This Row],[HM]]</f>
        <v>0.59999999999999432</v>
      </c>
    </row>
    <row r="33" spans="1:14" ht="15.75" thickBot="1" x14ac:dyDescent="0.3">
      <c r="A33" s="1"/>
      <c r="B33" t="s">
        <v>248</v>
      </c>
      <c r="C33" t="s">
        <v>249</v>
      </c>
      <c r="E33" s="13">
        <v>62</v>
      </c>
      <c r="F33">
        <v>61</v>
      </c>
      <c r="G33">
        <v>65</v>
      </c>
      <c r="H33">
        <v>68</v>
      </c>
      <c r="I33">
        <v>66</v>
      </c>
      <c r="J33">
        <v>68</v>
      </c>
      <c r="K33" s="9">
        <f>AVERAGE(Tableau1[[#This Row],[Lepool.com]:[CBS]])</f>
        <v>65</v>
      </c>
      <c r="L33">
        <f>_xlfn.STDEV.S(Tableau1[[#This Row],[Lepool.com]:[CBS]])</f>
        <v>2.9664793948382653</v>
      </c>
      <c r="M33">
        <f>AVERAGE(E33,G33,H33,I33,Tableau1[[#This Row],[CBS]])</f>
        <v>65.8</v>
      </c>
      <c r="N33">
        <f>AVERAGE(E33,G33,H33,I33,Tableau1[[#This Row],[CBS]])-Tableau1[[#This Row],[HM]]</f>
        <v>4.7999999999999972</v>
      </c>
    </row>
    <row r="34" spans="1:14" ht="15.75" thickBot="1" x14ac:dyDescent="0.3">
      <c r="A34" s="1"/>
      <c r="B34" t="s">
        <v>212</v>
      </c>
      <c r="C34" t="s">
        <v>213</v>
      </c>
      <c r="E34" s="13">
        <v>68</v>
      </c>
      <c r="F34">
        <v>68</v>
      </c>
      <c r="G34">
        <v>66</v>
      </c>
      <c r="H34">
        <v>64</v>
      </c>
      <c r="I34">
        <v>57</v>
      </c>
      <c r="J34">
        <v>66</v>
      </c>
      <c r="K34" s="9">
        <f>AVERAGE(Tableau1[[#This Row],[Lepool.com]:[CBS]])</f>
        <v>64.833333333333329</v>
      </c>
      <c r="L34">
        <f>_xlfn.STDEV.S(Tableau1[[#This Row],[Lepool.com]:[CBS]])</f>
        <v>4.1190613817551522</v>
      </c>
      <c r="M34">
        <f>AVERAGE(E34,G34,H34,I34,Tableau1[[#This Row],[CBS]])</f>
        <v>64.2</v>
      </c>
      <c r="N34">
        <f>AVERAGE(E34,G34,H34,I34,Tableau1[[#This Row],[CBS]])-Tableau1[[#This Row],[HM]]</f>
        <v>-3.7999999999999972</v>
      </c>
    </row>
    <row r="35" spans="1:14" ht="15.75" thickBot="1" x14ac:dyDescent="0.3">
      <c r="A35" s="2"/>
      <c r="B35" t="s">
        <v>196</v>
      </c>
      <c r="C35" t="s">
        <v>247</v>
      </c>
      <c r="E35" s="13">
        <v>62</v>
      </c>
      <c r="F35">
        <v>65</v>
      </c>
      <c r="G35">
        <v>65</v>
      </c>
      <c r="H35">
        <v>63</v>
      </c>
      <c r="I35">
        <v>62</v>
      </c>
      <c r="J35">
        <v>71</v>
      </c>
      <c r="K35" s="9">
        <f>AVERAGE(Tableau1[[#This Row],[Lepool.com]:[CBS]])</f>
        <v>64.666666666666671</v>
      </c>
      <c r="L35">
        <f>_xlfn.STDEV.S(Tableau1[[#This Row],[Lepool.com]:[CBS]])</f>
        <v>3.3862466931200781</v>
      </c>
      <c r="M35">
        <f>AVERAGE(E35,G35,H35,I35,Tableau1[[#This Row],[CBS]])</f>
        <v>64.599999999999994</v>
      </c>
      <c r="N35">
        <f>AVERAGE(E35,G35,H35,I35,Tableau1[[#This Row],[CBS]])-Tableau1[[#This Row],[HM]]</f>
        <v>-0.40000000000000568</v>
      </c>
    </row>
    <row r="36" spans="1:14" ht="15.75" thickBot="1" x14ac:dyDescent="0.3">
      <c r="A36" s="1"/>
      <c r="B36" t="s">
        <v>231</v>
      </c>
      <c r="C36" t="s">
        <v>232</v>
      </c>
      <c r="E36" s="13">
        <v>64</v>
      </c>
      <c r="F36">
        <v>66</v>
      </c>
      <c r="G36">
        <v>66</v>
      </c>
      <c r="H36">
        <v>63</v>
      </c>
      <c r="I36">
        <v>55</v>
      </c>
      <c r="J36">
        <v>73</v>
      </c>
      <c r="K36" s="9">
        <f>AVERAGE(Tableau1[[#This Row],[Lepool.com]:[CBS]])</f>
        <v>64.5</v>
      </c>
      <c r="L36">
        <f>_xlfn.STDEV.S(Tableau1[[#This Row],[Lepool.com]:[CBS]])</f>
        <v>5.8223706512038547</v>
      </c>
      <c r="M36">
        <f>AVERAGE(E36,G36,H36,I36,Tableau1[[#This Row],[CBS]])</f>
        <v>64.2</v>
      </c>
      <c r="N36">
        <f>AVERAGE(E36,G36,H36,I36,Tableau1[[#This Row],[CBS]])-Tableau1[[#This Row],[HM]]</f>
        <v>-1.7999999999999972</v>
      </c>
    </row>
    <row r="37" spans="1:14" ht="15.75" thickBot="1" x14ac:dyDescent="0.3">
      <c r="A37" s="1"/>
      <c r="B37" t="s">
        <v>228</v>
      </c>
      <c r="C37" t="s">
        <v>229</v>
      </c>
      <c r="E37" s="13">
        <v>65</v>
      </c>
      <c r="F37">
        <v>65</v>
      </c>
      <c r="G37">
        <v>68</v>
      </c>
      <c r="H37">
        <v>63</v>
      </c>
      <c r="I37">
        <v>56</v>
      </c>
      <c r="J37">
        <v>68</v>
      </c>
      <c r="K37" s="9">
        <f>AVERAGE(Tableau1[[#This Row],[Lepool.com]:[CBS]])</f>
        <v>64.166666666666671</v>
      </c>
      <c r="L37">
        <f>_xlfn.STDEV.S(Tableau1[[#This Row],[Lepool.com]:[CBS]])</f>
        <v>4.4459719597256422</v>
      </c>
      <c r="M37">
        <f>AVERAGE(E37,G37,H37,I37,Tableau1[[#This Row],[CBS]])</f>
        <v>64</v>
      </c>
      <c r="N37">
        <f>AVERAGE(E37,G37,H37,I37,Tableau1[[#This Row],[CBS]])-Tableau1[[#This Row],[HM]]</f>
        <v>-1</v>
      </c>
    </row>
    <row r="38" spans="1:14" ht="15.75" thickBot="1" x14ac:dyDescent="0.3">
      <c r="A38" s="2"/>
      <c r="B38" t="s">
        <v>243</v>
      </c>
      <c r="C38" t="s">
        <v>244</v>
      </c>
      <c r="E38" s="13">
        <v>63</v>
      </c>
      <c r="F38">
        <v>62</v>
      </c>
      <c r="G38">
        <v>64</v>
      </c>
      <c r="H38">
        <v>62</v>
      </c>
      <c r="I38">
        <v>62</v>
      </c>
      <c r="J38">
        <v>72</v>
      </c>
      <c r="K38" s="9">
        <f>AVERAGE(Tableau1[[#This Row],[Lepool.com]:[CBS]])</f>
        <v>64.166666666666671</v>
      </c>
      <c r="L38">
        <f>_xlfn.STDEV.S(Tableau1[[#This Row],[Lepool.com]:[CBS]])</f>
        <v>3.9200340134578764</v>
      </c>
      <c r="M38">
        <f>AVERAGE(E38,G38,H38,I38,Tableau1[[#This Row],[CBS]])</f>
        <v>64.599999999999994</v>
      </c>
      <c r="N38">
        <f>AVERAGE(E38,G38,H38,I38,Tableau1[[#This Row],[CBS]])-Tableau1[[#This Row],[HM]]</f>
        <v>2.5999999999999943</v>
      </c>
    </row>
    <row r="39" spans="1:14" ht="15.75" thickBot="1" x14ac:dyDescent="0.3">
      <c r="A39" s="1"/>
      <c r="B39" t="s">
        <v>270</v>
      </c>
      <c r="C39" t="s">
        <v>271</v>
      </c>
      <c r="E39" s="13">
        <v>59</v>
      </c>
      <c r="F39">
        <v>69</v>
      </c>
      <c r="G39">
        <v>70</v>
      </c>
      <c r="H39">
        <v>60</v>
      </c>
      <c r="I39">
        <v>53</v>
      </c>
      <c r="J39">
        <v>73</v>
      </c>
      <c r="K39" s="9">
        <f>AVERAGE(Tableau1[[#This Row],[Lepool.com]:[CBS]])</f>
        <v>64</v>
      </c>
      <c r="L39">
        <f>_xlfn.STDEV.S(Tableau1[[#This Row],[Lepool.com]:[CBS]])</f>
        <v>7.7974354758471707</v>
      </c>
      <c r="M39">
        <f>AVERAGE(E39,G39,H39,I39,Tableau1[[#This Row],[CBS]])</f>
        <v>63</v>
      </c>
      <c r="N39">
        <f>AVERAGE(E39,G39,H39,I39,Tableau1[[#This Row],[CBS]])-Tableau1[[#This Row],[HM]]</f>
        <v>-6</v>
      </c>
    </row>
    <row r="40" spans="1:14" ht="15.75" thickBot="1" x14ac:dyDescent="0.3">
      <c r="A40" s="1"/>
      <c r="B40" t="s">
        <v>218</v>
      </c>
      <c r="C40" t="s">
        <v>219</v>
      </c>
      <c r="E40" s="13">
        <v>67</v>
      </c>
      <c r="F40">
        <v>66</v>
      </c>
      <c r="G40">
        <v>63</v>
      </c>
      <c r="H40">
        <v>67</v>
      </c>
      <c r="I40">
        <v>60</v>
      </c>
      <c r="J40">
        <v>59</v>
      </c>
      <c r="K40" s="9">
        <f>AVERAGE(Tableau1[[#This Row],[Lepool.com]:[CBS]])</f>
        <v>63.666666666666664</v>
      </c>
      <c r="L40">
        <f>_xlfn.STDEV.S(Tableau1[[#This Row],[Lepool.com]:[CBS]])</f>
        <v>3.5590260840104371</v>
      </c>
      <c r="M40">
        <f>AVERAGE(E40,G40,H40,I40,Tableau1[[#This Row],[CBS]])</f>
        <v>63.2</v>
      </c>
      <c r="N40">
        <f>AVERAGE(E40,G40,H40,I40,Tableau1[[#This Row],[CBS]])-Tableau1[[#This Row],[HM]]</f>
        <v>-2.7999999999999972</v>
      </c>
    </row>
    <row r="41" spans="1:14" ht="15.75" thickBot="1" x14ac:dyDescent="0.3">
      <c r="A41" s="2"/>
      <c r="B41" t="s">
        <v>237</v>
      </c>
      <c r="C41" t="s">
        <v>238</v>
      </c>
      <c r="E41" s="13">
        <v>64</v>
      </c>
      <c r="F41">
        <v>60</v>
      </c>
      <c r="G41">
        <v>64</v>
      </c>
      <c r="H41">
        <v>63</v>
      </c>
      <c r="I41">
        <v>60</v>
      </c>
      <c r="J41">
        <v>71</v>
      </c>
      <c r="K41" s="9">
        <f>AVERAGE(Tableau1[[#This Row],[Lepool.com]:[CBS]])</f>
        <v>63.666666666666664</v>
      </c>
      <c r="L41">
        <f>_xlfn.STDEV.S(Tableau1[[#This Row],[Lepool.com]:[CBS]])</f>
        <v>4.0331955899344463</v>
      </c>
      <c r="M41">
        <f>AVERAGE(E41,G41,H41,I41,Tableau1[[#This Row],[CBS]])</f>
        <v>64.400000000000006</v>
      </c>
      <c r="N41">
        <f>AVERAGE(E41,G41,H41,I41,Tableau1[[#This Row],[CBS]])-Tableau1[[#This Row],[HM]]</f>
        <v>4.4000000000000057</v>
      </c>
    </row>
    <row r="42" spans="1:14" ht="15.75" thickBot="1" x14ac:dyDescent="0.3">
      <c r="A42" s="1"/>
      <c r="B42" t="s">
        <v>214</v>
      </c>
      <c r="C42" t="s">
        <v>215</v>
      </c>
      <c r="E42" s="13">
        <v>68</v>
      </c>
      <c r="F42">
        <v>65</v>
      </c>
      <c r="G42">
        <v>66</v>
      </c>
      <c r="H42">
        <v>63</v>
      </c>
      <c r="I42">
        <v>64</v>
      </c>
      <c r="J42">
        <v>54</v>
      </c>
      <c r="K42" s="9">
        <f>AVERAGE(Tableau1[[#This Row],[Lepool.com]:[CBS]])</f>
        <v>63.333333333333336</v>
      </c>
      <c r="L42">
        <f>_xlfn.STDEV.S(Tableau1[[#This Row],[Lepool.com]:[CBS]])</f>
        <v>4.8853522561496696</v>
      </c>
      <c r="M42">
        <f>AVERAGE(E42,G42,H42,I42,Tableau1[[#This Row],[CBS]])</f>
        <v>63</v>
      </c>
      <c r="N42">
        <f>AVERAGE(E42,G42,H42,I42,Tableau1[[#This Row],[CBS]])-Tableau1[[#This Row],[HM]]</f>
        <v>-2</v>
      </c>
    </row>
    <row r="43" spans="1:14" ht="15.75" thickBot="1" x14ac:dyDescent="0.3">
      <c r="A43" s="1"/>
      <c r="B43" t="s">
        <v>218</v>
      </c>
      <c r="C43" t="s">
        <v>242</v>
      </c>
      <c r="E43" s="13">
        <v>63</v>
      </c>
      <c r="F43">
        <v>67</v>
      </c>
      <c r="G43">
        <v>62</v>
      </c>
      <c r="H43">
        <v>63</v>
      </c>
      <c r="I43">
        <v>60</v>
      </c>
      <c r="J43">
        <v>64</v>
      </c>
      <c r="K43" s="9">
        <f>AVERAGE(Tableau1[[#This Row],[Lepool.com]:[CBS]])</f>
        <v>63.166666666666664</v>
      </c>
      <c r="L43">
        <f>_xlfn.STDEV.S(Tableau1[[#This Row],[Lepool.com]:[CBS]])</f>
        <v>2.3166067138525408</v>
      </c>
      <c r="M43">
        <f>AVERAGE(E43,G43,H43,I43,Tableau1[[#This Row],[CBS]])</f>
        <v>62.4</v>
      </c>
      <c r="N43">
        <f>AVERAGE(E43,G43,H43,I43,Tableau1[[#This Row],[CBS]])-Tableau1[[#This Row],[HM]]</f>
        <v>-4.6000000000000014</v>
      </c>
    </row>
    <row r="44" spans="1:14" ht="15.75" thickBot="1" x14ac:dyDescent="0.3">
      <c r="A44" s="2"/>
      <c r="B44" t="s">
        <v>188</v>
      </c>
      <c r="C44" t="s">
        <v>241</v>
      </c>
      <c r="E44" s="13">
        <v>63</v>
      </c>
      <c r="F44">
        <v>68</v>
      </c>
      <c r="G44">
        <v>64</v>
      </c>
      <c r="H44">
        <v>59</v>
      </c>
      <c r="I44">
        <v>59</v>
      </c>
      <c r="J44">
        <v>65</v>
      </c>
      <c r="K44" s="9">
        <f>AVERAGE(Tableau1[[#This Row],[Lepool.com]:[CBS]])</f>
        <v>63</v>
      </c>
      <c r="L44">
        <f>_xlfn.STDEV.S(Tableau1[[#This Row],[Lepool.com]:[CBS]])</f>
        <v>3.5213633723318019</v>
      </c>
      <c r="M44">
        <f>AVERAGE(E44,G44,H44,I44,Tableau1[[#This Row],[CBS]])</f>
        <v>62</v>
      </c>
      <c r="N44">
        <f>AVERAGE(E44,G44,H44,I44,Tableau1[[#This Row],[CBS]])-Tableau1[[#This Row],[HM]]</f>
        <v>-6</v>
      </c>
    </row>
    <row r="45" spans="1:14" ht="15.75" thickBot="1" x14ac:dyDescent="0.3">
      <c r="A45" s="1"/>
      <c r="B45" t="s">
        <v>245</v>
      </c>
      <c r="C45" t="s">
        <v>246</v>
      </c>
      <c r="E45" s="13">
        <v>62</v>
      </c>
      <c r="F45">
        <v>65</v>
      </c>
      <c r="G45">
        <v>61</v>
      </c>
      <c r="H45">
        <v>64</v>
      </c>
      <c r="I45">
        <v>58</v>
      </c>
      <c r="J45">
        <v>64</v>
      </c>
      <c r="K45" s="9">
        <f>AVERAGE(Tableau1[[#This Row],[Lepool.com]:[CBS]])</f>
        <v>62.333333333333336</v>
      </c>
      <c r="L45">
        <f>_xlfn.STDEV.S(Tableau1[[#This Row],[Lepool.com]:[CBS]])</f>
        <v>2.5819888974716112</v>
      </c>
      <c r="M45">
        <f>AVERAGE(E45,G45,H45,I45,Tableau1[[#This Row],[CBS]])</f>
        <v>61.8</v>
      </c>
      <c r="N45">
        <f>AVERAGE(E45,G45,H45,I45,Tableau1[[#This Row],[CBS]])-Tableau1[[#This Row],[HM]]</f>
        <v>-3.2000000000000028</v>
      </c>
    </row>
    <row r="46" spans="1:14" ht="15.75" thickBot="1" x14ac:dyDescent="0.3">
      <c r="A46" s="1"/>
      <c r="B46" t="s">
        <v>277</v>
      </c>
      <c r="C46" t="s">
        <v>278</v>
      </c>
      <c r="E46" s="13">
        <v>58</v>
      </c>
      <c r="F46">
        <v>64</v>
      </c>
      <c r="G46">
        <v>62</v>
      </c>
      <c r="H46">
        <v>61</v>
      </c>
      <c r="I46">
        <v>62</v>
      </c>
      <c r="J46">
        <v>67</v>
      </c>
      <c r="K46" s="9">
        <f>AVERAGE(Tableau1[[#This Row],[Lepool.com]:[CBS]])</f>
        <v>62.333333333333336</v>
      </c>
      <c r="L46">
        <f>_xlfn.STDEV.S(Tableau1[[#This Row],[Lepool.com]:[CBS]])</f>
        <v>3.0110906108363245</v>
      </c>
      <c r="M46">
        <f>AVERAGE(E46,G46,H46,I46,Tableau1[[#This Row],[CBS]])</f>
        <v>62</v>
      </c>
      <c r="N46">
        <f>AVERAGE(E46,G46,H46,I46,Tableau1[[#This Row],[CBS]])-Tableau1[[#This Row],[HM]]</f>
        <v>-2</v>
      </c>
    </row>
    <row r="47" spans="1:14" ht="15.75" thickBot="1" x14ac:dyDescent="0.3">
      <c r="A47" s="2"/>
      <c r="B47" t="s">
        <v>226</v>
      </c>
      <c r="C47" t="s">
        <v>227</v>
      </c>
      <c r="E47" s="13">
        <v>66</v>
      </c>
      <c r="F47">
        <v>60</v>
      </c>
      <c r="G47">
        <v>62</v>
      </c>
      <c r="H47">
        <v>70</v>
      </c>
      <c r="I47">
        <v>56</v>
      </c>
      <c r="J47">
        <v>59</v>
      </c>
      <c r="K47" s="9">
        <f>AVERAGE(Tableau1[[#This Row],[Lepool.com]:[CBS]])</f>
        <v>62.166666666666664</v>
      </c>
      <c r="L47">
        <f>_xlfn.STDEV.S(Tableau1[[#This Row],[Lepool.com]:[CBS]])</f>
        <v>5.0760877323650222</v>
      </c>
      <c r="M47">
        <f>AVERAGE(E47,G47,H47,I47,Tableau1[[#This Row],[CBS]])</f>
        <v>62.6</v>
      </c>
      <c r="N47">
        <f>AVERAGE(E47,G47,H47,I47,Tableau1[[#This Row],[CBS]])-Tableau1[[#This Row],[HM]]</f>
        <v>2.6000000000000014</v>
      </c>
    </row>
    <row r="48" spans="1:14" ht="15.75" thickBot="1" x14ac:dyDescent="0.3">
      <c r="A48" s="1"/>
      <c r="B48" t="s">
        <v>264</v>
      </c>
      <c r="C48" t="s">
        <v>253</v>
      </c>
      <c r="E48" s="13">
        <v>60</v>
      </c>
      <c r="F48">
        <v>57</v>
      </c>
      <c r="G48">
        <v>63</v>
      </c>
      <c r="H48">
        <v>59</v>
      </c>
      <c r="I48">
        <v>66</v>
      </c>
      <c r="J48">
        <v>68</v>
      </c>
      <c r="K48" s="9">
        <f>AVERAGE(Tableau1[[#This Row],[Lepool.com]:[CBS]])</f>
        <v>62.166666666666664</v>
      </c>
      <c r="L48">
        <f>_xlfn.STDEV.S(Tableau1[[#This Row],[Lepool.com]:[CBS]])</f>
        <v>4.2622372841814737</v>
      </c>
      <c r="M48">
        <f>AVERAGE(E48,G48,H48,I48,Tableau1[[#This Row],[CBS]])</f>
        <v>63.2</v>
      </c>
      <c r="N48">
        <f>AVERAGE(E48,G48,H48,I48,Tableau1[[#This Row],[CBS]])-Tableau1[[#This Row],[HM]]</f>
        <v>6.2000000000000028</v>
      </c>
    </row>
    <row r="49" spans="1:14" ht="15.75" thickBot="1" x14ac:dyDescent="0.3">
      <c r="A49" s="1"/>
      <c r="B49" t="s">
        <v>166</v>
      </c>
      <c r="C49" t="s">
        <v>256</v>
      </c>
      <c r="E49" s="13">
        <v>61</v>
      </c>
      <c r="F49">
        <v>60</v>
      </c>
      <c r="G49">
        <v>64</v>
      </c>
      <c r="H49">
        <v>60</v>
      </c>
      <c r="I49">
        <v>64</v>
      </c>
      <c r="J49">
        <v>57</v>
      </c>
      <c r="K49" s="9">
        <f>AVERAGE(Tableau1[[#This Row],[Lepool.com]:[CBS]])</f>
        <v>61</v>
      </c>
      <c r="L49">
        <f>_xlfn.STDEV.S(Tableau1[[#This Row],[Lepool.com]:[CBS]])</f>
        <v>2.6832815729997477</v>
      </c>
      <c r="M49">
        <f>AVERAGE(E49,G49,H49,I49,Tableau1[[#This Row],[CBS]])</f>
        <v>61.2</v>
      </c>
      <c r="N49">
        <f>AVERAGE(E49,G49,H49,I49,Tableau1[[#This Row],[CBS]])-Tableau1[[#This Row],[HM]]</f>
        <v>1.2000000000000028</v>
      </c>
    </row>
    <row r="50" spans="1:14" ht="15.75" thickBot="1" x14ac:dyDescent="0.3">
      <c r="A50" s="2"/>
      <c r="B50" t="s">
        <v>290</v>
      </c>
      <c r="C50" t="s">
        <v>291</v>
      </c>
      <c r="E50" s="13">
        <v>57</v>
      </c>
      <c r="F50">
        <v>63</v>
      </c>
      <c r="G50">
        <v>58</v>
      </c>
      <c r="H50">
        <v>60</v>
      </c>
      <c r="I50">
        <v>60</v>
      </c>
      <c r="J50">
        <v>67</v>
      </c>
      <c r="K50" s="9">
        <f>AVERAGE(Tableau1[[#This Row],[Lepool.com]:[CBS]])</f>
        <v>60.833333333333336</v>
      </c>
      <c r="L50">
        <f>_xlfn.STDEV.S(Tableau1[[#This Row],[Lepool.com]:[CBS]])</f>
        <v>3.6560452221856705</v>
      </c>
      <c r="M50">
        <f>AVERAGE(E50,G50,H50,I50,Tableau1[[#This Row],[CBS]])</f>
        <v>60.4</v>
      </c>
      <c r="N50">
        <f>AVERAGE(E50,G50,H50,I50,Tableau1[[#This Row],[CBS]])-Tableau1[[#This Row],[HM]]</f>
        <v>-2.6000000000000014</v>
      </c>
    </row>
    <row r="51" spans="1:14" ht="15.75" thickBot="1" x14ac:dyDescent="0.3">
      <c r="A51" s="1"/>
      <c r="B51" t="s">
        <v>250</v>
      </c>
      <c r="C51" t="s">
        <v>251</v>
      </c>
      <c r="E51" s="13">
        <v>62</v>
      </c>
      <c r="F51">
        <v>58</v>
      </c>
      <c r="G51">
        <v>60</v>
      </c>
      <c r="H51">
        <v>60</v>
      </c>
      <c r="I51">
        <v>57</v>
      </c>
      <c r="J51">
        <v>65</v>
      </c>
      <c r="K51" s="9">
        <f>AVERAGE(Tableau1[[#This Row],[Lepool.com]:[CBS]])</f>
        <v>60.333333333333336</v>
      </c>
      <c r="L51">
        <f>_xlfn.STDEV.S(Tableau1[[#This Row],[Lepool.com]:[CBS]])</f>
        <v>2.8751811537130436</v>
      </c>
      <c r="M51">
        <f>AVERAGE(E51,G51,H51,I51,Tableau1[[#This Row],[CBS]])</f>
        <v>60.8</v>
      </c>
      <c r="N51">
        <f>AVERAGE(E51,G51,H51,I51,Tableau1[[#This Row],[CBS]])-Tableau1[[#This Row],[HM]]</f>
        <v>2.7999999999999972</v>
      </c>
    </row>
    <row r="52" spans="1:14" ht="15.75" thickBot="1" x14ac:dyDescent="0.3">
      <c r="A52" s="1"/>
      <c r="B52" t="s">
        <v>317</v>
      </c>
      <c r="C52" t="s">
        <v>318</v>
      </c>
      <c r="E52" s="13">
        <v>54</v>
      </c>
      <c r="F52">
        <v>60</v>
      </c>
      <c r="G52">
        <v>59</v>
      </c>
      <c r="H52">
        <v>60</v>
      </c>
      <c r="I52">
        <v>63</v>
      </c>
      <c r="J52">
        <v>65</v>
      </c>
      <c r="K52" s="9">
        <f>AVERAGE(Tableau1[[#This Row],[Lepool.com]:[CBS]])</f>
        <v>60.166666666666664</v>
      </c>
      <c r="L52">
        <f>_xlfn.STDEV.S(Tableau1[[#This Row],[Lepool.com]:[CBS]])</f>
        <v>3.7638632635454052</v>
      </c>
      <c r="M52">
        <f>AVERAGE(E52,G52,H52,I52,Tableau1[[#This Row],[CBS]])</f>
        <v>60.2</v>
      </c>
      <c r="N52">
        <f>AVERAGE(E52,G52,H52,I52,Tableau1[[#This Row],[CBS]])-Tableau1[[#This Row],[HM]]</f>
        <v>0.20000000000000284</v>
      </c>
    </row>
    <row r="53" spans="1:14" ht="15.75" thickBot="1" x14ac:dyDescent="0.3">
      <c r="A53" s="2"/>
      <c r="B53" t="s">
        <v>288</v>
      </c>
      <c r="C53" t="s">
        <v>289</v>
      </c>
      <c r="E53" s="13">
        <v>57</v>
      </c>
      <c r="F53">
        <v>64</v>
      </c>
      <c r="G53">
        <v>61</v>
      </c>
      <c r="H53">
        <v>57</v>
      </c>
      <c r="I53">
        <v>56</v>
      </c>
      <c r="J53">
        <v>64</v>
      </c>
      <c r="K53" s="9">
        <f>AVERAGE(Tableau1[[#This Row],[Lepool.com]:[CBS]])</f>
        <v>59.833333333333336</v>
      </c>
      <c r="L53">
        <f>_xlfn.STDEV.S(Tableau1[[#This Row],[Lepool.com]:[CBS]])</f>
        <v>3.6560452221856705</v>
      </c>
      <c r="M53">
        <f>AVERAGE(E53,G53,H53,I53,Tableau1[[#This Row],[CBS]])</f>
        <v>59</v>
      </c>
      <c r="N53">
        <f>AVERAGE(E53,G53,H53,I53,Tableau1[[#This Row],[CBS]])-Tableau1[[#This Row],[HM]]</f>
        <v>-5</v>
      </c>
    </row>
    <row r="54" spans="1:14" ht="15.75" thickBot="1" x14ac:dyDescent="0.3">
      <c r="A54" s="1"/>
      <c r="B54" t="s">
        <v>235</v>
      </c>
      <c r="C54" t="s">
        <v>236</v>
      </c>
      <c r="E54" s="13">
        <v>64</v>
      </c>
      <c r="F54">
        <v>61</v>
      </c>
      <c r="G54">
        <v>62</v>
      </c>
      <c r="H54">
        <v>60</v>
      </c>
      <c r="I54">
        <v>53</v>
      </c>
      <c r="J54">
        <v>58</v>
      </c>
      <c r="K54" s="9">
        <f>AVERAGE(Tableau1[[#This Row],[Lepool.com]:[CBS]])</f>
        <v>59.666666666666664</v>
      </c>
      <c r="L54">
        <f>_xlfn.STDEV.S(Tableau1[[#This Row],[Lepool.com]:[CBS]])</f>
        <v>3.8297084310253524</v>
      </c>
      <c r="M54">
        <f>AVERAGE(E54,G54,H54,I54,Tableau1[[#This Row],[CBS]])</f>
        <v>59.4</v>
      </c>
      <c r="N54">
        <f>AVERAGE(E54,G54,H54,I54,Tableau1[[#This Row],[CBS]])-Tableau1[[#This Row],[HM]]</f>
        <v>-1.6000000000000014</v>
      </c>
    </row>
    <row r="55" spans="1:14" ht="15.75" thickBot="1" x14ac:dyDescent="0.3">
      <c r="A55" s="1"/>
      <c r="B55" t="s">
        <v>233</v>
      </c>
      <c r="C55" t="s">
        <v>234</v>
      </c>
      <c r="E55" s="13">
        <v>64</v>
      </c>
      <c r="F55">
        <v>61</v>
      </c>
      <c r="G55">
        <v>62</v>
      </c>
      <c r="H55">
        <v>64</v>
      </c>
      <c r="I55">
        <v>48</v>
      </c>
      <c r="J55">
        <v>58</v>
      </c>
      <c r="K55" s="9">
        <f>AVERAGE(Tableau1[[#This Row],[Lepool.com]:[CBS]])</f>
        <v>59.5</v>
      </c>
      <c r="L55">
        <f>_xlfn.STDEV.S(Tableau1[[#This Row],[Lepool.com]:[CBS]])</f>
        <v>6.0580524923443839</v>
      </c>
      <c r="M55">
        <f>AVERAGE(E55,G55,H55,I55,Tableau1[[#This Row],[CBS]])</f>
        <v>59.2</v>
      </c>
      <c r="N55">
        <f>AVERAGE(E55,G55,H55,I55,Tableau1[[#This Row],[CBS]])-Tableau1[[#This Row],[HM]]</f>
        <v>-1.7999999999999972</v>
      </c>
    </row>
    <row r="56" spans="1:14" ht="15.75" thickBot="1" x14ac:dyDescent="0.3">
      <c r="A56" s="2"/>
      <c r="B56" t="s">
        <v>292</v>
      </c>
      <c r="C56" t="s">
        <v>293</v>
      </c>
      <c r="E56" s="13">
        <v>57</v>
      </c>
      <c r="F56">
        <v>60</v>
      </c>
      <c r="G56">
        <v>62</v>
      </c>
      <c r="H56">
        <v>61</v>
      </c>
      <c r="I56">
        <v>54</v>
      </c>
      <c r="J56">
        <v>63</v>
      </c>
      <c r="K56" s="9">
        <f>AVERAGE(Tableau1[[#This Row],[Lepool.com]:[CBS]])</f>
        <v>59.5</v>
      </c>
      <c r="L56">
        <f>_xlfn.STDEV.S(Tableau1[[#This Row],[Lepool.com]:[CBS]])</f>
        <v>3.3911649915626341</v>
      </c>
      <c r="M56">
        <f>AVERAGE(E56,G56,H56,I56,Tableau1[[#This Row],[CBS]])</f>
        <v>59.4</v>
      </c>
      <c r="N56">
        <f>AVERAGE(E56,G56,H56,I56,Tableau1[[#This Row],[CBS]])-Tableau1[[#This Row],[HM]]</f>
        <v>-0.60000000000000142</v>
      </c>
    </row>
    <row r="57" spans="1:14" ht="15.75" thickBot="1" x14ac:dyDescent="0.3">
      <c r="A57" s="1"/>
      <c r="B57" t="s">
        <v>239</v>
      </c>
      <c r="C57" t="s">
        <v>240</v>
      </c>
      <c r="E57" s="13">
        <v>64</v>
      </c>
      <c r="F57">
        <v>60</v>
      </c>
      <c r="G57">
        <v>58</v>
      </c>
      <c r="H57">
        <v>59</v>
      </c>
      <c r="I57">
        <v>53</v>
      </c>
      <c r="J57">
        <v>62</v>
      </c>
      <c r="K57" s="9">
        <f>AVERAGE(Tableau1[[#This Row],[Lepool.com]:[CBS]])</f>
        <v>59.333333333333336</v>
      </c>
      <c r="L57">
        <f>_xlfn.STDEV.S(Tableau1[[#This Row],[Lepool.com]:[CBS]])</f>
        <v>3.7771241264574122</v>
      </c>
      <c r="M57">
        <f>AVERAGE(E57,G57,H57,I57,Tableau1[[#This Row],[CBS]])</f>
        <v>59.2</v>
      </c>
      <c r="N57">
        <f>AVERAGE(E57,G57,H57,I57,Tableau1[[#This Row],[CBS]])-Tableau1[[#This Row],[HM]]</f>
        <v>-0.79999999999999716</v>
      </c>
    </row>
    <row r="58" spans="1:14" ht="15.75" thickBot="1" x14ac:dyDescent="0.3">
      <c r="A58" s="1"/>
      <c r="B58" t="s">
        <v>252</v>
      </c>
      <c r="C58" t="s">
        <v>253</v>
      </c>
      <c r="E58" s="13">
        <v>62</v>
      </c>
      <c r="F58">
        <v>54</v>
      </c>
      <c r="G58">
        <v>61</v>
      </c>
      <c r="H58">
        <v>55</v>
      </c>
      <c r="I58">
        <v>55</v>
      </c>
      <c r="J58">
        <v>69</v>
      </c>
      <c r="K58" s="9">
        <f>AVERAGE(Tableau1[[#This Row],[Lepool.com]:[CBS]])</f>
        <v>59.333333333333336</v>
      </c>
      <c r="L58">
        <f>_xlfn.STDEV.S(Tableau1[[#This Row],[Lepool.com]:[CBS]])</f>
        <v>5.8195074247453853</v>
      </c>
      <c r="M58">
        <f>AVERAGE(E58,G58,H58,I58,Tableau1[[#This Row],[CBS]])</f>
        <v>60.4</v>
      </c>
      <c r="N58">
        <f>AVERAGE(E58,G58,H58,I58,Tableau1[[#This Row],[CBS]])-Tableau1[[#This Row],[HM]]</f>
        <v>6.3999999999999986</v>
      </c>
    </row>
    <row r="59" spans="1:14" ht="15.75" thickBot="1" x14ac:dyDescent="0.3">
      <c r="A59" s="2"/>
      <c r="B59" t="s">
        <v>257</v>
      </c>
      <c r="C59" t="s">
        <v>710</v>
      </c>
      <c r="E59" s="13">
        <v>61</v>
      </c>
      <c r="F59">
        <v>58</v>
      </c>
      <c r="G59">
        <v>58</v>
      </c>
      <c r="H59">
        <v>64</v>
      </c>
      <c r="I59">
        <v>54</v>
      </c>
      <c r="J59">
        <v>59</v>
      </c>
      <c r="K59" s="9">
        <f>AVERAGE(Tableau1[[#This Row],[Lepool.com]:[CBS]])</f>
        <v>59</v>
      </c>
      <c r="L59">
        <f>_xlfn.STDEV.S(Tableau1[[#This Row],[Lepool.com]:[CBS]])</f>
        <v>3.3466401061363023</v>
      </c>
      <c r="M59">
        <f>AVERAGE(E59,G59,H59,I59,Tableau1[[#This Row],[CBS]])</f>
        <v>59.2</v>
      </c>
      <c r="N59">
        <f>AVERAGE(E59,G59,H59,I59,Tableau1[[#This Row],[CBS]])-Tableau1[[#This Row],[HM]]</f>
        <v>1.2000000000000028</v>
      </c>
    </row>
    <row r="60" spans="1:14" ht="15.75" thickBot="1" x14ac:dyDescent="0.3">
      <c r="A60" s="1"/>
      <c r="B60" t="s">
        <v>353</v>
      </c>
      <c r="C60" t="s">
        <v>354</v>
      </c>
      <c r="E60" s="25">
        <v>52</v>
      </c>
      <c r="F60">
        <v>60</v>
      </c>
      <c r="G60">
        <v>65</v>
      </c>
      <c r="H60">
        <v>65</v>
      </c>
      <c r="I60">
        <v>49</v>
      </c>
      <c r="J60">
        <v>62</v>
      </c>
      <c r="K60" s="9">
        <f>AVERAGE(Tableau1[[#This Row],[Lepool.com]:[CBS]])</f>
        <v>58.833333333333336</v>
      </c>
      <c r="L60">
        <f>_xlfn.STDEV.S(Tableau1[[#This Row],[Lepool.com]:[CBS]])</f>
        <v>6.7946057035464849</v>
      </c>
      <c r="M60">
        <f>AVERAGE(E60,G60,H60,I60,Tableau1[[#This Row],[CBS]])</f>
        <v>58.6</v>
      </c>
      <c r="N60">
        <f>AVERAGE(E60,G60,H60,I60,Tableau1[[#This Row],[CBS]])-Tableau1[[#This Row],[HM]]</f>
        <v>-1.3999999999999986</v>
      </c>
    </row>
    <row r="61" spans="1:14" ht="15.75" thickBot="1" x14ac:dyDescent="0.3">
      <c r="A61" s="1"/>
      <c r="B61" t="s">
        <v>274</v>
      </c>
      <c r="C61" t="s">
        <v>275</v>
      </c>
      <c r="E61" s="13">
        <v>59</v>
      </c>
      <c r="F61">
        <v>59</v>
      </c>
      <c r="G61">
        <v>59</v>
      </c>
      <c r="H61">
        <v>58</v>
      </c>
      <c r="I61">
        <v>56</v>
      </c>
      <c r="J61">
        <v>62</v>
      </c>
      <c r="K61" s="9">
        <f>AVERAGE(Tableau1[[#This Row],[Lepool.com]:[CBS]])</f>
        <v>58.833333333333336</v>
      </c>
      <c r="L61">
        <f>_xlfn.STDEV.S(Tableau1[[#This Row],[Lepool.com]:[CBS]])</f>
        <v>1.9407902170679516</v>
      </c>
      <c r="M61">
        <f>AVERAGE(E61,G61,H61,I61,Tableau1[[#This Row],[CBS]])</f>
        <v>58.8</v>
      </c>
      <c r="N61">
        <f>AVERAGE(E61,G61,H61,I61,Tableau1[[#This Row],[CBS]])-Tableau1[[#This Row],[HM]]</f>
        <v>-0.20000000000000284</v>
      </c>
    </row>
    <row r="62" spans="1:14" ht="15.75" thickBot="1" x14ac:dyDescent="0.3">
      <c r="A62" s="2"/>
      <c r="B62" t="s">
        <v>174</v>
      </c>
      <c r="C62" t="s">
        <v>276</v>
      </c>
      <c r="E62" s="13">
        <v>59</v>
      </c>
      <c r="F62">
        <v>57</v>
      </c>
      <c r="G62">
        <v>58</v>
      </c>
      <c r="H62">
        <v>62</v>
      </c>
      <c r="I62">
        <v>55</v>
      </c>
      <c r="J62">
        <v>62</v>
      </c>
      <c r="K62" s="9">
        <f>AVERAGE(Tableau1[[#This Row],[Lepool.com]:[CBS]])</f>
        <v>58.833333333333336</v>
      </c>
      <c r="L62">
        <f>_xlfn.STDEV.S(Tableau1[[#This Row],[Lepool.com]:[CBS]])</f>
        <v>2.7868739954771309</v>
      </c>
      <c r="M62">
        <f>AVERAGE(E62,G62,H62,I62,Tableau1[[#This Row],[CBS]])</f>
        <v>59.2</v>
      </c>
      <c r="N62">
        <f>AVERAGE(E62,G62,H62,I62,Tableau1[[#This Row],[CBS]])-Tableau1[[#This Row],[HM]]</f>
        <v>2.2000000000000028</v>
      </c>
    </row>
    <row r="63" spans="1:14" ht="15.75" thickBot="1" x14ac:dyDescent="0.3">
      <c r="A63" s="1"/>
      <c r="B63" t="s">
        <v>166</v>
      </c>
      <c r="C63" t="s">
        <v>316</v>
      </c>
      <c r="E63" s="13">
        <v>54</v>
      </c>
      <c r="F63">
        <v>62</v>
      </c>
      <c r="G63">
        <v>65</v>
      </c>
      <c r="H63">
        <v>60</v>
      </c>
      <c r="I63">
        <v>51</v>
      </c>
      <c r="J63">
        <v>60</v>
      </c>
      <c r="K63" s="9">
        <f>AVERAGE(Tableau1[[#This Row],[Lepool.com]:[CBS]])</f>
        <v>58.666666666666664</v>
      </c>
      <c r="L63">
        <f>_xlfn.STDEV.S(Tableau1[[#This Row],[Lepool.com]:[CBS]])</f>
        <v>5.2025634707004453</v>
      </c>
      <c r="M63">
        <f>AVERAGE(E63,G63,H63,I63,Tableau1[[#This Row],[CBS]])</f>
        <v>58</v>
      </c>
      <c r="N63">
        <f>AVERAGE(E63,G63,H63,I63,Tableau1[[#This Row],[CBS]])-Tableau1[[#This Row],[HM]]</f>
        <v>-4</v>
      </c>
    </row>
    <row r="64" spans="1:14" ht="15.75" thickBot="1" x14ac:dyDescent="0.3">
      <c r="A64" s="1"/>
      <c r="B64" t="s">
        <v>262</v>
      </c>
      <c r="C64" t="s">
        <v>263</v>
      </c>
      <c r="E64" s="13">
        <v>60</v>
      </c>
      <c r="F64">
        <v>58</v>
      </c>
      <c r="G64">
        <v>54</v>
      </c>
      <c r="H64">
        <v>58</v>
      </c>
      <c r="I64">
        <v>59</v>
      </c>
      <c r="J64">
        <v>59</v>
      </c>
      <c r="K64" s="9">
        <f>AVERAGE(Tableau1[[#This Row],[Lepool.com]:[CBS]])</f>
        <v>58</v>
      </c>
      <c r="L64">
        <f>_xlfn.STDEV.S(Tableau1[[#This Row],[Lepool.com]:[CBS]])</f>
        <v>2.0976176963403033</v>
      </c>
      <c r="M64">
        <f>AVERAGE(E64,G64,H64,I64,Tableau1[[#This Row],[CBS]])</f>
        <v>58</v>
      </c>
      <c r="N64">
        <f>AVERAGE(E64,G64,H64,I64,Tableau1[[#This Row],[CBS]])-Tableau1[[#This Row],[HM]]</f>
        <v>0</v>
      </c>
    </row>
    <row r="65" spans="1:14" ht="15.75" thickBot="1" x14ac:dyDescent="0.3">
      <c r="A65" s="2"/>
      <c r="B65" t="s">
        <v>296</v>
      </c>
      <c r="C65" t="s">
        <v>1518</v>
      </c>
      <c r="E65" s="13">
        <v>57</v>
      </c>
      <c r="F65">
        <v>57</v>
      </c>
      <c r="G65">
        <v>58</v>
      </c>
      <c r="H65">
        <v>61</v>
      </c>
      <c r="I65">
        <v>56</v>
      </c>
      <c r="J65">
        <v>58</v>
      </c>
      <c r="K65" s="9">
        <f>AVERAGE(Tableau1[[#This Row],[Lepool.com]:[CBS]])</f>
        <v>57.833333333333336</v>
      </c>
      <c r="L65">
        <f>_xlfn.STDEV.S(Tableau1[[#This Row],[Lepool.com]:[CBS]])</f>
        <v>1.7224014243685084</v>
      </c>
      <c r="M65">
        <f>AVERAGE(E65,G65,H65,I65,Tableau1[[#This Row],[CBS]])</f>
        <v>58</v>
      </c>
      <c r="N65">
        <f>AVERAGE(E65,G65,H65,I65,Tableau1[[#This Row],[CBS]])-Tableau1[[#This Row],[HM]]</f>
        <v>1</v>
      </c>
    </row>
    <row r="66" spans="1:14" ht="15.75" thickBot="1" x14ac:dyDescent="0.3">
      <c r="A66" s="1"/>
      <c r="B66" t="s">
        <v>254</v>
      </c>
      <c r="C66" t="s">
        <v>273</v>
      </c>
      <c r="E66" s="13">
        <v>59</v>
      </c>
      <c r="F66">
        <v>60</v>
      </c>
      <c r="G66">
        <v>50</v>
      </c>
      <c r="H66">
        <v>55</v>
      </c>
      <c r="I66">
        <v>59</v>
      </c>
      <c r="J66">
        <v>63</v>
      </c>
      <c r="K66" s="9">
        <f>AVERAGE(Tableau1[[#This Row],[Lepool.com]:[CBS]])</f>
        <v>57.666666666666664</v>
      </c>
      <c r="L66">
        <f>_xlfn.STDEV.S(Tableau1[[#This Row],[Lepool.com]:[CBS]])</f>
        <v>4.5460605656619517</v>
      </c>
      <c r="M66">
        <f>AVERAGE(E66,G66,H66,I66,Tableau1[[#This Row],[CBS]])</f>
        <v>57.2</v>
      </c>
      <c r="N66">
        <f>AVERAGE(E66,G66,H66,I66,Tableau1[[#This Row],[CBS]])-Tableau1[[#This Row],[HM]]</f>
        <v>-2.7999999999999972</v>
      </c>
    </row>
    <row r="67" spans="1:14" ht="15.75" thickBot="1" x14ac:dyDescent="0.3">
      <c r="A67" s="1"/>
      <c r="B67" t="s">
        <v>216</v>
      </c>
      <c r="C67" t="s">
        <v>259</v>
      </c>
      <c r="E67" s="13">
        <v>61</v>
      </c>
      <c r="F67">
        <v>55</v>
      </c>
      <c r="G67">
        <v>61</v>
      </c>
      <c r="H67">
        <v>59</v>
      </c>
      <c r="I67">
        <v>58</v>
      </c>
      <c r="J67">
        <v>51</v>
      </c>
      <c r="K67" s="9">
        <f>AVERAGE(Tableau1[[#This Row],[Lepool.com]:[CBS]])</f>
        <v>57.5</v>
      </c>
      <c r="L67">
        <f>_xlfn.STDEV.S(Tableau1[[#This Row],[Lepool.com]:[CBS]])</f>
        <v>3.8858718455450894</v>
      </c>
      <c r="M67">
        <f>AVERAGE(E67,G67,H67,I67,Tableau1[[#This Row],[CBS]])</f>
        <v>58</v>
      </c>
      <c r="N67">
        <f>AVERAGE(E67,G67,H67,I67,Tableau1[[#This Row],[CBS]])-Tableau1[[#This Row],[HM]]</f>
        <v>3</v>
      </c>
    </row>
    <row r="68" spans="1:14" ht="15.75" thickBot="1" x14ac:dyDescent="0.3">
      <c r="A68" s="2"/>
      <c r="B68" t="s">
        <v>257</v>
      </c>
      <c r="C68" t="s">
        <v>272</v>
      </c>
      <c r="E68" s="13">
        <v>59</v>
      </c>
      <c r="F68">
        <v>60</v>
      </c>
      <c r="G68">
        <v>56</v>
      </c>
      <c r="H68">
        <v>57</v>
      </c>
      <c r="I68">
        <v>51</v>
      </c>
      <c r="J68">
        <v>61</v>
      </c>
      <c r="K68" s="9">
        <f>AVERAGE(Tableau1[[#This Row],[Lepool.com]:[CBS]])</f>
        <v>57.333333333333336</v>
      </c>
      <c r="L68">
        <f>_xlfn.STDEV.S(Tableau1[[#This Row],[Lepool.com]:[CBS]])</f>
        <v>3.6147844564602556</v>
      </c>
      <c r="M68">
        <f>AVERAGE(E68,G68,H68,I68,Tableau1[[#This Row],[CBS]])</f>
        <v>56.8</v>
      </c>
      <c r="N68">
        <f>AVERAGE(E68,G68,H68,I68,Tableau1[[#This Row],[CBS]])-Tableau1[[#This Row],[HM]]</f>
        <v>-3.2000000000000028</v>
      </c>
    </row>
    <row r="69" spans="1:14" ht="15.75" thickBot="1" x14ac:dyDescent="0.3">
      <c r="A69" s="1"/>
      <c r="B69" t="s">
        <v>302</v>
      </c>
      <c r="C69" t="s">
        <v>188</v>
      </c>
      <c r="E69" s="13">
        <v>57</v>
      </c>
      <c r="F69">
        <v>47</v>
      </c>
      <c r="G69">
        <v>60</v>
      </c>
      <c r="H69">
        <v>56</v>
      </c>
      <c r="I69">
        <v>64</v>
      </c>
      <c r="J69">
        <v>60</v>
      </c>
      <c r="K69" s="9">
        <f>AVERAGE(Tableau1[[#This Row],[Lepool.com]:[CBS]])</f>
        <v>57.333333333333336</v>
      </c>
      <c r="L69">
        <f>_xlfn.STDEV.S(Tableau1[[#This Row],[Lepool.com]:[CBS]])</f>
        <v>5.7850381733111025</v>
      </c>
      <c r="M69">
        <f>AVERAGE(E69,G69,H69,I69,Tableau1[[#This Row],[CBS]])</f>
        <v>59.4</v>
      </c>
      <c r="N69">
        <f>AVERAGE(E69,G69,H69,I69,Tableau1[[#This Row],[CBS]])-Tableau1[[#This Row],[HM]]</f>
        <v>12.399999999999999</v>
      </c>
    </row>
    <row r="70" spans="1:14" ht="15.75" thickBot="1" x14ac:dyDescent="0.3">
      <c r="A70" s="1"/>
      <c r="B70" t="s">
        <v>170</v>
      </c>
      <c r="C70" t="s">
        <v>279</v>
      </c>
      <c r="E70" s="13">
        <v>58</v>
      </c>
      <c r="F70">
        <v>60</v>
      </c>
      <c r="G70">
        <v>54</v>
      </c>
      <c r="H70">
        <v>58</v>
      </c>
      <c r="I70">
        <v>54</v>
      </c>
      <c r="J70">
        <v>57</v>
      </c>
      <c r="K70" s="9">
        <f>AVERAGE(Tableau1[[#This Row],[Lepool.com]:[CBS]])</f>
        <v>56.833333333333336</v>
      </c>
      <c r="L70">
        <f>_xlfn.STDEV.S(Tableau1[[#This Row],[Lepool.com]:[CBS]])</f>
        <v>2.4013884872437168</v>
      </c>
      <c r="M70">
        <f>AVERAGE(E70,G70,H70,I70,Tableau1[[#This Row],[CBS]])</f>
        <v>56.2</v>
      </c>
      <c r="N70">
        <f>AVERAGE(E70,G70,H70,I70,Tableau1[[#This Row],[CBS]])-Tableau1[[#This Row],[HM]]</f>
        <v>-3.7999999999999972</v>
      </c>
    </row>
    <row r="71" spans="1:14" ht="15.75" thickBot="1" x14ac:dyDescent="0.3">
      <c r="A71" s="2"/>
      <c r="B71" t="s">
        <v>282</v>
      </c>
      <c r="C71" t="s">
        <v>283</v>
      </c>
      <c r="E71" s="13">
        <v>58</v>
      </c>
      <c r="F71">
        <v>55</v>
      </c>
      <c r="G71">
        <v>63</v>
      </c>
      <c r="H71">
        <v>65</v>
      </c>
      <c r="I71">
        <v>51</v>
      </c>
      <c r="J71">
        <v>49</v>
      </c>
      <c r="K71" s="9">
        <f>AVERAGE(Tableau1[[#This Row],[Lepool.com]:[CBS]])</f>
        <v>56.833333333333336</v>
      </c>
      <c r="L71">
        <f>_xlfn.STDEV.S(Tableau1[[#This Row],[Lepool.com]:[CBS]])</f>
        <v>6.4005208121422763</v>
      </c>
      <c r="M71">
        <f>AVERAGE(E71,G71,H71,I71,Tableau1[[#This Row],[CBS]])</f>
        <v>57.2</v>
      </c>
      <c r="N71">
        <f>AVERAGE(E71,G71,H71,I71,Tableau1[[#This Row],[CBS]])-Tableau1[[#This Row],[HM]]</f>
        <v>2.2000000000000028</v>
      </c>
    </row>
    <row r="72" spans="1:14" ht="15.75" thickBot="1" x14ac:dyDescent="0.3">
      <c r="A72" s="1"/>
      <c r="B72" t="s">
        <v>260</v>
      </c>
      <c r="C72" t="s">
        <v>261</v>
      </c>
      <c r="E72" s="13">
        <v>60</v>
      </c>
      <c r="F72">
        <v>66</v>
      </c>
      <c r="G72">
        <v>60</v>
      </c>
      <c r="H72">
        <v>55</v>
      </c>
      <c r="I72">
        <v>50</v>
      </c>
      <c r="J72">
        <v>49</v>
      </c>
      <c r="K72" s="9">
        <f>AVERAGE(Tableau1[[#This Row],[Lepool.com]:[CBS]])</f>
        <v>56.666666666666664</v>
      </c>
      <c r="L72">
        <f>_xlfn.STDEV.S(Tableau1[[#This Row],[Lepool.com]:[CBS]])</f>
        <v>6.562519841239828</v>
      </c>
      <c r="M72">
        <f>AVERAGE(E72,G72,H72,I72,Tableau1[[#This Row],[CBS]])</f>
        <v>54.8</v>
      </c>
      <c r="N72">
        <f>AVERAGE(E72,G72,H72,I72,Tableau1[[#This Row],[CBS]])-Tableau1[[#This Row],[HM]]</f>
        <v>-11.200000000000003</v>
      </c>
    </row>
    <row r="73" spans="1:14" ht="15.75" thickBot="1" x14ac:dyDescent="0.3">
      <c r="A73" s="1"/>
      <c r="B73" t="s">
        <v>254</v>
      </c>
      <c r="C73" t="s">
        <v>258</v>
      </c>
      <c r="E73" s="13">
        <v>61</v>
      </c>
      <c r="F73">
        <v>57</v>
      </c>
      <c r="G73">
        <v>62</v>
      </c>
      <c r="H73">
        <v>56</v>
      </c>
      <c r="I73">
        <v>50</v>
      </c>
      <c r="J73">
        <v>54</v>
      </c>
      <c r="K73" s="9">
        <f>AVERAGE(Tableau1[[#This Row],[Lepool.com]:[CBS]])</f>
        <v>56.666666666666664</v>
      </c>
      <c r="L73">
        <f>_xlfn.STDEV.S(Tableau1[[#This Row],[Lepool.com]:[CBS]])</f>
        <v>4.457203906785808</v>
      </c>
      <c r="M73">
        <f>AVERAGE(E73,G73,H73,I73,Tableau1[[#This Row],[CBS]])</f>
        <v>56.6</v>
      </c>
      <c r="N73">
        <f>AVERAGE(E73,G73,H73,I73,Tableau1[[#This Row],[CBS]])-Tableau1[[#This Row],[HM]]</f>
        <v>-0.39999999999999858</v>
      </c>
    </row>
    <row r="74" spans="1:14" ht="15.75" thickBot="1" x14ac:dyDescent="0.3">
      <c r="A74" s="2"/>
      <c r="B74" t="s">
        <v>307</v>
      </c>
      <c r="C74" t="s">
        <v>308</v>
      </c>
      <c r="E74" s="13">
        <v>56</v>
      </c>
      <c r="F74">
        <v>53</v>
      </c>
      <c r="G74">
        <v>58</v>
      </c>
      <c r="H74">
        <v>52</v>
      </c>
      <c r="I74">
        <v>52</v>
      </c>
      <c r="J74">
        <v>67</v>
      </c>
      <c r="K74" s="9">
        <f>AVERAGE(Tableau1[[#This Row],[Lepool.com]:[CBS]])</f>
        <v>56.333333333333336</v>
      </c>
      <c r="L74">
        <f>_xlfn.STDEV.S(Tableau1[[#This Row],[Lepool.com]:[CBS]])</f>
        <v>5.7503623074260872</v>
      </c>
      <c r="M74">
        <f>AVERAGE(E74,G74,H74,I74,Tableau1[[#This Row],[CBS]])</f>
        <v>57</v>
      </c>
      <c r="N74">
        <f>AVERAGE(E74,G74,H74,I74,Tableau1[[#This Row],[CBS]])-Tableau1[[#This Row],[HM]]</f>
        <v>4</v>
      </c>
    </row>
    <row r="75" spans="1:14" ht="15.75" thickBot="1" x14ac:dyDescent="0.3">
      <c r="A75" s="1"/>
      <c r="B75" t="s">
        <v>218</v>
      </c>
      <c r="C75" t="s">
        <v>396</v>
      </c>
      <c r="E75" s="25">
        <v>49</v>
      </c>
      <c r="F75">
        <v>59</v>
      </c>
      <c r="G75">
        <v>62</v>
      </c>
      <c r="H75">
        <v>63</v>
      </c>
      <c r="I75">
        <v>43</v>
      </c>
      <c r="J75">
        <v>60</v>
      </c>
      <c r="K75" s="9">
        <f>AVERAGE(Tableau1[[#This Row],[Lepool.com]:[CBS]])</f>
        <v>56</v>
      </c>
      <c r="L75">
        <f>_xlfn.STDEV.S(Tableau1[[#This Row],[Lepool.com]:[CBS]])</f>
        <v>8.0993826925266337</v>
      </c>
      <c r="M75">
        <f>AVERAGE(E75,G75,H75,I75,Tableau1[[#This Row],[CBS]])</f>
        <v>55.4</v>
      </c>
      <c r="N75">
        <f>AVERAGE(E75,G75,H75,I75,Tableau1[[#This Row],[CBS]])-Tableau1[[#This Row],[HM]]</f>
        <v>-3.6000000000000014</v>
      </c>
    </row>
    <row r="76" spans="1:14" ht="15.75" thickBot="1" x14ac:dyDescent="0.3">
      <c r="A76" s="1"/>
      <c r="B76" t="s">
        <v>337</v>
      </c>
      <c r="C76" t="s">
        <v>338</v>
      </c>
      <c r="E76" s="25">
        <v>53</v>
      </c>
      <c r="F76">
        <v>58</v>
      </c>
      <c r="G76">
        <v>60</v>
      </c>
      <c r="H76">
        <v>52</v>
      </c>
      <c r="I76">
        <v>56</v>
      </c>
      <c r="J76">
        <v>57</v>
      </c>
      <c r="K76" s="9">
        <f>AVERAGE(Tableau1[[#This Row],[Lepool.com]:[CBS]])</f>
        <v>56</v>
      </c>
      <c r="L76">
        <f>_xlfn.STDEV.S(Tableau1[[#This Row],[Lepool.com]:[CBS]])</f>
        <v>3.03315017762062</v>
      </c>
      <c r="M76">
        <f>AVERAGE(E76,G76,H76,I76,Tableau1[[#This Row],[CBS]])</f>
        <v>55.6</v>
      </c>
      <c r="N76">
        <f>AVERAGE(E76,G76,H76,I76,Tableau1[[#This Row],[CBS]])-Tableau1[[#This Row],[HM]]</f>
        <v>-2.3999999999999986</v>
      </c>
    </row>
    <row r="77" spans="1:14" ht="15.75" thickBot="1" x14ac:dyDescent="0.3">
      <c r="A77" s="2"/>
      <c r="B77" t="s">
        <v>280</v>
      </c>
      <c r="C77" t="s">
        <v>281</v>
      </c>
      <c r="E77" s="13">
        <v>58</v>
      </c>
      <c r="F77">
        <v>55</v>
      </c>
      <c r="G77">
        <v>58</v>
      </c>
      <c r="H77">
        <v>51</v>
      </c>
      <c r="I77">
        <v>51</v>
      </c>
      <c r="J77">
        <v>63</v>
      </c>
      <c r="K77" s="9">
        <f>AVERAGE(Tableau1[[#This Row],[Lepool.com]:[CBS]])</f>
        <v>56</v>
      </c>
      <c r="L77">
        <f>_xlfn.STDEV.S(Tableau1[[#This Row],[Lepool.com]:[CBS]])</f>
        <v>4.6475800154489004</v>
      </c>
      <c r="M77">
        <f>AVERAGE(E77,G77,H77,I77,Tableau1[[#This Row],[CBS]])</f>
        <v>56.2</v>
      </c>
      <c r="N77">
        <f>AVERAGE(E77,G77,H77,I77,Tableau1[[#This Row],[CBS]])-Tableau1[[#This Row],[HM]]</f>
        <v>1.2000000000000028</v>
      </c>
    </row>
    <row r="78" spans="1:14" ht="15.75" thickBot="1" x14ac:dyDescent="0.3">
      <c r="A78" s="1"/>
      <c r="B78" t="s">
        <v>265</v>
      </c>
      <c r="C78" t="s">
        <v>266</v>
      </c>
      <c r="E78" s="13">
        <v>60</v>
      </c>
      <c r="F78">
        <v>54</v>
      </c>
      <c r="G78">
        <v>52</v>
      </c>
      <c r="H78">
        <v>52</v>
      </c>
      <c r="I78">
        <v>56</v>
      </c>
      <c r="J78">
        <v>61</v>
      </c>
      <c r="K78" s="9">
        <f>AVERAGE(Tableau1[[#This Row],[Lepool.com]:[CBS]])</f>
        <v>55.833333333333336</v>
      </c>
      <c r="L78">
        <f>_xlfn.STDEV.S(Tableau1[[#This Row],[Lepool.com]:[CBS]])</f>
        <v>3.9200340134578768</v>
      </c>
      <c r="M78">
        <f>AVERAGE(E78,G78,H78,I78,Tableau1[[#This Row],[CBS]])</f>
        <v>56.2</v>
      </c>
      <c r="N78">
        <f>AVERAGE(E78,G78,H78,I78,Tableau1[[#This Row],[CBS]])-Tableau1[[#This Row],[HM]]</f>
        <v>2.2000000000000028</v>
      </c>
    </row>
    <row r="79" spans="1:14" ht="15.75" thickBot="1" x14ac:dyDescent="0.3">
      <c r="A79" s="1"/>
      <c r="B79" t="s">
        <v>298</v>
      </c>
      <c r="C79" t="s">
        <v>299</v>
      </c>
      <c r="E79" s="13">
        <v>57</v>
      </c>
      <c r="F79">
        <v>53</v>
      </c>
      <c r="G79">
        <v>59</v>
      </c>
      <c r="H79">
        <v>52</v>
      </c>
      <c r="I79">
        <v>58</v>
      </c>
      <c r="J79">
        <v>56</v>
      </c>
      <c r="K79" s="9">
        <f>AVERAGE(Tableau1[[#This Row],[Lepool.com]:[CBS]])</f>
        <v>55.833333333333336</v>
      </c>
      <c r="L79">
        <f>_xlfn.STDEV.S(Tableau1[[#This Row],[Lepool.com]:[CBS]])</f>
        <v>2.7868739954771309</v>
      </c>
      <c r="M79">
        <f>AVERAGE(E79,G79,H79,I79,Tableau1[[#This Row],[CBS]])</f>
        <v>56.4</v>
      </c>
      <c r="N79">
        <f>AVERAGE(E79,G79,H79,I79,Tableau1[[#This Row],[CBS]])-Tableau1[[#This Row],[HM]]</f>
        <v>3.3999999999999986</v>
      </c>
    </row>
    <row r="80" spans="1:14" ht="15.75" thickBot="1" x14ac:dyDescent="0.3">
      <c r="A80" s="2"/>
      <c r="B80" t="s">
        <v>303</v>
      </c>
      <c r="C80" t="s">
        <v>304</v>
      </c>
      <c r="E80" s="13">
        <v>56</v>
      </c>
      <c r="F80">
        <v>57</v>
      </c>
      <c r="G80">
        <v>55</v>
      </c>
      <c r="H80">
        <v>58</v>
      </c>
      <c r="I80">
        <v>54</v>
      </c>
      <c r="J80">
        <v>54</v>
      </c>
      <c r="K80" s="9">
        <f>AVERAGE(Tableau1[[#This Row],[Lepool.com]:[CBS]])</f>
        <v>55.666666666666664</v>
      </c>
      <c r="L80">
        <f>_xlfn.STDEV.S(Tableau1[[#This Row],[Lepool.com]:[CBS]])</f>
        <v>1.6329931618554521</v>
      </c>
      <c r="M80">
        <f>AVERAGE(E80,G80,H80,I80,Tableau1[[#This Row],[CBS]])</f>
        <v>55.4</v>
      </c>
      <c r="N80">
        <f>AVERAGE(E80,G80,H80,I80,Tableau1[[#This Row],[CBS]])-Tableau1[[#This Row],[HM]]</f>
        <v>-1.6000000000000014</v>
      </c>
    </row>
    <row r="81" spans="1:14" ht="15.75" thickBot="1" x14ac:dyDescent="0.3">
      <c r="A81" s="1"/>
      <c r="B81" t="s">
        <v>220</v>
      </c>
      <c r="C81" t="s">
        <v>221</v>
      </c>
      <c r="E81" s="13">
        <v>67</v>
      </c>
      <c r="F81">
        <v>52</v>
      </c>
      <c r="H81">
        <v>65</v>
      </c>
      <c r="I81">
        <v>56</v>
      </c>
      <c r="J81">
        <v>37</v>
      </c>
      <c r="K81" s="9">
        <f>AVERAGE(Tableau1[[#This Row],[Lepool.com]:[CBS]])</f>
        <v>55.4</v>
      </c>
      <c r="L81">
        <f>_xlfn.STDEV.S(Tableau1[[#This Row],[Lepool.com]:[CBS]])</f>
        <v>12.012493496356207</v>
      </c>
      <c r="M81">
        <f>AVERAGE(E81,G81,H81,I81,Tableau1[[#This Row],[CBS]])</f>
        <v>56.25</v>
      </c>
      <c r="N81">
        <f>AVERAGE(E81,G81,H81,I81,Tableau1[[#This Row],[CBS]])-Tableau1[[#This Row],[HM]]</f>
        <v>4.25</v>
      </c>
    </row>
    <row r="82" spans="1:14" ht="15.75" thickBot="1" x14ac:dyDescent="0.3">
      <c r="A82" s="1"/>
      <c r="B82" t="s">
        <v>254</v>
      </c>
      <c r="C82" t="s">
        <v>255</v>
      </c>
      <c r="E82" s="13">
        <v>61</v>
      </c>
      <c r="F82">
        <v>66</v>
      </c>
      <c r="G82">
        <v>61</v>
      </c>
      <c r="H82">
        <v>53</v>
      </c>
      <c r="I82">
        <v>46</v>
      </c>
      <c r="J82">
        <v>45</v>
      </c>
      <c r="K82" s="9">
        <f>AVERAGE(Tableau1[[#This Row],[Lepool.com]:[CBS]])</f>
        <v>55.333333333333336</v>
      </c>
      <c r="L82">
        <f>_xlfn.STDEV.S(Tableau1[[#This Row],[Lepool.com]:[CBS]])</f>
        <v>8.6871552689396783</v>
      </c>
      <c r="M82">
        <f>AVERAGE(E82,G82,H82,I82,Tableau1[[#This Row],[CBS]])</f>
        <v>53.2</v>
      </c>
      <c r="N82">
        <f>AVERAGE(E82,G82,H82,I82,Tableau1[[#This Row],[CBS]])-Tableau1[[#This Row],[HM]]</f>
        <v>-12.799999999999997</v>
      </c>
    </row>
    <row r="83" spans="1:14" ht="15.75" thickBot="1" x14ac:dyDescent="0.3">
      <c r="A83" s="2"/>
      <c r="B83" t="s">
        <v>339</v>
      </c>
      <c r="C83" t="s">
        <v>340</v>
      </c>
      <c r="E83" s="25">
        <v>53</v>
      </c>
      <c r="F83">
        <v>55</v>
      </c>
      <c r="G83">
        <v>53</v>
      </c>
      <c r="H83">
        <v>58</v>
      </c>
      <c r="I83">
        <v>57</v>
      </c>
      <c r="J83">
        <v>56</v>
      </c>
      <c r="K83" s="9">
        <f>AVERAGE(Tableau1[[#This Row],[Lepool.com]:[CBS]])</f>
        <v>55.333333333333336</v>
      </c>
      <c r="L83">
        <f>_xlfn.STDEV.S(Tableau1[[#This Row],[Lepool.com]:[CBS]])</f>
        <v>2.0655911179772892</v>
      </c>
      <c r="M83">
        <f>AVERAGE(E83,G83,H83,I83,Tableau1[[#This Row],[CBS]])</f>
        <v>55.4</v>
      </c>
      <c r="N83">
        <f>AVERAGE(E83,G83,H83,I83,Tableau1[[#This Row],[CBS]])-Tableau1[[#This Row],[HM]]</f>
        <v>0.39999999999999858</v>
      </c>
    </row>
    <row r="84" spans="1:14" ht="15.75" thickBot="1" x14ac:dyDescent="0.3">
      <c r="A84" s="1"/>
      <c r="B84" t="s">
        <v>294</v>
      </c>
      <c r="C84" t="s">
        <v>295</v>
      </c>
      <c r="E84" s="13">
        <v>57</v>
      </c>
      <c r="F84">
        <v>59</v>
      </c>
      <c r="G84">
        <v>58</v>
      </c>
      <c r="H84">
        <v>58</v>
      </c>
      <c r="I84">
        <v>43</v>
      </c>
      <c r="J84">
        <v>55</v>
      </c>
      <c r="K84" s="9">
        <f>AVERAGE(Tableau1[[#This Row],[Lepool.com]:[CBS]])</f>
        <v>55</v>
      </c>
      <c r="L84">
        <f>_xlfn.STDEV.S(Tableau1[[#This Row],[Lepool.com]:[CBS]])</f>
        <v>6.0332412515993425</v>
      </c>
      <c r="M84">
        <f>AVERAGE(E84,G84,H84,I84,Tableau1[[#This Row],[CBS]])</f>
        <v>54.2</v>
      </c>
      <c r="N84">
        <f>AVERAGE(E84,G84,H84,I84,Tableau1[[#This Row],[CBS]])-Tableau1[[#This Row],[HM]]</f>
        <v>-4.7999999999999972</v>
      </c>
    </row>
    <row r="85" spans="1:14" ht="15.75" thickBot="1" x14ac:dyDescent="0.3">
      <c r="A85" s="1"/>
      <c r="B85" t="s">
        <v>319</v>
      </c>
      <c r="C85" t="s">
        <v>320</v>
      </c>
      <c r="E85" s="13">
        <v>54</v>
      </c>
      <c r="F85">
        <v>57</v>
      </c>
      <c r="G85">
        <v>56</v>
      </c>
      <c r="H85">
        <v>53</v>
      </c>
      <c r="I85">
        <v>53</v>
      </c>
      <c r="J85">
        <v>56</v>
      </c>
      <c r="K85" s="9">
        <f>AVERAGE(Tableau1[[#This Row],[Lepool.com]:[CBS]])</f>
        <v>54.833333333333336</v>
      </c>
      <c r="L85">
        <f>_xlfn.STDEV.S(Tableau1[[#This Row],[Lepool.com]:[CBS]])</f>
        <v>1.7224014243685084</v>
      </c>
      <c r="M85">
        <f>AVERAGE(E85,G85,H85,I85,Tableau1[[#This Row],[CBS]])</f>
        <v>54.4</v>
      </c>
      <c r="N85">
        <f>AVERAGE(E85,G85,H85,I85,Tableau1[[#This Row],[CBS]])-Tableau1[[#This Row],[HM]]</f>
        <v>-2.6000000000000014</v>
      </c>
    </row>
    <row r="86" spans="1:14" ht="15.75" thickBot="1" x14ac:dyDescent="0.3">
      <c r="A86" s="2"/>
      <c r="B86" t="s">
        <v>170</v>
      </c>
      <c r="C86" t="s">
        <v>355</v>
      </c>
      <c r="E86" s="25">
        <v>52</v>
      </c>
      <c r="F86">
        <v>59</v>
      </c>
      <c r="G86">
        <v>50</v>
      </c>
      <c r="H86">
        <v>57</v>
      </c>
      <c r="I86">
        <v>47</v>
      </c>
      <c r="J86">
        <v>63</v>
      </c>
      <c r="K86" s="9">
        <f>AVERAGE(Tableau1[[#This Row],[Lepool.com]:[CBS]])</f>
        <v>54.666666666666664</v>
      </c>
      <c r="L86">
        <f>_xlfn.STDEV.S(Tableau1[[#This Row],[Lepool.com]:[CBS]])</f>
        <v>6.0221812216726276</v>
      </c>
      <c r="M86">
        <f>AVERAGE(E86,G86,H86,I86,Tableau1[[#This Row],[CBS]])</f>
        <v>53.8</v>
      </c>
      <c r="N86">
        <f>AVERAGE(E86,G86,H86,I86,Tableau1[[#This Row],[CBS]])-Tableau1[[#This Row],[HM]]</f>
        <v>-5.2000000000000028</v>
      </c>
    </row>
    <row r="87" spans="1:14" ht="15.75" thickBot="1" x14ac:dyDescent="0.3">
      <c r="A87" s="1"/>
      <c r="B87" t="s">
        <v>323</v>
      </c>
      <c r="C87" t="s">
        <v>324</v>
      </c>
      <c r="E87" s="13">
        <v>54</v>
      </c>
      <c r="F87">
        <v>52</v>
      </c>
      <c r="G87">
        <v>56</v>
      </c>
      <c r="H87">
        <v>60</v>
      </c>
      <c r="I87">
        <v>50</v>
      </c>
      <c r="J87">
        <v>56</v>
      </c>
      <c r="K87" s="9">
        <f>AVERAGE(Tableau1[[#This Row],[Lepool.com]:[CBS]])</f>
        <v>54.666666666666664</v>
      </c>
      <c r="L87">
        <f>_xlfn.STDEV.S(Tableau1[[#This Row],[Lepool.com]:[CBS]])</f>
        <v>3.5023801430836525</v>
      </c>
      <c r="M87">
        <f>AVERAGE(E87,G87,H87,I87,Tableau1[[#This Row],[CBS]])</f>
        <v>55.2</v>
      </c>
      <c r="N87">
        <f>AVERAGE(E87,G87,H87,I87,Tableau1[[#This Row],[CBS]])-Tableau1[[#This Row],[HM]]</f>
        <v>3.2000000000000028</v>
      </c>
    </row>
    <row r="88" spans="1:14" ht="15.75" thickBot="1" x14ac:dyDescent="0.3">
      <c r="A88" s="1"/>
      <c r="B88" t="s">
        <v>321</v>
      </c>
      <c r="C88" t="s">
        <v>322</v>
      </c>
      <c r="E88" s="13">
        <v>54</v>
      </c>
      <c r="F88">
        <v>57</v>
      </c>
      <c r="G88">
        <v>52</v>
      </c>
      <c r="H88">
        <v>50</v>
      </c>
      <c r="I88">
        <v>54</v>
      </c>
      <c r="J88">
        <v>60</v>
      </c>
      <c r="K88" s="9">
        <f>AVERAGE(Tableau1[[#This Row],[Lepool.com]:[CBS]])</f>
        <v>54.5</v>
      </c>
      <c r="L88">
        <f>_xlfn.STDEV.S(Tableau1[[#This Row],[Lepool.com]:[CBS]])</f>
        <v>3.5637059362410923</v>
      </c>
      <c r="M88">
        <f>AVERAGE(E88,G88,H88,I88,Tableau1[[#This Row],[CBS]])</f>
        <v>54</v>
      </c>
      <c r="N88">
        <f>AVERAGE(E88,G88,H88,I88,Tableau1[[#This Row],[CBS]])-Tableau1[[#This Row],[HM]]</f>
        <v>-3</v>
      </c>
    </row>
    <row r="89" spans="1:14" ht="15.75" thickBot="1" x14ac:dyDescent="0.3">
      <c r="A89" s="2"/>
      <c r="B89" t="s">
        <v>277</v>
      </c>
      <c r="C89" t="s">
        <v>305</v>
      </c>
      <c r="E89" s="13">
        <v>56</v>
      </c>
      <c r="F89">
        <v>55</v>
      </c>
      <c r="G89">
        <v>56</v>
      </c>
      <c r="H89">
        <v>55</v>
      </c>
      <c r="I89">
        <v>53</v>
      </c>
      <c r="J89">
        <v>52</v>
      </c>
      <c r="K89" s="9">
        <f>AVERAGE(Tableau1[[#This Row],[Lepool.com]:[CBS]])</f>
        <v>54.5</v>
      </c>
      <c r="L89">
        <f>_xlfn.STDEV.S(Tableau1[[#This Row],[Lepool.com]:[CBS]])</f>
        <v>1.6431676725154984</v>
      </c>
      <c r="M89">
        <f>AVERAGE(E89,G89,H89,I89,Tableau1[[#This Row],[CBS]])</f>
        <v>54.4</v>
      </c>
      <c r="N89">
        <f>AVERAGE(E89,G89,H89,I89,Tableau1[[#This Row],[CBS]])-Tableau1[[#This Row],[HM]]</f>
        <v>-0.60000000000000142</v>
      </c>
    </row>
    <row r="90" spans="1:14" ht="15.75" thickBot="1" x14ac:dyDescent="0.3">
      <c r="A90" s="1"/>
      <c r="B90" t="s">
        <v>356</v>
      </c>
      <c r="C90" t="s">
        <v>357</v>
      </c>
      <c r="E90" s="25">
        <v>52</v>
      </c>
      <c r="F90">
        <v>55</v>
      </c>
      <c r="G90">
        <v>57</v>
      </c>
      <c r="H90">
        <v>55</v>
      </c>
      <c r="I90">
        <v>52</v>
      </c>
      <c r="J90">
        <v>56</v>
      </c>
      <c r="K90" s="9">
        <f>AVERAGE(Tableau1[[#This Row],[Lepool.com]:[CBS]])</f>
        <v>54.5</v>
      </c>
      <c r="L90">
        <f>_xlfn.STDEV.S(Tableau1[[#This Row],[Lepool.com]:[CBS]])</f>
        <v>2.0736441353327719</v>
      </c>
      <c r="M90">
        <f>AVERAGE(E90,G90,H90,I90,Tableau1[[#This Row],[CBS]])</f>
        <v>54.4</v>
      </c>
      <c r="N90">
        <f>AVERAGE(E90,G90,H90,I90,Tableau1[[#This Row],[CBS]])-Tableau1[[#This Row],[HM]]</f>
        <v>-0.60000000000000142</v>
      </c>
    </row>
    <row r="91" spans="1:14" ht="15.75" thickBot="1" x14ac:dyDescent="0.3">
      <c r="A91" s="1"/>
      <c r="B91" t="s">
        <v>162</v>
      </c>
      <c r="C91" t="s">
        <v>306</v>
      </c>
      <c r="E91" s="13">
        <v>56</v>
      </c>
      <c r="F91">
        <v>54</v>
      </c>
      <c r="G91">
        <v>48</v>
      </c>
      <c r="H91">
        <v>56</v>
      </c>
      <c r="I91">
        <v>55</v>
      </c>
      <c r="J91">
        <v>57</v>
      </c>
      <c r="K91" s="9">
        <f>AVERAGE(Tableau1[[#This Row],[Lepool.com]:[CBS]])</f>
        <v>54.333333333333336</v>
      </c>
      <c r="L91">
        <f>_xlfn.STDEV.S(Tableau1[[#This Row],[Lepool.com]:[CBS]])</f>
        <v>3.2659863237109041</v>
      </c>
      <c r="M91">
        <f>AVERAGE(E91,G91,H91,I91,Tableau1[[#This Row],[CBS]])</f>
        <v>54.4</v>
      </c>
      <c r="N91">
        <f>AVERAGE(E91,G91,H91,I91,Tableau1[[#This Row],[CBS]])-Tableau1[[#This Row],[HM]]</f>
        <v>0.39999999999999858</v>
      </c>
    </row>
    <row r="92" spans="1:14" ht="15.75" thickBot="1" x14ac:dyDescent="0.3">
      <c r="A92" s="2"/>
      <c r="B92" t="s">
        <v>310</v>
      </c>
      <c r="C92" t="s">
        <v>311</v>
      </c>
      <c r="E92" s="13">
        <v>56</v>
      </c>
      <c r="F92">
        <v>50</v>
      </c>
      <c r="G92">
        <v>54</v>
      </c>
      <c r="H92">
        <v>66</v>
      </c>
      <c r="I92">
        <v>51</v>
      </c>
      <c r="J92">
        <v>49</v>
      </c>
      <c r="K92" s="9">
        <f>AVERAGE(Tableau1[[#This Row],[Lepool.com]:[CBS]])</f>
        <v>54.333333333333336</v>
      </c>
      <c r="L92">
        <f>_xlfn.STDEV.S(Tableau1[[#This Row],[Lepool.com]:[CBS]])</f>
        <v>6.2822501276745122</v>
      </c>
      <c r="M92">
        <f>AVERAGE(E92,G92,H92,I92,Tableau1[[#This Row],[CBS]])</f>
        <v>55.2</v>
      </c>
      <c r="N92">
        <f>AVERAGE(E92,G92,H92,I92,Tableau1[[#This Row],[CBS]])-Tableau1[[#This Row],[HM]]</f>
        <v>5.2000000000000028</v>
      </c>
    </row>
    <row r="93" spans="1:14" ht="15.75" thickBot="1" x14ac:dyDescent="0.3">
      <c r="A93" s="1"/>
      <c r="B93" t="s">
        <v>300</v>
      </c>
      <c r="C93" t="s">
        <v>301</v>
      </c>
      <c r="E93" s="13">
        <v>57</v>
      </c>
      <c r="F93">
        <v>51</v>
      </c>
      <c r="G93">
        <v>55</v>
      </c>
      <c r="H93">
        <v>53</v>
      </c>
      <c r="I93">
        <v>51</v>
      </c>
      <c r="J93">
        <v>56</v>
      </c>
      <c r="K93" s="9">
        <f>AVERAGE(Tableau1[[#This Row],[Lepool.com]:[CBS]])</f>
        <v>53.833333333333336</v>
      </c>
      <c r="L93">
        <f>_xlfn.STDEV.S(Tableau1[[#This Row],[Lepool.com]:[CBS]])</f>
        <v>2.5625508125043428</v>
      </c>
      <c r="M93">
        <f>AVERAGE(E93,G93,H93,I93,Tableau1[[#This Row],[CBS]])</f>
        <v>54.4</v>
      </c>
      <c r="N93">
        <f>AVERAGE(E93,G93,H93,I93,Tableau1[[#This Row],[CBS]])-Tableau1[[#This Row],[HM]]</f>
        <v>3.3999999999999986</v>
      </c>
    </row>
    <row r="94" spans="1:14" ht="15.75" thickBot="1" x14ac:dyDescent="0.3">
      <c r="A94" s="1"/>
      <c r="B94" t="s">
        <v>351</v>
      </c>
      <c r="C94" t="s">
        <v>352</v>
      </c>
      <c r="E94" s="25">
        <v>53</v>
      </c>
      <c r="F94">
        <v>49</v>
      </c>
      <c r="G94">
        <v>52</v>
      </c>
      <c r="H94">
        <v>57</v>
      </c>
      <c r="I94">
        <v>55</v>
      </c>
      <c r="J94">
        <v>55</v>
      </c>
      <c r="K94" s="9">
        <f>AVERAGE(Tableau1[[#This Row],[Lepool.com]:[CBS]])</f>
        <v>53.5</v>
      </c>
      <c r="L94">
        <f>_xlfn.STDEV.S(Tableau1[[#This Row],[Lepool.com]:[CBS]])</f>
        <v>2.8106938645110393</v>
      </c>
      <c r="M94">
        <f>AVERAGE(E94,G94,H94,I94,Tableau1[[#This Row],[CBS]])</f>
        <v>54.4</v>
      </c>
      <c r="N94">
        <f>AVERAGE(E94,G94,H94,I94,Tableau1[[#This Row],[CBS]])-Tableau1[[#This Row],[HM]]</f>
        <v>5.3999999999999986</v>
      </c>
    </row>
    <row r="95" spans="1:14" ht="15.75" thickBot="1" x14ac:dyDescent="0.3">
      <c r="A95" s="2"/>
      <c r="B95" t="s">
        <v>284</v>
      </c>
      <c r="C95" t="s">
        <v>285</v>
      </c>
      <c r="E95" s="13">
        <v>58</v>
      </c>
      <c r="F95">
        <v>55</v>
      </c>
      <c r="G95">
        <v>55</v>
      </c>
      <c r="H95">
        <v>50</v>
      </c>
      <c r="I95">
        <v>48</v>
      </c>
      <c r="J95">
        <v>54</v>
      </c>
      <c r="K95" s="9">
        <f>AVERAGE(Tableau1[[#This Row],[Lepool.com]:[CBS]])</f>
        <v>53.333333333333336</v>
      </c>
      <c r="L95">
        <f>_xlfn.STDEV.S(Tableau1[[#This Row],[Lepool.com]:[CBS]])</f>
        <v>3.6696957185394363</v>
      </c>
      <c r="M95">
        <f>AVERAGE(E95,G95,H95,I95,Tableau1[[#This Row],[CBS]])</f>
        <v>53</v>
      </c>
      <c r="N95">
        <f>AVERAGE(E95,G95,H95,I95,Tableau1[[#This Row],[CBS]])-Tableau1[[#This Row],[HM]]</f>
        <v>-2</v>
      </c>
    </row>
    <row r="96" spans="1:14" ht="15.75" thickBot="1" x14ac:dyDescent="0.3">
      <c r="A96" s="1"/>
      <c r="B96" t="s">
        <v>341</v>
      </c>
      <c r="C96" t="s">
        <v>342</v>
      </c>
      <c r="E96" s="25">
        <v>53</v>
      </c>
      <c r="F96">
        <v>55</v>
      </c>
      <c r="G96">
        <v>52</v>
      </c>
      <c r="H96">
        <v>52</v>
      </c>
      <c r="I96">
        <v>48</v>
      </c>
      <c r="J96">
        <v>60</v>
      </c>
      <c r="K96" s="9">
        <f>AVERAGE(Tableau1[[#This Row],[Lepool.com]:[CBS]])</f>
        <v>53.333333333333336</v>
      </c>
      <c r="L96">
        <f>_xlfn.STDEV.S(Tableau1[[#This Row],[Lepool.com]:[CBS]])</f>
        <v>3.9832984656772417</v>
      </c>
      <c r="M96">
        <f>AVERAGE(E96,G96,H96,I96,Tableau1[[#This Row],[CBS]])</f>
        <v>53</v>
      </c>
      <c r="N96">
        <f>AVERAGE(E96,G96,H96,I96,Tableau1[[#This Row],[CBS]])-Tableau1[[#This Row],[HM]]</f>
        <v>-2</v>
      </c>
    </row>
    <row r="97" spans="1:14" ht="15.75" thickBot="1" x14ac:dyDescent="0.3">
      <c r="A97" s="1"/>
      <c r="B97" t="s">
        <v>365</v>
      </c>
      <c r="C97" t="s">
        <v>366</v>
      </c>
      <c r="E97" s="25">
        <v>52</v>
      </c>
      <c r="F97">
        <v>50</v>
      </c>
      <c r="G97">
        <v>58</v>
      </c>
      <c r="H97">
        <v>51</v>
      </c>
      <c r="I97">
        <v>54</v>
      </c>
      <c r="J97">
        <v>55</v>
      </c>
      <c r="K97" s="9">
        <f>AVERAGE(Tableau1[[#This Row],[Lepool.com]:[CBS]])</f>
        <v>53.333333333333336</v>
      </c>
      <c r="L97">
        <f>_xlfn.STDEV.S(Tableau1[[#This Row],[Lepool.com]:[CBS]])</f>
        <v>2.9439202887759492</v>
      </c>
      <c r="M97">
        <f>AVERAGE(E97,G97,H97,I97,Tableau1[[#This Row],[CBS]])</f>
        <v>54</v>
      </c>
      <c r="N97">
        <f>AVERAGE(E97,G97,H97,I97,Tableau1[[#This Row],[CBS]])-Tableau1[[#This Row],[HM]]</f>
        <v>4</v>
      </c>
    </row>
    <row r="98" spans="1:14" ht="15.75" thickBot="1" x14ac:dyDescent="0.3">
      <c r="A98" s="2"/>
      <c r="B98" t="s">
        <v>360</v>
      </c>
      <c r="C98" t="s">
        <v>361</v>
      </c>
      <c r="E98" s="25">
        <v>52</v>
      </c>
      <c r="F98">
        <v>54</v>
      </c>
      <c r="G98">
        <v>54</v>
      </c>
      <c r="H98">
        <v>51</v>
      </c>
      <c r="I98">
        <v>53</v>
      </c>
      <c r="J98">
        <v>55</v>
      </c>
      <c r="K98" s="9">
        <f>AVERAGE(Tableau1[[#This Row],[Lepool.com]:[CBS]])</f>
        <v>53.166666666666664</v>
      </c>
      <c r="L98">
        <f>_xlfn.STDEV.S(Tableau1[[#This Row],[Lepool.com]:[CBS]])</f>
        <v>1.4719601443879744</v>
      </c>
      <c r="M98">
        <f>AVERAGE(E98,G98,H98,I98,Tableau1[[#This Row],[CBS]])</f>
        <v>53</v>
      </c>
      <c r="N98">
        <f>AVERAGE(E98,G98,H98,I98,Tableau1[[#This Row],[CBS]])-Tableau1[[#This Row],[HM]]</f>
        <v>-1</v>
      </c>
    </row>
    <row r="99" spans="1:14" ht="15.75" thickBot="1" x14ac:dyDescent="0.3">
      <c r="A99" s="1"/>
      <c r="B99" t="s">
        <v>286</v>
      </c>
      <c r="C99" t="s">
        <v>287</v>
      </c>
      <c r="E99" s="13">
        <v>58</v>
      </c>
      <c r="F99">
        <v>52</v>
      </c>
      <c r="G99">
        <v>53</v>
      </c>
      <c r="H99">
        <v>55</v>
      </c>
      <c r="I99">
        <v>54</v>
      </c>
      <c r="J99">
        <v>47</v>
      </c>
      <c r="K99" s="9">
        <f>AVERAGE(Tableau1[[#This Row],[Lepool.com]:[CBS]])</f>
        <v>53.166666666666664</v>
      </c>
      <c r="L99">
        <f>_xlfn.STDEV.S(Tableau1[[#This Row],[Lepool.com]:[CBS]])</f>
        <v>3.6560452221856705</v>
      </c>
      <c r="M99">
        <f>AVERAGE(E99,G99,H99,I99,Tableau1[[#This Row],[CBS]])</f>
        <v>53.4</v>
      </c>
      <c r="N99">
        <f>AVERAGE(E99,G99,H99,I99,Tableau1[[#This Row],[CBS]])-Tableau1[[#This Row],[HM]]</f>
        <v>1.3999999999999986</v>
      </c>
    </row>
    <row r="100" spans="1:14" ht="15.75" thickBot="1" x14ac:dyDescent="0.3">
      <c r="A100" s="1"/>
      <c r="B100" t="s">
        <v>188</v>
      </c>
      <c r="C100" t="s">
        <v>363</v>
      </c>
      <c r="E100" s="25">
        <v>52</v>
      </c>
      <c r="F100">
        <v>50</v>
      </c>
      <c r="G100">
        <v>50</v>
      </c>
      <c r="H100">
        <v>50</v>
      </c>
      <c r="I100">
        <v>55</v>
      </c>
      <c r="J100">
        <v>62</v>
      </c>
      <c r="K100" s="9">
        <f>AVERAGE(Tableau1[[#This Row],[Lepool.com]:[CBS]])</f>
        <v>53.166666666666664</v>
      </c>
      <c r="L100">
        <f>_xlfn.STDEV.S(Tableau1[[#This Row],[Lepool.com]:[CBS]])</f>
        <v>4.750438576243952</v>
      </c>
      <c r="M100">
        <f>AVERAGE(E100,G100,H100,I100,Tableau1[[#This Row],[CBS]])</f>
        <v>53.8</v>
      </c>
      <c r="N100">
        <f>AVERAGE(E100,G100,H100,I100,Tableau1[[#This Row],[CBS]])-Tableau1[[#This Row],[HM]]</f>
        <v>3.7999999999999972</v>
      </c>
    </row>
    <row r="101" spans="1:14" ht="15.75" thickBot="1" x14ac:dyDescent="0.3">
      <c r="A101" s="2"/>
      <c r="B101" t="s">
        <v>188</v>
      </c>
      <c r="C101" t="s">
        <v>1258</v>
      </c>
      <c r="E101" s="13">
        <v>60</v>
      </c>
      <c r="F101">
        <v>49</v>
      </c>
      <c r="G101">
        <v>54</v>
      </c>
      <c r="H101">
        <v>58</v>
      </c>
      <c r="I101">
        <v>48</v>
      </c>
      <c r="J101">
        <v>50</v>
      </c>
      <c r="K101" s="9">
        <f>AVERAGE(Tableau1[[#This Row],[Lepool.com]:[CBS]])</f>
        <v>53.166666666666664</v>
      </c>
      <c r="L101">
        <f>_xlfn.STDEV.S(Tableau1[[#This Row],[Lepool.com]:[CBS]])</f>
        <v>4.9966655548141965</v>
      </c>
      <c r="M101">
        <f>AVERAGE(E101,G101,H101,I101,Tableau1[[#This Row],[CBS]])</f>
        <v>54</v>
      </c>
      <c r="N101">
        <f>AVERAGE(E101,G101,H101,I101,Tableau1[[#This Row],[CBS]])-Tableau1[[#This Row],[HM]]</f>
        <v>5</v>
      </c>
    </row>
    <row r="102" spans="1:14" ht="15.75" thickBot="1" x14ac:dyDescent="0.3">
      <c r="A102" s="1"/>
      <c r="B102" t="s">
        <v>196</v>
      </c>
      <c r="C102" t="s">
        <v>309</v>
      </c>
      <c r="E102" s="12">
        <v>56</v>
      </c>
      <c r="F102">
        <v>53</v>
      </c>
      <c r="G102">
        <v>54</v>
      </c>
      <c r="H102">
        <v>51</v>
      </c>
      <c r="I102">
        <v>52</v>
      </c>
      <c r="J102">
        <v>52</v>
      </c>
      <c r="K102" s="9">
        <f>AVERAGE(Tableau1[[#This Row],[Lepool.com]:[CBS]])</f>
        <v>53</v>
      </c>
      <c r="L102">
        <f>_xlfn.STDEV.S(Tableau1[[#This Row],[Lepool.com]:[CBS]])</f>
        <v>1.7888543819998317</v>
      </c>
      <c r="M102">
        <f>AVERAGE(E102,G102,H102,I102,Tableau1[[#This Row],[CBS]])</f>
        <v>53</v>
      </c>
      <c r="N102">
        <f>AVERAGE(E102,G102,H102,I102,Tableau1[[#This Row],[CBS]])-Tableau1[[#This Row],[HM]]</f>
        <v>0</v>
      </c>
    </row>
    <row r="103" spans="1:14" x14ac:dyDescent="0.25">
      <c r="A103" s="1"/>
      <c r="B103" t="s">
        <v>358</v>
      </c>
      <c r="C103" t="s">
        <v>359</v>
      </c>
      <c r="E103" s="11">
        <v>52</v>
      </c>
      <c r="F103">
        <v>54</v>
      </c>
      <c r="G103">
        <v>51</v>
      </c>
      <c r="H103">
        <v>50</v>
      </c>
      <c r="I103">
        <v>50</v>
      </c>
      <c r="J103">
        <v>58</v>
      </c>
      <c r="K103" s="9">
        <f>AVERAGE(Tableau1[[#This Row],[Lepool.com]:[CBS]])</f>
        <v>52.5</v>
      </c>
      <c r="L103">
        <f>_xlfn.STDEV.S(Tableau1[[#This Row],[Lepool.com]:[CBS]])</f>
        <v>3.082207001484488</v>
      </c>
      <c r="M103">
        <f>AVERAGE(E103,G103,H103,I103,Tableau1[[#This Row],[CBS]])</f>
        <v>52.2</v>
      </c>
      <c r="N103">
        <f>AVERAGE(E103,G103,H103,I103,Tableau1[[#This Row],[CBS]])-Tableau1[[#This Row],[HM]]</f>
        <v>-1.7999999999999972</v>
      </c>
    </row>
    <row r="104" spans="1:14" ht="15.75" thickBot="1" x14ac:dyDescent="0.3">
      <c r="A104" s="2"/>
      <c r="B104" t="s">
        <v>252</v>
      </c>
      <c r="C104" t="s">
        <v>364</v>
      </c>
      <c r="E104" s="11">
        <v>52</v>
      </c>
      <c r="F104">
        <v>50</v>
      </c>
      <c r="G104">
        <v>56</v>
      </c>
      <c r="H104">
        <v>50</v>
      </c>
      <c r="I104">
        <v>55</v>
      </c>
      <c r="J104">
        <v>51</v>
      </c>
      <c r="K104" s="9">
        <f>AVERAGE(Tableau1[[#This Row],[Lepool.com]:[CBS]])</f>
        <v>52.333333333333336</v>
      </c>
      <c r="L104">
        <f>_xlfn.STDEV.S(Tableau1[[#This Row],[Lepool.com]:[CBS]])</f>
        <v>2.5819888974716112</v>
      </c>
      <c r="M104">
        <f>AVERAGE(E104,G104,H104,I104,Tableau1[[#This Row],[CBS]])</f>
        <v>52.8</v>
      </c>
      <c r="N104">
        <f>AVERAGE(E104,G104,H104,I104,Tableau1[[#This Row],[CBS]])-Tableau1[[#This Row],[HM]]</f>
        <v>2.7999999999999972</v>
      </c>
    </row>
    <row r="105" spans="1:14" ht="15.75" thickBot="1" x14ac:dyDescent="0.3">
      <c r="A105" s="1"/>
      <c r="B105" t="s">
        <v>174</v>
      </c>
      <c r="C105" t="s">
        <v>230</v>
      </c>
      <c r="E105" s="12">
        <v>65</v>
      </c>
      <c r="F105">
        <v>49</v>
      </c>
      <c r="G105">
        <v>59</v>
      </c>
      <c r="H105">
        <v>60</v>
      </c>
      <c r="I105">
        <v>42</v>
      </c>
      <c r="J105">
        <v>39</v>
      </c>
      <c r="K105" s="9">
        <f>AVERAGE(Tableau1[[#This Row],[Lepool.com]:[CBS]])</f>
        <v>52.333333333333336</v>
      </c>
      <c r="L105">
        <f>_xlfn.STDEV.S(Tableau1[[#This Row],[Lepool.com]:[CBS]])</f>
        <v>10.576703960434291</v>
      </c>
      <c r="M105">
        <f>AVERAGE(E105,G105,H105,I105,Tableau1[[#This Row],[CBS]])</f>
        <v>53</v>
      </c>
      <c r="N105">
        <f>AVERAGE(E105,G105,H105,I105,Tableau1[[#This Row],[CBS]])-Tableau1[[#This Row],[HM]]</f>
        <v>4</v>
      </c>
    </row>
    <row r="106" spans="1:14" x14ac:dyDescent="0.25">
      <c r="A106" s="1"/>
      <c r="B106" t="s">
        <v>345</v>
      </c>
      <c r="C106" t="s">
        <v>346</v>
      </c>
      <c r="E106" s="11">
        <v>53</v>
      </c>
      <c r="F106">
        <v>51</v>
      </c>
      <c r="G106">
        <v>48</v>
      </c>
      <c r="H106">
        <v>60</v>
      </c>
      <c r="I106">
        <v>49</v>
      </c>
      <c r="J106">
        <v>51</v>
      </c>
      <c r="K106" s="9">
        <f>AVERAGE(Tableau1[[#This Row],[Lepool.com]:[CBS]])</f>
        <v>52</v>
      </c>
      <c r="L106">
        <f>_xlfn.STDEV.S(Tableau1[[#This Row],[Lepool.com]:[CBS]])</f>
        <v>4.2895221179054435</v>
      </c>
      <c r="M106">
        <f>AVERAGE(E106,G106,H106,I106,Tableau1[[#This Row],[CBS]])</f>
        <v>52.2</v>
      </c>
      <c r="N106">
        <f>AVERAGE(E106,G106,H106,I106,Tableau1[[#This Row],[CBS]])-Tableau1[[#This Row],[HM]]</f>
        <v>1.2000000000000028</v>
      </c>
    </row>
    <row r="107" spans="1:14" ht="15.75" thickBot="1" x14ac:dyDescent="0.3">
      <c r="A107" s="2"/>
      <c r="B107" t="s">
        <v>327</v>
      </c>
      <c r="C107" t="s">
        <v>328</v>
      </c>
      <c r="E107" s="12">
        <v>54</v>
      </c>
      <c r="F107">
        <v>50</v>
      </c>
      <c r="G107">
        <v>53</v>
      </c>
      <c r="H107">
        <v>51</v>
      </c>
      <c r="I107">
        <v>44</v>
      </c>
      <c r="J107">
        <v>58</v>
      </c>
      <c r="K107" s="9">
        <f>AVERAGE(Tableau1[[#This Row],[Lepool.com]:[CBS]])</f>
        <v>51.666666666666664</v>
      </c>
      <c r="L107">
        <f>_xlfn.STDEV.S(Tableau1[[#This Row],[Lepool.com]:[CBS]])</f>
        <v>4.6761807778000488</v>
      </c>
      <c r="M107">
        <f>AVERAGE(E107,G107,H107,I107,Tableau1[[#This Row],[CBS]])</f>
        <v>52</v>
      </c>
      <c r="N107">
        <f>AVERAGE(E107,G107,H107,I107,Tableau1[[#This Row],[CBS]])-Tableau1[[#This Row],[HM]]</f>
        <v>2</v>
      </c>
    </row>
    <row r="108" spans="1:14" ht="15.75" thickBot="1" x14ac:dyDescent="0.3">
      <c r="A108" s="1"/>
      <c r="B108" t="s">
        <v>312</v>
      </c>
      <c r="C108" t="s">
        <v>313</v>
      </c>
      <c r="E108" s="12">
        <v>55</v>
      </c>
      <c r="F108">
        <v>54</v>
      </c>
      <c r="G108">
        <v>52</v>
      </c>
      <c r="H108">
        <v>47</v>
      </c>
      <c r="I108">
        <v>44</v>
      </c>
      <c r="J108">
        <v>57</v>
      </c>
      <c r="K108" s="9">
        <f>AVERAGE(Tableau1[[#This Row],[Lepool.com]:[CBS]])</f>
        <v>51.5</v>
      </c>
      <c r="L108">
        <f>_xlfn.STDEV.S(Tableau1[[#This Row],[Lepool.com]:[CBS]])</f>
        <v>5.0099900199501395</v>
      </c>
      <c r="M108">
        <f>AVERAGE(E108,G108,H108,I108,Tableau1[[#This Row],[CBS]])</f>
        <v>51</v>
      </c>
      <c r="N108">
        <f>AVERAGE(E108,G108,H108,I108,Tableau1[[#This Row],[CBS]])-Tableau1[[#This Row],[HM]]</f>
        <v>-3</v>
      </c>
    </row>
    <row r="109" spans="1:14" x14ac:dyDescent="0.25">
      <c r="A109" s="1"/>
      <c r="B109" t="s">
        <v>327</v>
      </c>
      <c r="C109" t="s">
        <v>362</v>
      </c>
      <c r="E109" s="11">
        <v>52</v>
      </c>
      <c r="F109">
        <v>51</v>
      </c>
      <c r="G109">
        <v>51</v>
      </c>
      <c r="H109">
        <v>54</v>
      </c>
      <c r="I109">
        <v>48</v>
      </c>
      <c r="J109">
        <v>51</v>
      </c>
      <c r="K109" s="9">
        <f>AVERAGE(Tableau1[[#This Row],[Lepool.com]:[CBS]])</f>
        <v>51.166666666666664</v>
      </c>
      <c r="L109">
        <f>_xlfn.STDEV.S(Tableau1[[#This Row],[Lepool.com]:[CBS]])</f>
        <v>1.9407902170679516</v>
      </c>
      <c r="M109">
        <f>AVERAGE(E109,G109,H109,I109,Tableau1[[#This Row],[CBS]])</f>
        <v>51.2</v>
      </c>
      <c r="N109">
        <f>AVERAGE(E109,G109,H109,I109,Tableau1[[#This Row],[CBS]])-Tableau1[[#This Row],[HM]]</f>
        <v>0.20000000000000284</v>
      </c>
    </row>
    <row r="110" spans="1:14" ht="15.75" thickBot="1" x14ac:dyDescent="0.3">
      <c r="A110" s="2"/>
      <c r="B110" t="s">
        <v>325</v>
      </c>
      <c r="C110" t="s">
        <v>326</v>
      </c>
      <c r="E110" s="12">
        <v>54</v>
      </c>
      <c r="F110">
        <v>51</v>
      </c>
      <c r="G110">
        <v>54</v>
      </c>
      <c r="H110">
        <v>47</v>
      </c>
      <c r="I110">
        <v>45</v>
      </c>
      <c r="J110">
        <v>55</v>
      </c>
      <c r="K110" s="9">
        <f>AVERAGE(Tableau1[[#This Row],[Lepool.com]:[CBS]])</f>
        <v>51</v>
      </c>
      <c r="L110">
        <f>_xlfn.STDEV.S(Tableau1[[#This Row],[Lepool.com]:[CBS]])</f>
        <v>4.1472882706655438</v>
      </c>
      <c r="M110">
        <f>AVERAGE(E110,G110,H110,I110,Tableau1[[#This Row],[CBS]])</f>
        <v>51</v>
      </c>
      <c r="N110">
        <f>AVERAGE(E110,G110,H110,I110,Tableau1[[#This Row],[CBS]])-Tableau1[[#This Row],[HM]]</f>
        <v>0</v>
      </c>
    </row>
    <row r="111" spans="1:14" ht="15.75" thickBot="1" x14ac:dyDescent="0.3">
      <c r="A111" s="1"/>
      <c r="B111" t="s">
        <v>457</v>
      </c>
      <c r="C111" t="s">
        <v>458</v>
      </c>
      <c r="E111" s="11">
        <v>44</v>
      </c>
      <c r="F111">
        <v>51</v>
      </c>
      <c r="G111">
        <v>46</v>
      </c>
      <c r="H111">
        <v>40</v>
      </c>
      <c r="I111">
        <v>47</v>
      </c>
      <c r="J111">
        <v>77</v>
      </c>
      <c r="K111" s="9">
        <f>AVERAGE(Tableau1[[#This Row],[Lepool.com]:[CBS]])</f>
        <v>50.833333333333336</v>
      </c>
      <c r="L111">
        <f>_xlfn.STDEV.S(Tableau1[[#This Row],[Lepool.com]:[CBS]])</f>
        <v>13.317907743585957</v>
      </c>
      <c r="M111">
        <f>AVERAGE(E111,G111,H111,I111,Tableau1[[#This Row],[CBS]])</f>
        <v>50.8</v>
      </c>
      <c r="N111">
        <f>AVERAGE(E111,G111,H111,I111,Tableau1[[#This Row],[CBS]])-Tableau1[[#This Row],[HM]]</f>
        <v>-0.20000000000000284</v>
      </c>
    </row>
    <row r="112" spans="1:14" x14ac:dyDescent="0.25">
      <c r="A112" s="1"/>
      <c r="B112" t="s">
        <v>401</v>
      </c>
      <c r="C112" t="s">
        <v>402</v>
      </c>
      <c r="E112" s="11">
        <v>49</v>
      </c>
      <c r="F112">
        <v>50</v>
      </c>
      <c r="G112">
        <v>51</v>
      </c>
      <c r="H112">
        <v>47</v>
      </c>
      <c r="I112">
        <v>49</v>
      </c>
      <c r="J112">
        <v>58</v>
      </c>
      <c r="K112" s="9">
        <f>AVERAGE(Tableau1[[#This Row],[Lepool.com]:[CBS]])</f>
        <v>50.666666666666664</v>
      </c>
      <c r="L112">
        <f>_xlfn.STDEV.S(Tableau1[[#This Row],[Lepool.com]:[CBS]])</f>
        <v>3.8297084310253524</v>
      </c>
      <c r="M112">
        <f>AVERAGE(E112,G112,H112,I112,Tableau1[[#This Row],[CBS]])</f>
        <v>50.8</v>
      </c>
      <c r="N112">
        <f>AVERAGE(E112,G112,H112,I112,Tableau1[[#This Row],[CBS]])-Tableau1[[#This Row],[HM]]</f>
        <v>0.79999999999999716</v>
      </c>
    </row>
    <row r="113" spans="1:14" ht="15.75" thickBot="1" x14ac:dyDescent="0.3">
      <c r="A113" s="2"/>
      <c r="B113" t="s">
        <v>331</v>
      </c>
      <c r="C113" t="s">
        <v>332</v>
      </c>
      <c r="E113" s="12">
        <v>54</v>
      </c>
      <c r="F113">
        <v>49</v>
      </c>
      <c r="G113">
        <v>55</v>
      </c>
      <c r="H113">
        <v>50</v>
      </c>
      <c r="I113">
        <v>45</v>
      </c>
      <c r="J113">
        <v>50</v>
      </c>
      <c r="K113" s="9">
        <f>AVERAGE(Tableau1[[#This Row],[Lepool.com]:[CBS]])</f>
        <v>50.5</v>
      </c>
      <c r="L113">
        <f>_xlfn.STDEV.S(Tableau1[[#This Row],[Lepool.com]:[CBS]])</f>
        <v>3.6193922141707713</v>
      </c>
      <c r="M113">
        <f>AVERAGE(E113,G113,H113,I113,Tableau1[[#This Row],[CBS]])</f>
        <v>50.8</v>
      </c>
      <c r="N113">
        <f>AVERAGE(E113,G113,H113,I113,Tableau1[[#This Row],[CBS]])-Tableau1[[#This Row],[HM]]</f>
        <v>1.7999999999999972</v>
      </c>
    </row>
    <row r="114" spans="1:14" ht="15.75" thickBot="1" x14ac:dyDescent="0.3">
      <c r="A114" s="1"/>
      <c r="B114" t="s">
        <v>343</v>
      </c>
      <c r="C114" t="s">
        <v>344</v>
      </c>
      <c r="E114" s="11">
        <v>53</v>
      </c>
      <c r="F114">
        <v>51</v>
      </c>
      <c r="G114">
        <v>46</v>
      </c>
      <c r="H114">
        <v>56</v>
      </c>
      <c r="I114">
        <v>47</v>
      </c>
      <c r="J114">
        <v>49</v>
      </c>
      <c r="K114" s="9">
        <f>AVERAGE(Tableau1[[#This Row],[Lepool.com]:[CBS]])</f>
        <v>50.333333333333336</v>
      </c>
      <c r="L114">
        <f>_xlfn.STDEV.S(Tableau1[[#This Row],[Lepool.com]:[CBS]])</f>
        <v>3.7771241264574122</v>
      </c>
      <c r="M114">
        <f>AVERAGE(E114,G114,H114,I114,Tableau1[[#This Row],[CBS]])</f>
        <v>50.2</v>
      </c>
      <c r="N114">
        <f>AVERAGE(E114,G114,H114,I114,Tableau1[[#This Row],[CBS]])-Tableau1[[#This Row],[HM]]</f>
        <v>-0.79999999999999716</v>
      </c>
    </row>
    <row r="115" spans="1:14" x14ac:dyDescent="0.25">
      <c r="A115" s="1"/>
      <c r="B115" t="s">
        <v>347</v>
      </c>
      <c r="C115" t="s">
        <v>348</v>
      </c>
      <c r="E115" s="11">
        <v>53</v>
      </c>
      <c r="F115">
        <v>51</v>
      </c>
      <c r="G115">
        <v>50</v>
      </c>
      <c r="H115">
        <v>50</v>
      </c>
      <c r="I115">
        <v>47</v>
      </c>
      <c r="J115">
        <v>50</v>
      </c>
      <c r="K115" s="9">
        <f>AVERAGE(Tableau1[[#This Row],[Lepool.com]:[CBS]])</f>
        <v>50.166666666666664</v>
      </c>
      <c r="L115">
        <f>_xlfn.STDEV.S(Tableau1[[#This Row],[Lepool.com]:[CBS]])</f>
        <v>1.9407902170679516</v>
      </c>
      <c r="M115">
        <f>AVERAGE(E115,G115,H115,I115,Tableau1[[#This Row],[CBS]])</f>
        <v>50</v>
      </c>
      <c r="N115">
        <f>AVERAGE(E115,G115,H115,I115,Tableau1[[#This Row],[CBS]])-Tableau1[[#This Row],[HM]]</f>
        <v>-1</v>
      </c>
    </row>
    <row r="116" spans="1:14" ht="15.75" thickBot="1" x14ac:dyDescent="0.3">
      <c r="A116" s="2"/>
      <c r="B116" t="s">
        <v>415</v>
      </c>
      <c r="C116" t="s">
        <v>416</v>
      </c>
      <c r="E116" s="11">
        <v>48</v>
      </c>
      <c r="F116">
        <v>48</v>
      </c>
      <c r="G116">
        <v>51</v>
      </c>
      <c r="H116">
        <v>54</v>
      </c>
      <c r="I116">
        <v>49</v>
      </c>
      <c r="J116">
        <v>50</v>
      </c>
      <c r="K116" s="9">
        <f>AVERAGE(Tableau1[[#This Row],[Lepool.com]:[CBS]])</f>
        <v>50</v>
      </c>
      <c r="L116">
        <f>_xlfn.STDEV.S(Tableau1[[#This Row],[Lepool.com]:[CBS]])</f>
        <v>2.2803508501982761</v>
      </c>
      <c r="M116">
        <f>AVERAGE(E116,G116,H116,I116,Tableau1[[#This Row],[CBS]])</f>
        <v>50.4</v>
      </c>
      <c r="N116">
        <f>AVERAGE(E116,G116,H116,I116,Tableau1[[#This Row],[CBS]])-Tableau1[[#This Row],[HM]]</f>
        <v>2.3999999999999986</v>
      </c>
    </row>
    <row r="117" spans="1:14" ht="15.75" thickBot="1" x14ac:dyDescent="0.3">
      <c r="A117" s="1"/>
      <c r="B117" t="s">
        <v>381</v>
      </c>
      <c r="C117" t="s">
        <v>382</v>
      </c>
      <c r="E117" s="11">
        <v>51</v>
      </c>
      <c r="G117">
        <v>44</v>
      </c>
      <c r="H117">
        <v>53</v>
      </c>
      <c r="I117">
        <v>48</v>
      </c>
      <c r="J117">
        <v>54</v>
      </c>
      <c r="K117" s="9">
        <f>AVERAGE(Tableau1[[#This Row],[Lepool.com]:[CBS]])</f>
        <v>50</v>
      </c>
      <c r="L117">
        <f>_xlfn.STDEV.S(Tableau1[[#This Row],[Lepool.com]:[CBS]])</f>
        <v>4.0620192023179804</v>
      </c>
      <c r="M117">
        <f>AVERAGE(E117,G117,H117,I117,Tableau1[[#This Row],[CBS]])</f>
        <v>50</v>
      </c>
      <c r="N117">
        <f>AVERAGE(E117,G117,H117,I117,Tableau1[[#This Row],[CBS]])-Tableau1[[#This Row],[HM]]</f>
        <v>50</v>
      </c>
    </row>
    <row r="118" spans="1:14" x14ac:dyDescent="0.25">
      <c r="A118" s="1"/>
      <c r="B118" t="s">
        <v>365</v>
      </c>
      <c r="C118" t="s">
        <v>369</v>
      </c>
      <c r="E118" s="11">
        <v>51</v>
      </c>
      <c r="F118">
        <v>52</v>
      </c>
      <c r="G118">
        <v>50</v>
      </c>
      <c r="H118">
        <v>49</v>
      </c>
      <c r="I118">
        <v>51</v>
      </c>
      <c r="J118">
        <v>46</v>
      </c>
      <c r="K118" s="9">
        <f>AVERAGE(Tableau1[[#This Row],[Lepool.com]:[CBS]])</f>
        <v>49.833333333333336</v>
      </c>
      <c r="L118">
        <f>_xlfn.STDEV.S(Tableau1[[#This Row],[Lepool.com]:[CBS]])</f>
        <v>2.1369760566432809</v>
      </c>
      <c r="M118">
        <f>AVERAGE(E118,G118,H118,I118,Tableau1[[#This Row],[CBS]])</f>
        <v>49.4</v>
      </c>
      <c r="N118">
        <f>AVERAGE(E118,G118,H118,I118,Tableau1[[#This Row],[CBS]])-Tableau1[[#This Row],[HM]]</f>
        <v>-2.6000000000000014</v>
      </c>
    </row>
    <row r="119" spans="1:14" ht="15.75" thickBot="1" x14ac:dyDescent="0.3">
      <c r="A119" s="2"/>
      <c r="B119" t="s">
        <v>442</v>
      </c>
      <c r="C119" t="s">
        <v>1687</v>
      </c>
      <c r="E119" s="11"/>
      <c r="F119">
        <v>44</v>
      </c>
      <c r="H119">
        <v>55</v>
      </c>
      <c r="K119" s="23">
        <f>AVERAGE(Tableau1[[#This Row],[Lepool.com]:[CBS]])</f>
        <v>49.5</v>
      </c>
      <c r="L119" s="24">
        <f>_xlfn.STDEV.S(Tableau1[[#This Row],[Lepool.com]:[CBS]])</f>
        <v>7.7781745930520225</v>
      </c>
      <c r="M119" s="24">
        <f>AVERAGE(E119,G119,H119,I119,Tableau1[[#This Row],[CBS]])</f>
        <v>55</v>
      </c>
      <c r="N119" s="24">
        <f>AVERAGE(E119,G119,H119,I119,Tableau1[[#This Row],[CBS]])-Tableau1[[#This Row],[HM]]</f>
        <v>11</v>
      </c>
    </row>
    <row r="120" spans="1:14" ht="15.75" thickBot="1" x14ac:dyDescent="0.3">
      <c r="A120" s="1"/>
      <c r="B120" t="s">
        <v>371</v>
      </c>
      <c r="C120" t="s">
        <v>1519</v>
      </c>
      <c r="E120" s="11">
        <v>51</v>
      </c>
      <c r="F120">
        <v>51</v>
      </c>
      <c r="G120">
        <v>44</v>
      </c>
      <c r="H120">
        <v>43</v>
      </c>
      <c r="J120">
        <v>58</v>
      </c>
      <c r="K120" s="9">
        <f>AVERAGE(Tableau1[[#This Row],[Lepool.com]:[CBS]])</f>
        <v>49.4</v>
      </c>
      <c r="L120">
        <f>_xlfn.STDEV.S(Tableau1[[#This Row],[Lepool.com]:[CBS]])</f>
        <v>6.1073725938410028</v>
      </c>
      <c r="M120">
        <f>AVERAGE(E120,G120,H120,I120,Tableau1[[#This Row],[CBS]])</f>
        <v>49</v>
      </c>
      <c r="N120">
        <f>AVERAGE(E120,G120,H120,I120,Tableau1[[#This Row],[CBS]])-Tableau1[[#This Row],[HM]]</f>
        <v>-2</v>
      </c>
    </row>
    <row r="121" spans="1:14" x14ac:dyDescent="0.25">
      <c r="A121" s="1"/>
      <c r="B121" t="s">
        <v>399</v>
      </c>
      <c r="C121" t="s">
        <v>400</v>
      </c>
      <c r="E121" s="11">
        <v>49</v>
      </c>
      <c r="F121">
        <v>50</v>
      </c>
      <c r="G121">
        <v>47</v>
      </c>
      <c r="H121">
        <v>46</v>
      </c>
      <c r="I121">
        <v>51</v>
      </c>
      <c r="J121">
        <v>53</v>
      </c>
      <c r="K121" s="9">
        <f>AVERAGE(Tableau1[[#This Row],[Lepool.com]:[CBS]])</f>
        <v>49.333333333333336</v>
      </c>
      <c r="L121">
        <f>_xlfn.STDEV.S(Tableau1[[#This Row],[Lepool.com]:[CBS]])</f>
        <v>2.5819888974716112</v>
      </c>
      <c r="M121">
        <f>AVERAGE(E121,G121,H121,I121,Tableau1[[#This Row],[CBS]])</f>
        <v>49.2</v>
      </c>
      <c r="N121">
        <f>AVERAGE(E121,G121,H121,I121,Tableau1[[#This Row],[CBS]])-Tableau1[[#This Row],[HM]]</f>
        <v>-0.79999999999999716</v>
      </c>
    </row>
    <row r="122" spans="1:14" ht="15.75" thickBot="1" x14ac:dyDescent="0.3">
      <c r="A122" s="2"/>
      <c r="B122" t="s">
        <v>174</v>
      </c>
      <c r="C122" t="s">
        <v>370</v>
      </c>
      <c r="E122" s="11">
        <v>51</v>
      </c>
      <c r="F122">
        <v>52</v>
      </c>
      <c r="G122">
        <v>42</v>
      </c>
      <c r="H122">
        <v>52</v>
      </c>
      <c r="J122">
        <v>49</v>
      </c>
      <c r="K122" s="9">
        <f>AVERAGE(Tableau1[[#This Row],[Lepool.com]:[CBS]])</f>
        <v>49.2</v>
      </c>
      <c r="L122">
        <f>_xlfn.STDEV.S(Tableau1[[#This Row],[Lepool.com]:[CBS]])</f>
        <v>4.2071367935925261</v>
      </c>
      <c r="M122">
        <f>AVERAGE(E122,G122,H122,I122,Tableau1[[#This Row],[CBS]])</f>
        <v>48.5</v>
      </c>
      <c r="N122">
        <f>AVERAGE(E122,G122,H122,I122,Tableau1[[#This Row],[CBS]])-Tableau1[[#This Row],[HM]]</f>
        <v>-3.5</v>
      </c>
    </row>
    <row r="123" spans="1:14" ht="15.75" thickBot="1" x14ac:dyDescent="0.3">
      <c r="A123" s="1"/>
      <c r="B123" t="s">
        <v>333</v>
      </c>
      <c r="C123" t="s">
        <v>334</v>
      </c>
      <c r="E123" s="12">
        <v>54</v>
      </c>
      <c r="F123">
        <v>48</v>
      </c>
      <c r="G123">
        <v>46</v>
      </c>
      <c r="H123">
        <v>48</v>
      </c>
      <c r="I123">
        <v>48</v>
      </c>
      <c r="J123">
        <v>51</v>
      </c>
      <c r="K123" s="9">
        <f>AVERAGE(Tableau1[[#This Row],[Lepool.com]:[CBS]])</f>
        <v>49.166666666666664</v>
      </c>
      <c r="L123">
        <f>_xlfn.STDEV.S(Tableau1[[#This Row],[Lepool.com]:[CBS]])</f>
        <v>2.8577380332470415</v>
      </c>
      <c r="M123">
        <f>AVERAGE(E123,G123,H123,I123,Tableau1[[#This Row],[CBS]])</f>
        <v>49.4</v>
      </c>
      <c r="N123">
        <f>AVERAGE(E123,G123,H123,I123,Tableau1[[#This Row],[CBS]])-Tableau1[[#This Row],[HM]]</f>
        <v>1.3999999999999986</v>
      </c>
    </row>
    <row r="124" spans="1:14" x14ac:dyDescent="0.25">
      <c r="A124" s="1"/>
      <c r="B124" t="s">
        <v>329</v>
      </c>
      <c r="C124" t="s">
        <v>330</v>
      </c>
      <c r="E124" s="12">
        <v>54</v>
      </c>
      <c r="F124">
        <v>49</v>
      </c>
      <c r="G124">
        <v>48</v>
      </c>
      <c r="H124">
        <v>41</v>
      </c>
      <c r="I124">
        <v>49</v>
      </c>
      <c r="J124">
        <v>53</v>
      </c>
      <c r="K124" s="9">
        <f>AVERAGE(Tableau1[[#This Row],[Lepool.com]:[CBS]])</f>
        <v>49</v>
      </c>
      <c r="L124">
        <f>_xlfn.STDEV.S(Tableau1[[#This Row],[Lepool.com]:[CBS]])</f>
        <v>4.6043457732885349</v>
      </c>
      <c r="M124">
        <f>AVERAGE(E124,G124,H124,I124,Tableau1[[#This Row],[CBS]])</f>
        <v>49</v>
      </c>
      <c r="N124">
        <f>AVERAGE(E124,G124,H124,I124,Tableau1[[#This Row],[CBS]])-Tableau1[[#This Row],[HM]]</f>
        <v>0</v>
      </c>
    </row>
    <row r="125" spans="1:14" ht="15.75" thickBot="1" x14ac:dyDescent="0.3">
      <c r="A125" s="2"/>
      <c r="B125" t="s">
        <v>428</v>
      </c>
      <c r="C125" t="s">
        <v>429</v>
      </c>
      <c r="E125" s="11">
        <v>47</v>
      </c>
      <c r="F125">
        <v>52</v>
      </c>
      <c r="G125">
        <v>48</v>
      </c>
      <c r="H125">
        <v>52</v>
      </c>
      <c r="I125">
        <v>42</v>
      </c>
      <c r="J125">
        <v>51</v>
      </c>
      <c r="K125" s="9">
        <f>AVERAGE(Tableau1[[#This Row],[Lepool.com]:[CBS]])</f>
        <v>48.666666666666664</v>
      </c>
      <c r="L125">
        <f>_xlfn.STDEV.S(Tableau1[[#This Row],[Lepool.com]:[CBS]])</f>
        <v>3.8815804341359033</v>
      </c>
      <c r="M125">
        <f>AVERAGE(E125,G125,H125,I125,Tableau1[[#This Row],[CBS]])</f>
        <v>48</v>
      </c>
      <c r="N125">
        <f>AVERAGE(E125,G125,H125,I125,Tableau1[[#This Row],[CBS]])-Tableau1[[#This Row],[HM]]</f>
        <v>-4</v>
      </c>
    </row>
    <row r="126" spans="1:14" ht="15.75" thickBot="1" x14ac:dyDescent="0.3">
      <c r="A126" s="1"/>
      <c r="B126" t="s">
        <v>349</v>
      </c>
      <c r="C126" t="s">
        <v>350</v>
      </c>
      <c r="E126" s="11">
        <v>53</v>
      </c>
      <c r="F126">
        <v>50</v>
      </c>
      <c r="G126">
        <v>46</v>
      </c>
      <c r="H126">
        <v>48</v>
      </c>
      <c r="I126">
        <v>46</v>
      </c>
      <c r="J126">
        <v>49</v>
      </c>
      <c r="K126" s="9">
        <f>AVERAGE(Tableau1[[#This Row],[Lepool.com]:[CBS]])</f>
        <v>48.666666666666664</v>
      </c>
      <c r="L126">
        <f>_xlfn.STDEV.S(Tableau1[[#This Row],[Lepool.com]:[CBS]])</f>
        <v>2.6583202716502519</v>
      </c>
      <c r="M126">
        <f>AVERAGE(E126,G126,H126,I126,Tableau1[[#This Row],[CBS]])</f>
        <v>48.4</v>
      </c>
      <c r="N126">
        <f>AVERAGE(E126,G126,H126,I126,Tableau1[[#This Row],[CBS]])-Tableau1[[#This Row],[HM]]</f>
        <v>-1.6000000000000014</v>
      </c>
    </row>
    <row r="127" spans="1:14" x14ac:dyDescent="0.25">
      <c r="A127" s="1"/>
      <c r="B127" t="s">
        <v>314</v>
      </c>
      <c r="C127" t="s">
        <v>315</v>
      </c>
      <c r="E127" s="12">
        <v>55</v>
      </c>
      <c r="F127">
        <v>48</v>
      </c>
      <c r="G127">
        <v>48</v>
      </c>
      <c r="H127">
        <v>50</v>
      </c>
      <c r="I127">
        <v>47</v>
      </c>
      <c r="J127">
        <v>44</v>
      </c>
      <c r="K127" s="9">
        <f>AVERAGE(Tableau1[[#This Row],[Lepool.com]:[CBS]])</f>
        <v>48.666666666666664</v>
      </c>
      <c r="L127">
        <f>_xlfn.STDEV.S(Tableau1[[#This Row],[Lepool.com]:[CBS]])</f>
        <v>3.6696957185394363</v>
      </c>
      <c r="M127">
        <f>AVERAGE(E127,G127,H127,I127,Tableau1[[#This Row],[CBS]])</f>
        <v>48.8</v>
      </c>
      <c r="N127">
        <f>AVERAGE(E127,G127,H127,I127,Tableau1[[#This Row],[CBS]])-Tableau1[[#This Row],[HM]]</f>
        <v>0.79999999999999716</v>
      </c>
    </row>
    <row r="128" spans="1:14" ht="15.75" thickBot="1" x14ac:dyDescent="0.3">
      <c r="A128" s="2"/>
      <c r="B128" t="s">
        <v>374</v>
      </c>
      <c r="C128" t="s">
        <v>385</v>
      </c>
      <c r="E128" s="11">
        <v>50</v>
      </c>
      <c r="F128">
        <v>47</v>
      </c>
      <c r="G128">
        <v>47</v>
      </c>
      <c r="H128">
        <v>47</v>
      </c>
      <c r="I128">
        <v>48</v>
      </c>
      <c r="J128">
        <v>53</v>
      </c>
      <c r="K128" s="9">
        <f>AVERAGE(Tableau1[[#This Row],[Lepool.com]:[CBS]])</f>
        <v>48.666666666666664</v>
      </c>
      <c r="L128">
        <f>_xlfn.STDEV.S(Tableau1[[#This Row],[Lepool.com]:[CBS]])</f>
        <v>2.4221202832779936</v>
      </c>
      <c r="M128">
        <f>AVERAGE(E128,G128,H128,I128,Tableau1[[#This Row],[CBS]])</f>
        <v>49</v>
      </c>
      <c r="N128">
        <f>AVERAGE(E128,G128,H128,I128,Tableau1[[#This Row],[CBS]])-Tableau1[[#This Row],[HM]]</f>
        <v>2</v>
      </c>
    </row>
    <row r="129" spans="1:14" ht="15.75" thickBot="1" x14ac:dyDescent="0.3">
      <c r="A129" s="1"/>
      <c r="B129" t="s">
        <v>397</v>
      </c>
      <c r="C129" t="s">
        <v>398</v>
      </c>
      <c r="E129" s="11">
        <v>49</v>
      </c>
      <c r="F129">
        <v>50</v>
      </c>
      <c r="G129">
        <v>47</v>
      </c>
      <c r="H129">
        <v>58</v>
      </c>
      <c r="I129">
        <v>46</v>
      </c>
      <c r="J129">
        <v>41</v>
      </c>
      <c r="K129" s="9">
        <f>AVERAGE(Tableau1[[#This Row],[Lepool.com]:[CBS]])</f>
        <v>48.5</v>
      </c>
      <c r="L129">
        <f>_xlfn.STDEV.S(Tableau1[[#This Row],[Lepool.com]:[CBS]])</f>
        <v>5.6124860801609122</v>
      </c>
      <c r="M129">
        <f>AVERAGE(E129,G129,H129,I129,Tableau1[[#This Row],[CBS]])</f>
        <v>48.2</v>
      </c>
      <c r="N129">
        <f>AVERAGE(E129,G129,H129,I129,Tableau1[[#This Row],[CBS]])-Tableau1[[#This Row],[HM]]</f>
        <v>-1.7999999999999972</v>
      </c>
    </row>
    <row r="130" spans="1:14" x14ac:dyDescent="0.25">
      <c r="A130" s="1"/>
      <c r="B130" t="s">
        <v>383</v>
      </c>
      <c r="C130" t="s">
        <v>384</v>
      </c>
      <c r="E130" s="11">
        <v>50</v>
      </c>
      <c r="F130">
        <v>49</v>
      </c>
      <c r="G130">
        <v>46</v>
      </c>
      <c r="H130">
        <v>55</v>
      </c>
      <c r="I130">
        <v>48</v>
      </c>
      <c r="J130">
        <v>42</v>
      </c>
      <c r="K130" s="9">
        <f>AVERAGE(Tableau1[[#This Row],[Lepool.com]:[CBS]])</f>
        <v>48.333333333333336</v>
      </c>
      <c r="L130">
        <f>_xlfn.STDEV.S(Tableau1[[#This Row],[Lepool.com]:[CBS]])</f>
        <v>4.3204937989385739</v>
      </c>
      <c r="M130">
        <f>AVERAGE(E130,G130,H130,I130,Tableau1[[#This Row],[CBS]])</f>
        <v>48.2</v>
      </c>
      <c r="N130">
        <f>AVERAGE(E130,G130,H130,I130,Tableau1[[#This Row],[CBS]])-Tableau1[[#This Row],[HM]]</f>
        <v>-0.79999999999999716</v>
      </c>
    </row>
    <row r="131" spans="1:14" ht="15.75" thickBot="1" x14ac:dyDescent="0.3">
      <c r="A131" s="2"/>
      <c r="B131" t="s">
        <v>335</v>
      </c>
      <c r="C131" t="s">
        <v>336</v>
      </c>
      <c r="E131" s="12">
        <v>54</v>
      </c>
      <c r="F131">
        <v>45</v>
      </c>
      <c r="G131">
        <v>45</v>
      </c>
      <c r="H131">
        <v>48</v>
      </c>
      <c r="I131">
        <v>45</v>
      </c>
      <c r="J131">
        <v>53</v>
      </c>
      <c r="K131" s="9">
        <f>AVERAGE(Tableau1[[#This Row],[Lepool.com]:[CBS]])</f>
        <v>48.333333333333336</v>
      </c>
      <c r="L131">
        <f>_xlfn.STDEV.S(Tableau1[[#This Row],[Lepool.com]:[CBS]])</f>
        <v>4.1793141383086612</v>
      </c>
      <c r="M131">
        <f>AVERAGE(E131,G131,H131,I131,Tableau1[[#This Row],[CBS]])</f>
        <v>49</v>
      </c>
      <c r="N131">
        <f>AVERAGE(E131,G131,H131,I131,Tableau1[[#This Row],[CBS]])-Tableau1[[#This Row],[HM]]</f>
        <v>4</v>
      </c>
    </row>
    <row r="132" spans="1:14" ht="15.75" thickBot="1" x14ac:dyDescent="0.3">
      <c r="A132" s="1"/>
      <c r="B132" t="s">
        <v>188</v>
      </c>
      <c r="C132" t="s">
        <v>388</v>
      </c>
      <c r="E132" s="11">
        <v>50</v>
      </c>
      <c r="F132">
        <v>46</v>
      </c>
      <c r="G132">
        <v>45</v>
      </c>
      <c r="H132">
        <v>50</v>
      </c>
      <c r="I132">
        <v>46</v>
      </c>
      <c r="J132">
        <v>52</v>
      </c>
      <c r="K132" s="9">
        <f>AVERAGE(Tableau1[[#This Row],[Lepool.com]:[CBS]])</f>
        <v>48.166666666666664</v>
      </c>
      <c r="L132">
        <f>_xlfn.STDEV.S(Tableau1[[#This Row],[Lepool.com]:[CBS]])</f>
        <v>2.8577380332470415</v>
      </c>
      <c r="M132">
        <f>AVERAGE(E132,G132,H132,I132,Tableau1[[#This Row],[CBS]])</f>
        <v>48.6</v>
      </c>
      <c r="N132">
        <f>AVERAGE(E132,G132,H132,I132,Tableau1[[#This Row],[CBS]])-Tableau1[[#This Row],[HM]]</f>
        <v>2.6000000000000014</v>
      </c>
    </row>
    <row r="133" spans="1:14" x14ac:dyDescent="0.25">
      <c r="A133" s="1"/>
      <c r="B133" t="s">
        <v>411</v>
      </c>
      <c r="C133" t="s">
        <v>412</v>
      </c>
      <c r="E133" s="11">
        <v>49</v>
      </c>
      <c r="F133">
        <v>44</v>
      </c>
      <c r="G133">
        <v>48</v>
      </c>
      <c r="H133">
        <v>53</v>
      </c>
      <c r="J133">
        <v>44</v>
      </c>
      <c r="K133" s="9">
        <f>AVERAGE(Tableau1[[#This Row],[Lepool.com]:[CBS]])</f>
        <v>47.6</v>
      </c>
      <c r="L133">
        <f>_xlfn.STDEV.S(Tableau1[[#This Row],[Lepool.com]:[CBS]])</f>
        <v>3.7815340802378072</v>
      </c>
      <c r="M133">
        <f>AVERAGE(E133,G133,H133,I133,Tableau1[[#This Row],[CBS]])</f>
        <v>48.5</v>
      </c>
      <c r="N133">
        <f>AVERAGE(E133,G133,H133,I133,Tableau1[[#This Row],[CBS]])-Tableau1[[#This Row],[HM]]</f>
        <v>4.5</v>
      </c>
    </row>
    <row r="134" spans="1:14" ht="15.75" thickBot="1" x14ac:dyDescent="0.3">
      <c r="A134" s="2"/>
      <c r="B134" t="s">
        <v>404</v>
      </c>
      <c r="C134" t="s">
        <v>405</v>
      </c>
      <c r="E134" s="11">
        <v>49</v>
      </c>
      <c r="F134">
        <v>48</v>
      </c>
      <c r="G134">
        <v>49</v>
      </c>
      <c r="H134">
        <v>41</v>
      </c>
      <c r="I134">
        <v>47</v>
      </c>
      <c r="J134">
        <v>51</v>
      </c>
      <c r="K134" s="9">
        <f>AVERAGE(Tableau1[[#This Row],[Lepool.com]:[CBS]])</f>
        <v>47.5</v>
      </c>
      <c r="L134">
        <f>_xlfn.STDEV.S(Tableau1[[#This Row],[Lepool.com]:[CBS]])</f>
        <v>3.4496376621320679</v>
      </c>
      <c r="M134">
        <f>AVERAGE(E134,G134,H134,I134,Tableau1[[#This Row],[CBS]])</f>
        <v>47.4</v>
      </c>
      <c r="N134">
        <f>AVERAGE(E134,G134,H134,I134,Tableau1[[#This Row],[CBS]])-Tableau1[[#This Row],[HM]]</f>
        <v>-0.60000000000000142</v>
      </c>
    </row>
    <row r="135" spans="1:14" ht="15.75" thickBot="1" x14ac:dyDescent="0.3">
      <c r="A135" s="1"/>
      <c r="B135" t="s">
        <v>1236</v>
      </c>
      <c r="C135" t="s">
        <v>1237</v>
      </c>
      <c r="E135" s="11"/>
      <c r="F135">
        <v>46</v>
      </c>
      <c r="G135">
        <v>42</v>
      </c>
      <c r="H135">
        <v>51</v>
      </c>
      <c r="J135">
        <v>51</v>
      </c>
      <c r="K135" s="23">
        <f>AVERAGE(Tableau1[[#This Row],[Lepool.com]:[CBS]])</f>
        <v>47.5</v>
      </c>
      <c r="L135" s="24">
        <f>_xlfn.STDEV.S(Tableau1[[#This Row],[Lepool.com]:[CBS]])</f>
        <v>4.358898943540674</v>
      </c>
      <c r="M135" s="24">
        <f>AVERAGE(E135,G135,H135,I135,Tableau1[[#This Row],[CBS]])</f>
        <v>48</v>
      </c>
      <c r="N135" s="24">
        <f>AVERAGE(E135,G135,H135,I135,Tableau1[[#This Row],[CBS]])-Tableau1[[#This Row],[HM]]</f>
        <v>2</v>
      </c>
    </row>
    <row r="136" spans="1:14" x14ac:dyDescent="0.25">
      <c r="A136" s="1"/>
      <c r="B136" t="s">
        <v>303</v>
      </c>
      <c r="C136" t="s">
        <v>406</v>
      </c>
      <c r="E136" s="11">
        <v>49</v>
      </c>
      <c r="F136">
        <v>48</v>
      </c>
      <c r="G136">
        <v>45</v>
      </c>
      <c r="H136">
        <v>48</v>
      </c>
      <c r="I136">
        <v>42</v>
      </c>
      <c r="J136">
        <v>52</v>
      </c>
      <c r="K136" s="9">
        <f>AVERAGE(Tableau1[[#This Row],[Lepool.com]:[CBS]])</f>
        <v>47.333333333333336</v>
      </c>
      <c r="L136">
        <f>_xlfn.STDEV.S(Tableau1[[#This Row],[Lepool.com]:[CBS]])</f>
        <v>3.4448028487370168</v>
      </c>
      <c r="M136">
        <f>AVERAGE(E136,G136,H136,I136,Tableau1[[#This Row],[CBS]])</f>
        <v>47.2</v>
      </c>
      <c r="N136">
        <f>AVERAGE(E136,G136,H136,I136,Tableau1[[#This Row],[CBS]])-Tableau1[[#This Row],[HM]]</f>
        <v>-0.79999999999999716</v>
      </c>
    </row>
    <row r="137" spans="1:14" ht="15.75" thickBot="1" x14ac:dyDescent="0.3">
      <c r="A137" s="2"/>
      <c r="B137" t="s">
        <v>290</v>
      </c>
      <c r="C137" t="s">
        <v>435</v>
      </c>
      <c r="E137" s="11">
        <v>47</v>
      </c>
      <c r="F137">
        <v>42</v>
      </c>
      <c r="G137">
        <v>48</v>
      </c>
      <c r="H137">
        <v>49</v>
      </c>
      <c r="I137">
        <v>48</v>
      </c>
      <c r="J137">
        <v>50</v>
      </c>
      <c r="K137" s="9">
        <f>AVERAGE(Tableau1[[#This Row],[Lepool.com]:[CBS]])</f>
        <v>47.333333333333336</v>
      </c>
      <c r="L137">
        <f>_xlfn.STDEV.S(Tableau1[[#This Row],[Lepool.com]:[CBS]])</f>
        <v>2.8047578623950176</v>
      </c>
      <c r="M137">
        <f>AVERAGE(E137,G137,H137,I137,Tableau1[[#This Row],[CBS]])</f>
        <v>48.4</v>
      </c>
      <c r="N137">
        <f>AVERAGE(E137,G137,H137,I137,Tableau1[[#This Row],[CBS]])-Tableau1[[#This Row],[HM]]</f>
        <v>6.3999999999999986</v>
      </c>
    </row>
    <row r="138" spans="1:14" ht="15.75" thickBot="1" x14ac:dyDescent="0.3">
      <c r="A138" s="1"/>
      <c r="B138" t="s">
        <v>365</v>
      </c>
      <c r="C138" t="s">
        <v>417</v>
      </c>
      <c r="E138" s="11">
        <v>48</v>
      </c>
      <c r="F138">
        <v>47</v>
      </c>
      <c r="G138">
        <v>47</v>
      </c>
      <c r="H138">
        <v>44</v>
      </c>
      <c r="I138">
        <v>49</v>
      </c>
      <c r="J138">
        <v>48</v>
      </c>
      <c r="K138" s="9">
        <f>AVERAGE(Tableau1[[#This Row],[Lepool.com]:[CBS]])</f>
        <v>47.166666666666664</v>
      </c>
      <c r="L138">
        <f>_xlfn.STDEV.S(Tableau1[[#This Row],[Lepool.com]:[CBS]])</f>
        <v>1.7224014243685084</v>
      </c>
      <c r="M138">
        <f>AVERAGE(E138,G138,H138,I138,Tableau1[[#This Row],[CBS]])</f>
        <v>47.2</v>
      </c>
      <c r="N138">
        <f>AVERAGE(E138,G138,H138,I138,Tableau1[[#This Row],[CBS]])-Tableau1[[#This Row],[HM]]</f>
        <v>0.20000000000000284</v>
      </c>
    </row>
    <row r="139" spans="1:14" x14ac:dyDescent="0.25">
      <c r="A139" s="1"/>
      <c r="B139" t="s">
        <v>397</v>
      </c>
      <c r="C139" t="s">
        <v>421</v>
      </c>
      <c r="E139" s="11">
        <v>48</v>
      </c>
      <c r="F139">
        <v>46</v>
      </c>
      <c r="G139">
        <v>51</v>
      </c>
      <c r="H139">
        <v>54</v>
      </c>
      <c r="I139">
        <v>48</v>
      </c>
      <c r="J139">
        <v>36</v>
      </c>
      <c r="K139" s="9">
        <f>AVERAGE(Tableau1[[#This Row],[Lepool.com]:[CBS]])</f>
        <v>47.166666666666664</v>
      </c>
      <c r="L139">
        <f>_xlfn.STDEV.S(Tableau1[[#This Row],[Lepool.com]:[CBS]])</f>
        <v>6.1454590281497108</v>
      </c>
      <c r="M139">
        <f>AVERAGE(E139,G139,H139,I139,Tableau1[[#This Row],[CBS]])</f>
        <v>47.4</v>
      </c>
      <c r="N139">
        <f>AVERAGE(E139,G139,H139,I139,Tableau1[[#This Row],[CBS]])-Tableau1[[#This Row],[HM]]</f>
        <v>1.3999999999999986</v>
      </c>
    </row>
    <row r="140" spans="1:14" ht="15.75" thickBot="1" x14ac:dyDescent="0.3">
      <c r="A140" s="2"/>
      <c r="B140" t="s">
        <v>374</v>
      </c>
      <c r="C140" t="s">
        <v>375</v>
      </c>
      <c r="E140" s="11">
        <v>51</v>
      </c>
      <c r="F140">
        <v>45</v>
      </c>
      <c r="G140">
        <v>47</v>
      </c>
      <c r="H140">
        <v>45</v>
      </c>
      <c r="I140">
        <v>47</v>
      </c>
      <c r="J140">
        <v>48</v>
      </c>
      <c r="K140" s="9">
        <f>AVERAGE(Tableau1[[#This Row],[Lepool.com]:[CBS]])</f>
        <v>47.166666666666664</v>
      </c>
      <c r="L140">
        <f>_xlfn.STDEV.S(Tableau1[[#This Row],[Lepool.com]:[CBS]])</f>
        <v>2.228601953392904</v>
      </c>
      <c r="M140">
        <f>AVERAGE(E140,G140,H140,I140,Tableau1[[#This Row],[CBS]])</f>
        <v>47.6</v>
      </c>
      <c r="N140">
        <f>AVERAGE(E140,G140,H140,I140,Tableau1[[#This Row],[CBS]])-Tableau1[[#This Row],[HM]]</f>
        <v>2.6000000000000014</v>
      </c>
    </row>
    <row r="141" spans="1:14" ht="15.75" thickBot="1" x14ac:dyDescent="0.3">
      <c r="A141" s="1"/>
      <c r="B141" t="s">
        <v>390</v>
      </c>
      <c r="C141" t="s">
        <v>391</v>
      </c>
      <c r="E141" s="11">
        <v>50</v>
      </c>
      <c r="F141">
        <v>42</v>
      </c>
      <c r="G141">
        <v>49</v>
      </c>
      <c r="H141">
        <v>53</v>
      </c>
      <c r="I141">
        <v>47</v>
      </c>
      <c r="J141">
        <v>42</v>
      </c>
      <c r="K141" s="9">
        <f>AVERAGE(Tableau1[[#This Row],[Lepool.com]:[CBS]])</f>
        <v>47.166666666666664</v>
      </c>
      <c r="L141">
        <f>_xlfn.STDEV.S(Tableau1[[#This Row],[Lepool.com]:[CBS]])</f>
        <v>4.4459719597256422</v>
      </c>
      <c r="M141">
        <f>AVERAGE(E141,G141,H141,I141,Tableau1[[#This Row],[CBS]])</f>
        <v>48.2</v>
      </c>
      <c r="N141">
        <f>AVERAGE(E141,G141,H141,I141,Tableau1[[#This Row],[CBS]])-Tableau1[[#This Row],[HM]]</f>
        <v>6.2000000000000028</v>
      </c>
    </row>
    <row r="142" spans="1:14" x14ac:dyDescent="0.25">
      <c r="A142" s="1"/>
      <c r="B142" t="s">
        <v>1239</v>
      </c>
      <c r="C142" t="s">
        <v>1240</v>
      </c>
      <c r="E142" s="11"/>
      <c r="F142">
        <v>47</v>
      </c>
      <c r="G142">
        <v>49</v>
      </c>
      <c r="J142">
        <v>45</v>
      </c>
      <c r="K142" s="23">
        <f>AVERAGE(Tableau1[[#This Row],[Lepool.com]:[CBS]])</f>
        <v>47</v>
      </c>
      <c r="L142" s="24">
        <f>_xlfn.STDEV.S(Tableau1[[#This Row],[Lepool.com]:[CBS]])</f>
        <v>2</v>
      </c>
      <c r="M142" s="24">
        <f>AVERAGE(E142,G142,H142,I142,Tableau1[[#This Row],[CBS]])</f>
        <v>47</v>
      </c>
      <c r="N142" s="24">
        <f>AVERAGE(E142,G142,H142,I142,Tableau1[[#This Row],[CBS]])-Tableau1[[#This Row],[HM]]</f>
        <v>0</v>
      </c>
    </row>
    <row r="143" spans="1:14" ht="15.75" thickBot="1" x14ac:dyDescent="0.3">
      <c r="A143" s="2"/>
      <c r="B143" t="s">
        <v>1348</v>
      </c>
      <c r="C143" t="s">
        <v>1349</v>
      </c>
      <c r="E143" s="11"/>
      <c r="F143">
        <v>40</v>
      </c>
      <c r="G143">
        <v>52</v>
      </c>
      <c r="H143">
        <v>50</v>
      </c>
      <c r="I143">
        <v>44</v>
      </c>
      <c r="J143">
        <v>49</v>
      </c>
      <c r="K143" s="23">
        <f>AVERAGE(Tableau1[[#This Row],[Lepool.com]:[CBS]])</f>
        <v>47</v>
      </c>
      <c r="L143" s="24">
        <f>_xlfn.STDEV.S(Tableau1[[#This Row],[Lepool.com]:[CBS]])</f>
        <v>4.8989794855663558</v>
      </c>
      <c r="M143" s="24">
        <f>AVERAGE(E143,G143,H143,I143,Tableau1[[#This Row],[CBS]])</f>
        <v>48.75</v>
      </c>
      <c r="N143" s="24">
        <f>AVERAGE(E143,G143,H143,I143,Tableau1[[#This Row],[CBS]])-Tableau1[[#This Row],[HM]]</f>
        <v>8.75</v>
      </c>
    </row>
    <row r="144" spans="1:14" ht="15.75" thickBot="1" x14ac:dyDescent="0.3">
      <c r="A144" s="1"/>
      <c r="B144" t="s">
        <v>268</v>
      </c>
      <c r="C144" t="s">
        <v>269</v>
      </c>
      <c r="E144" s="12">
        <v>60</v>
      </c>
      <c r="F144">
        <v>48</v>
      </c>
      <c r="H144">
        <v>46</v>
      </c>
      <c r="I144">
        <v>43</v>
      </c>
      <c r="J144">
        <v>37</v>
      </c>
      <c r="K144" s="9">
        <f>AVERAGE(Tableau1[[#This Row],[Lepool.com]:[CBS]])</f>
        <v>46.8</v>
      </c>
      <c r="L144">
        <f>_xlfn.STDEV.S(Tableau1[[#This Row],[Lepool.com]:[CBS]])</f>
        <v>8.4675852520066091</v>
      </c>
      <c r="M144">
        <f>AVERAGE(E144,G144,H144,I144,Tableau1[[#This Row],[CBS]])</f>
        <v>46.5</v>
      </c>
      <c r="N144">
        <f>AVERAGE(E144,G144,H144,I144,Tableau1[[#This Row],[CBS]])-Tableau1[[#This Row],[HM]]</f>
        <v>-1.5</v>
      </c>
    </row>
    <row r="145" spans="1:14" x14ac:dyDescent="0.25">
      <c r="A145" s="1"/>
      <c r="B145" t="s">
        <v>166</v>
      </c>
      <c r="C145" t="s">
        <v>1251</v>
      </c>
      <c r="E145" s="11"/>
      <c r="F145">
        <v>45</v>
      </c>
      <c r="G145">
        <v>42</v>
      </c>
      <c r="H145">
        <v>48</v>
      </c>
      <c r="J145">
        <v>52</v>
      </c>
      <c r="K145" s="23">
        <f>AVERAGE(Tableau1[[#This Row],[Lepool.com]:[CBS]])</f>
        <v>46.75</v>
      </c>
      <c r="L145" s="24">
        <f>_xlfn.STDEV.S(Tableau1[[#This Row],[Lepool.com]:[CBS]])</f>
        <v>4.2720018726587652</v>
      </c>
      <c r="M145" s="24">
        <f>AVERAGE(E145,G145,H145,I145,Tableau1[[#This Row],[CBS]])</f>
        <v>47.333333333333336</v>
      </c>
      <c r="N145" s="24">
        <f>AVERAGE(E145,G145,H145,I145,Tableau1[[#This Row],[CBS]])-Tableau1[[#This Row],[HM]]</f>
        <v>2.3333333333333357</v>
      </c>
    </row>
    <row r="146" spans="1:14" ht="15.75" thickBot="1" x14ac:dyDescent="0.3">
      <c r="A146" s="2"/>
      <c r="B146" t="s">
        <v>1692</v>
      </c>
      <c r="C146" t="s">
        <v>1554</v>
      </c>
      <c r="E146" s="11"/>
      <c r="F146">
        <v>49</v>
      </c>
      <c r="G146">
        <v>47</v>
      </c>
      <c r="H146">
        <v>44</v>
      </c>
      <c r="K146" s="23">
        <f>AVERAGE(Tableau1[[#This Row],[Lepool.com]:[CBS]])</f>
        <v>46.666666666666664</v>
      </c>
      <c r="L146" s="24">
        <f>_xlfn.STDEV.S(Tableau1[[#This Row],[Lepool.com]:[CBS]])</f>
        <v>2.5166114784235831</v>
      </c>
      <c r="M146" s="24">
        <f>AVERAGE(E146,G146,H146,I146,Tableau1[[#This Row],[CBS]])</f>
        <v>45.5</v>
      </c>
      <c r="N146" s="24">
        <f>AVERAGE(E146,G146,H146,I146,Tableau1[[#This Row],[CBS]])-Tableau1[[#This Row],[HM]]</f>
        <v>-3.5</v>
      </c>
    </row>
    <row r="147" spans="1:14" ht="15.75" thickBot="1" x14ac:dyDescent="0.3">
      <c r="A147" s="1"/>
      <c r="B147" t="s">
        <v>226</v>
      </c>
      <c r="C147" t="s">
        <v>373</v>
      </c>
      <c r="E147" s="11">
        <v>51</v>
      </c>
      <c r="F147">
        <v>46</v>
      </c>
      <c r="G147">
        <v>46</v>
      </c>
      <c r="H147">
        <v>42</v>
      </c>
      <c r="I147">
        <v>47</v>
      </c>
      <c r="J147">
        <v>48</v>
      </c>
      <c r="K147" s="9">
        <f>AVERAGE(Tableau1[[#This Row],[Lepool.com]:[CBS]])</f>
        <v>46.666666666666664</v>
      </c>
      <c r="L147">
        <f>_xlfn.STDEV.S(Tableau1[[#This Row],[Lepool.com]:[CBS]])</f>
        <v>2.9439202887759492</v>
      </c>
      <c r="M147">
        <f>AVERAGE(E147,G147,H147,I147,Tableau1[[#This Row],[CBS]])</f>
        <v>46.8</v>
      </c>
      <c r="N147">
        <f>AVERAGE(E147,G147,H147,I147,Tableau1[[#This Row],[CBS]])-Tableau1[[#This Row],[HM]]</f>
        <v>0.79999999999999716</v>
      </c>
    </row>
    <row r="148" spans="1:14" x14ac:dyDescent="0.25">
      <c r="A148" s="1"/>
      <c r="B148" t="s">
        <v>392</v>
      </c>
      <c r="C148" t="s">
        <v>393</v>
      </c>
      <c r="E148" s="11">
        <v>50</v>
      </c>
      <c r="F148">
        <v>40</v>
      </c>
      <c r="G148">
        <v>43</v>
      </c>
      <c r="H148">
        <v>45</v>
      </c>
      <c r="I148">
        <v>51</v>
      </c>
      <c r="J148">
        <v>50</v>
      </c>
      <c r="K148" s="9">
        <f>AVERAGE(Tableau1[[#This Row],[Lepool.com]:[CBS]])</f>
        <v>46.5</v>
      </c>
      <c r="L148">
        <f>_xlfn.STDEV.S(Tableau1[[#This Row],[Lepool.com]:[CBS]])</f>
        <v>4.5055521304275237</v>
      </c>
      <c r="M148">
        <f>AVERAGE(E148,G148,H148,I148,Tableau1[[#This Row],[CBS]])</f>
        <v>47.8</v>
      </c>
      <c r="N148">
        <f>AVERAGE(E148,G148,H148,I148,Tableau1[[#This Row],[CBS]])-Tableau1[[#This Row],[HM]]</f>
        <v>7.7999999999999972</v>
      </c>
    </row>
    <row r="149" spans="1:14" ht="15.75" thickBot="1" x14ac:dyDescent="0.3">
      <c r="A149" s="2"/>
      <c r="B149" t="s">
        <v>162</v>
      </c>
      <c r="C149" t="s">
        <v>394</v>
      </c>
      <c r="E149" s="11">
        <v>50</v>
      </c>
      <c r="F149">
        <v>39</v>
      </c>
      <c r="G149">
        <v>45</v>
      </c>
      <c r="H149">
        <v>46</v>
      </c>
      <c r="I149">
        <v>52</v>
      </c>
      <c r="J149">
        <v>47</v>
      </c>
      <c r="K149" s="9">
        <f>AVERAGE(Tableau1[[#This Row],[Lepool.com]:[CBS]])</f>
        <v>46.5</v>
      </c>
      <c r="L149">
        <f>_xlfn.STDEV.S(Tableau1[[#This Row],[Lepool.com]:[CBS]])</f>
        <v>4.5055521304275237</v>
      </c>
      <c r="M149">
        <f>AVERAGE(E149,G149,H149,I149,Tableau1[[#This Row],[CBS]])</f>
        <v>48</v>
      </c>
      <c r="N149">
        <f>AVERAGE(E149,G149,H149,I149,Tableau1[[#This Row],[CBS]])-Tableau1[[#This Row],[HM]]</f>
        <v>9</v>
      </c>
    </row>
    <row r="150" spans="1:14" ht="15.75" thickBot="1" x14ac:dyDescent="0.3">
      <c r="A150" s="1"/>
      <c r="B150" t="s">
        <v>231</v>
      </c>
      <c r="C150" t="s">
        <v>1356</v>
      </c>
      <c r="E150" s="11"/>
      <c r="F150">
        <v>48</v>
      </c>
      <c r="G150">
        <v>47</v>
      </c>
      <c r="H150">
        <v>52</v>
      </c>
      <c r="I150">
        <v>43</v>
      </c>
      <c r="J150">
        <v>42</v>
      </c>
      <c r="K150" s="23">
        <f>AVERAGE(Tableau1[[#This Row],[Lepool.com]:[CBS]])</f>
        <v>46.4</v>
      </c>
      <c r="L150" s="24">
        <f>_xlfn.STDEV.S(Tableau1[[#This Row],[Lepool.com]:[CBS]])</f>
        <v>4.0373258476372698</v>
      </c>
      <c r="M150" s="24">
        <f>AVERAGE(E150,G150,H150,I150,Tableau1[[#This Row],[CBS]])</f>
        <v>46</v>
      </c>
      <c r="N150" s="24">
        <f>AVERAGE(E150,G150,H150,I150,Tableau1[[#This Row],[CBS]])-Tableau1[[#This Row],[HM]]</f>
        <v>-2</v>
      </c>
    </row>
    <row r="151" spans="1:14" x14ac:dyDescent="0.25">
      <c r="A151" s="1"/>
      <c r="B151" t="s">
        <v>407</v>
      </c>
      <c r="C151" t="s">
        <v>408</v>
      </c>
      <c r="E151" s="11">
        <v>49</v>
      </c>
      <c r="F151">
        <v>47</v>
      </c>
      <c r="G151">
        <v>46</v>
      </c>
      <c r="H151">
        <v>50</v>
      </c>
      <c r="J151">
        <v>40</v>
      </c>
      <c r="K151" s="9">
        <f>AVERAGE(Tableau1[[#This Row],[Lepool.com]:[CBS]])</f>
        <v>46.4</v>
      </c>
      <c r="L151">
        <f>_xlfn.STDEV.S(Tableau1[[#This Row],[Lepool.com]:[CBS]])</f>
        <v>3.9115214431215892</v>
      </c>
      <c r="M151">
        <f>AVERAGE(E151,G151,H151,I151,Tableau1[[#This Row],[CBS]])</f>
        <v>46.25</v>
      </c>
      <c r="N151">
        <f>AVERAGE(E151,G151,H151,I151,Tableau1[[#This Row],[CBS]])-Tableau1[[#This Row],[HM]]</f>
        <v>-0.75</v>
      </c>
    </row>
    <row r="152" spans="1:14" ht="15.75" thickBot="1" x14ac:dyDescent="0.3">
      <c r="A152" s="2"/>
      <c r="B152" t="s">
        <v>210</v>
      </c>
      <c r="C152" t="s">
        <v>403</v>
      </c>
      <c r="E152" s="11">
        <v>49</v>
      </c>
      <c r="F152">
        <v>49</v>
      </c>
      <c r="G152">
        <v>40</v>
      </c>
      <c r="H152">
        <v>49</v>
      </c>
      <c r="I152">
        <v>39</v>
      </c>
      <c r="J152">
        <v>52</v>
      </c>
      <c r="K152" s="9">
        <f>AVERAGE(Tableau1[[#This Row],[Lepool.com]:[CBS]])</f>
        <v>46.333333333333336</v>
      </c>
      <c r="L152">
        <f>_xlfn.STDEV.S(Tableau1[[#This Row],[Lepool.com]:[CBS]])</f>
        <v>5.4283207962192863</v>
      </c>
      <c r="M152">
        <f>AVERAGE(E152,G152,H152,I152,Tableau1[[#This Row],[CBS]])</f>
        <v>45.8</v>
      </c>
      <c r="N152">
        <f>AVERAGE(E152,G152,H152,I152,Tableau1[[#This Row],[CBS]])-Tableau1[[#This Row],[HM]]</f>
        <v>-3.2000000000000028</v>
      </c>
    </row>
    <row r="153" spans="1:14" ht="15.75" thickBot="1" x14ac:dyDescent="0.3">
      <c r="A153" s="1"/>
      <c r="B153" t="s">
        <v>419</v>
      </c>
      <c r="C153" t="s">
        <v>420</v>
      </c>
      <c r="E153" s="11">
        <v>48</v>
      </c>
      <c r="F153">
        <v>45</v>
      </c>
      <c r="G153">
        <v>47</v>
      </c>
      <c r="H153">
        <v>47</v>
      </c>
      <c r="I153">
        <v>45</v>
      </c>
      <c r="J153">
        <v>46</v>
      </c>
      <c r="K153" s="9">
        <f>AVERAGE(Tableau1[[#This Row],[Lepool.com]:[CBS]])</f>
        <v>46.333333333333336</v>
      </c>
      <c r="L153">
        <f>_xlfn.STDEV.S(Tableau1[[#This Row],[Lepool.com]:[CBS]])</f>
        <v>1.2110601416389966</v>
      </c>
      <c r="M153">
        <f>AVERAGE(E153,G153,H153,I153,Tableau1[[#This Row],[CBS]])</f>
        <v>46.6</v>
      </c>
      <c r="N153">
        <f>AVERAGE(E153,G153,H153,I153,Tableau1[[#This Row],[CBS]])-Tableau1[[#This Row],[HM]]</f>
        <v>1.6000000000000014</v>
      </c>
    </row>
    <row r="154" spans="1:14" x14ac:dyDescent="0.25">
      <c r="A154" s="1"/>
      <c r="B154" t="s">
        <v>367</v>
      </c>
      <c r="C154" t="s">
        <v>368</v>
      </c>
      <c r="E154" s="11">
        <v>52</v>
      </c>
      <c r="F154">
        <v>45</v>
      </c>
      <c r="G154">
        <v>43</v>
      </c>
      <c r="H154">
        <v>43</v>
      </c>
      <c r="I154">
        <v>41</v>
      </c>
      <c r="J154">
        <v>52</v>
      </c>
      <c r="K154" s="9">
        <f>AVERAGE(Tableau1[[#This Row],[Lepool.com]:[CBS]])</f>
        <v>46</v>
      </c>
      <c r="L154">
        <f>_xlfn.STDEV.S(Tableau1[[#This Row],[Lepool.com]:[CBS]])</f>
        <v>4.8166378315169185</v>
      </c>
      <c r="M154">
        <f>AVERAGE(E154,G154,H154,I154,Tableau1[[#This Row],[CBS]])</f>
        <v>46.2</v>
      </c>
      <c r="N154">
        <f>AVERAGE(E154,G154,H154,I154,Tableau1[[#This Row],[CBS]])-Tableau1[[#This Row],[HM]]</f>
        <v>1.2000000000000028</v>
      </c>
    </row>
    <row r="155" spans="1:14" ht="15.75" thickBot="1" x14ac:dyDescent="0.3">
      <c r="A155" s="2"/>
      <c r="B155" t="s">
        <v>426</v>
      </c>
      <c r="C155" t="s">
        <v>427</v>
      </c>
      <c r="E155" s="11">
        <v>48</v>
      </c>
      <c r="F155">
        <v>45</v>
      </c>
      <c r="G155">
        <v>46</v>
      </c>
      <c r="H155">
        <v>49</v>
      </c>
      <c r="I155">
        <v>38</v>
      </c>
      <c r="J155">
        <v>50</v>
      </c>
      <c r="K155" s="9">
        <f>AVERAGE(Tableau1[[#This Row],[Lepool.com]:[CBS]])</f>
        <v>46</v>
      </c>
      <c r="L155">
        <f>_xlfn.STDEV.S(Tableau1[[#This Row],[Lepool.com]:[CBS]])</f>
        <v>4.3358966777357599</v>
      </c>
      <c r="M155">
        <f>AVERAGE(E155,G155,H155,I155,Tableau1[[#This Row],[CBS]])</f>
        <v>46.2</v>
      </c>
      <c r="N155">
        <f>AVERAGE(E155,G155,H155,I155,Tableau1[[#This Row],[CBS]])-Tableau1[[#This Row],[HM]]</f>
        <v>1.2000000000000028</v>
      </c>
    </row>
    <row r="156" spans="1:14" ht="15.75" thickBot="1" x14ac:dyDescent="0.3">
      <c r="A156" s="1"/>
      <c r="B156" t="s">
        <v>424</v>
      </c>
      <c r="C156" t="s">
        <v>425</v>
      </c>
      <c r="E156" s="11">
        <v>48</v>
      </c>
      <c r="F156">
        <v>44</v>
      </c>
      <c r="G156">
        <v>43</v>
      </c>
      <c r="H156">
        <v>44</v>
      </c>
      <c r="J156">
        <v>51</v>
      </c>
      <c r="K156" s="9">
        <f>AVERAGE(Tableau1[[#This Row],[Lepool.com]:[CBS]])</f>
        <v>46</v>
      </c>
      <c r="L156">
        <f>_xlfn.STDEV.S(Tableau1[[#This Row],[Lepool.com]:[CBS]])</f>
        <v>3.3911649915626341</v>
      </c>
      <c r="M156">
        <f>AVERAGE(E156,G156,H156,I156,Tableau1[[#This Row],[CBS]])</f>
        <v>46.5</v>
      </c>
      <c r="N156">
        <f>AVERAGE(E156,G156,H156,I156,Tableau1[[#This Row],[CBS]])-Tableau1[[#This Row],[HM]]</f>
        <v>2.5</v>
      </c>
    </row>
    <row r="157" spans="1:14" x14ac:dyDescent="0.25">
      <c r="A157" s="1"/>
      <c r="B157" t="s">
        <v>188</v>
      </c>
      <c r="C157" t="s">
        <v>389</v>
      </c>
      <c r="E157" s="11">
        <v>50</v>
      </c>
      <c r="F157">
        <v>46</v>
      </c>
      <c r="G157">
        <v>46</v>
      </c>
      <c r="H157">
        <v>43</v>
      </c>
      <c r="I157">
        <v>43</v>
      </c>
      <c r="J157">
        <v>47</v>
      </c>
      <c r="K157" s="9">
        <f>AVERAGE(Tableau1[[#This Row],[Lepool.com]:[CBS]])</f>
        <v>45.833333333333336</v>
      </c>
      <c r="L157">
        <f>_xlfn.STDEV.S(Tableau1[[#This Row],[Lepool.com]:[CBS]])</f>
        <v>2.639444385977221</v>
      </c>
      <c r="M157">
        <f>AVERAGE(E157,G157,H157,I157,Tableau1[[#This Row],[CBS]])</f>
        <v>45.8</v>
      </c>
      <c r="N157">
        <f>AVERAGE(E157,G157,H157,I157,Tableau1[[#This Row],[CBS]])-Tableau1[[#This Row],[HM]]</f>
        <v>-0.20000000000000284</v>
      </c>
    </row>
    <row r="158" spans="1:14" ht="15.75" thickBot="1" x14ac:dyDescent="0.3">
      <c r="A158" s="2"/>
      <c r="B158" t="s">
        <v>378</v>
      </c>
      <c r="C158" t="s">
        <v>373</v>
      </c>
      <c r="E158" s="11">
        <v>51</v>
      </c>
      <c r="F158">
        <v>41</v>
      </c>
      <c r="G158">
        <v>44</v>
      </c>
      <c r="H158">
        <v>50</v>
      </c>
      <c r="I158">
        <v>52</v>
      </c>
      <c r="J158">
        <v>36</v>
      </c>
      <c r="K158" s="9">
        <f>AVERAGE(Tableau1[[#This Row],[Lepool.com]:[CBS]])</f>
        <v>45.666666666666664</v>
      </c>
      <c r="L158">
        <f>_xlfn.STDEV.S(Tableau1[[#This Row],[Lepool.com]:[CBS]])</f>
        <v>6.4083279150388979</v>
      </c>
      <c r="M158">
        <f>AVERAGE(E158,G158,H158,I158,Tableau1[[#This Row],[CBS]])</f>
        <v>46.6</v>
      </c>
      <c r="N158">
        <f>AVERAGE(E158,G158,H158,I158,Tableau1[[#This Row],[CBS]])-Tableau1[[#This Row],[HM]]</f>
        <v>5.6000000000000014</v>
      </c>
    </row>
    <row r="159" spans="1:14" ht="15.75" thickBot="1" x14ac:dyDescent="0.3">
      <c r="A159" s="1"/>
      <c r="B159" t="s">
        <v>433</v>
      </c>
      <c r="C159" t="s">
        <v>434</v>
      </c>
      <c r="E159" s="11">
        <v>47</v>
      </c>
      <c r="F159">
        <v>48</v>
      </c>
      <c r="G159">
        <v>55</v>
      </c>
      <c r="H159">
        <v>49</v>
      </c>
      <c r="J159">
        <v>29</v>
      </c>
      <c r="K159" s="9">
        <f>AVERAGE(Tableau1[[#This Row],[Lepool.com]:[CBS]])</f>
        <v>45.6</v>
      </c>
      <c r="L159">
        <f>_xlfn.STDEV.S(Tableau1[[#This Row],[Lepool.com]:[CBS]])</f>
        <v>9.7877474425937336</v>
      </c>
      <c r="M159">
        <f>AVERAGE(E159,G159,H159,I159,Tableau1[[#This Row],[CBS]])</f>
        <v>45</v>
      </c>
      <c r="N159">
        <f>AVERAGE(E159,G159,H159,I159,Tableau1[[#This Row],[CBS]])-Tableau1[[#This Row],[HM]]</f>
        <v>-3</v>
      </c>
    </row>
    <row r="160" spans="1:14" x14ac:dyDescent="0.25">
      <c r="A160" s="1"/>
      <c r="B160" t="s">
        <v>422</v>
      </c>
      <c r="C160" t="s">
        <v>423</v>
      </c>
      <c r="E160" s="11">
        <v>48</v>
      </c>
      <c r="F160">
        <v>35</v>
      </c>
      <c r="G160">
        <v>40</v>
      </c>
      <c r="H160">
        <v>55</v>
      </c>
      <c r="J160">
        <v>50</v>
      </c>
      <c r="K160" s="9">
        <f>AVERAGE(Tableau1[[#This Row],[Lepool.com]:[CBS]])</f>
        <v>45.6</v>
      </c>
      <c r="L160">
        <f>_xlfn.STDEV.S(Tableau1[[#This Row],[Lepool.com]:[CBS]])</f>
        <v>8.0187280786917938</v>
      </c>
      <c r="M160">
        <f>AVERAGE(E160,G160,H160,I160,Tableau1[[#This Row],[CBS]])</f>
        <v>48.25</v>
      </c>
      <c r="N160">
        <f>AVERAGE(E160,G160,H160,I160,Tableau1[[#This Row],[CBS]])-Tableau1[[#This Row],[HM]]</f>
        <v>13.25</v>
      </c>
    </row>
    <row r="161" spans="1:14" ht="15.75" thickBot="1" x14ac:dyDescent="0.3">
      <c r="A161" s="2"/>
      <c r="B161" t="s">
        <v>386</v>
      </c>
      <c r="C161" t="s">
        <v>387</v>
      </c>
      <c r="E161" s="11">
        <v>50</v>
      </c>
      <c r="F161">
        <v>46</v>
      </c>
      <c r="G161">
        <v>46</v>
      </c>
      <c r="H161">
        <v>42</v>
      </c>
      <c r="J161">
        <v>42</v>
      </c>
      <c r="K161" s="9">
        <f>AVERAGE(Tableau1[[#This Row],[Lepool.com]:[CBS]])</f>
        <v>45.2</v>
      </c>
      <c r="L161">
        <f>_xlfn.STDEV.S(Tableau1[[#This Row],[Lepool.com]:[CBS]])</f>
        <v>3.3466401061363023</v>
      </c>
      <c r="M161">
        <f>AVERAGE(E161,G161,H161,I161,Tableau1[[#This Row],[CBS]])</f>
        <v>45</v>
      </c>
      <c r="N161">
        <f>AVERAGE(E161,G161,H161,I161,Tableau1[[#This Row],[CBS]])-Tableau1[[#This Row],[HM]]</f>
        <v>-1</v>
      </c>
    </row>
    <row r="162" spans="1:14" ht="15.75" thickBot="1" x14ac:dyDescent="0.3">
      <c r="A162" s="1"/>
      <c r="B162" t="s">
        <v>438</v>
      </c>
      <c r="C162" t="s">
        <v>439</v>
      </c>
      <c r="E162" s="11">
        <v>46</v>
      </c>
      <c r="F162">
        <v>46</v>
      </c>
      <c r="G162">
        <v>48</v>
      </c>
      <c r="H162">
        <v>48</v>
      </c>
      <c r="I162">
        <v>39</v>
      </c>
      <c r="J162">
        <v>44</v>
      </c>
      <c r="K162" s="9">
        <f>AVERAGE(Tableau1[[#This Row],[Lepool.com]:[CBS]])</f>
        <v>45.166666666666664</v>
      </c>
      <c r="L162">
        <f>_xlfn.STDEV.S(Tableau1[[#This Row],[Lepool.com]:[CBS]])</f>
        <v>3.3714487489307423</v>
      </c>
      <c r="M162">
        <f>AVERAGE(E162,G162,H162,I162,Tableau1[[#This Row],[CBS]])</f>
        <v>45</v>
      </c>
      <c r="N162">
        <f>AVERAGE(E162,G162,H162,I162,Tableau1[[#This Row],[CBS]])-Tableau1[[#This Row],[HM]]</f>
        <v>-1</v>
      </c>
    </row>
    <row r="163" spans="1:14" x14ac:dyDescent="0.25">
      <c r="A163" s="1"/>
      <c r="B163" t="s">
        <v>243</v>
      </c>
      <c r="C163" t="s">
        <v>444</v>
      </c>
      <c r="E163" s="11">
        <v>46</v>
      </c>
      <c r="F163">
        <v>45</v>
      </c>
      <c r="G163">
        <v>50</v>
      </c>
      <c r="H163">
        <v>42</v>
      </c>
      <c r="I163">
        <v>46</v>
      </c>
      <c r="J163">
        <v>42</v>
      </c>
      <c r="K163" s="9">
        <f>AVERAGE(Tableau1[[#This Row],[Lepool.com]:[CBS]])</f>
        <v>45.166666666666664</v>
      </c>
      <c r="L163">
        <f>_xlfn.STDEV.S(Tableau1[[#This Row],[Lepool.com]:[CBS]])</f>
        <v>2.9944392908634274</v>
      </c>
      <c r="M163">
        <f>AVERAGE(E163,G163,H163,I163,Tableau1[[#This Row],[CBS]])</f>
        <v>45.2</v>
      </c>
      <c r="N163">
        <f>AVERAGE(E163,G163,H163,I163,Tableau1[[#This Row],[CBS]])-Tableau1[[#This Row],[HM]]</f>
        <v>0.20000000000000284</v>
      </c>
    </row>
    <row r="164" spans="1:14" ht="15.75" thickBot="1" x14ac:dyDescent="0.3">
      <c r="A164" s="2"/>
      <c r="B164" t="s">
        <v>442</v>
      </c>
      <c r="C164" t="s">
        <v>443</v>
      </c>
      <c r="E164" s="11">
        <v>46</v>
      </c>
      <c r="F164">
        <v>44</v>
      </c>
      <c r="G164">
        <v>42</v>
      </c>
      <c r="H164">
        <v>51</v>
      </c>
      <c r="I164">
        <v>43</v>
      </c>
      <c r="J164">
        <v>45</v>
      </c>
      <c r="K164" s="9">
        <f>AVERAGE(Tableau1[[#This Row],[Lepool.com]:[CBS]])</f>
        <v>45.166666666666664</v>
      </c>
      <c r="L164">
        <f>_xlfn.STDEV.S(Tableau1[[#This Row],[Lepool.com]:[CBS]])</f>
        <v>3.1885210782848321</v>
      </c>
      <c r="M164">
        <f>AVERAGE(E164,G164,H164,I164,Tableau1[[#This Row],[CBS]])</f>
        <v>45.4</v>
      </c>
      <c r="N164">
        <f>AVERAGE(E164,G164,H164,I164,Tableau1[[#This Row],[CBS]])-Tableau1[[#This Row],[HM]]</f>
        <v>1.3999999999999986</v>
      </c>
    </row>
    <row r="165" spans="1:14" ht="15.75" thickBot="1" x14ac:dyDescent="0.3">
      <c r="A165" s="1"/>
      <c r="B165" t="s">
        <v>386</v>
      </c>
      <c r="C165" t="s">
        <v>430</v>
      </c>
      <c r="E165" s="11">
        <v>47</v>
      </c>
      <c r="F165">
        <v>43</v>
      </c>
      <c r="G165">
        <v>44</v>
      </c>
      <c r="H165">
        <v>42</v>
      </c>
      <c r="I165">
        <v>50</v>
      </c>
      <c r="J165">
        <v>44</v>
      </c>
      <c r="K165" s="9">
        <f>AVERAGE(Tableau1[[#This Row],[Lepool.com]:[CBS]])</f>
        <v>45</v>
      </c>
      <c r="L165">
        <f>_xlfn.STDEV.S(Tableau1[[#This Row],[Lepool.com]:[CBS]])</f>
        <v>2.9664793948382653</v>
      </c>
      <c r="M165">
        <f>AVERAGE(E165,G165,H165,I165,Tableau1[[#This Row],[CBS]])</f>
        <v>45.4</v>
      </c>
      <c r="N165">
        <f>AVERAGE(E165,G165,H165,I165,Tableau1[[#This Row],[CBS]])-Tableau1[[#This Row],[HM]]</f>
        <v>2.3999999999999986</v>
      </c>
    </row>
    <row r="166" spans="1:14" x14ac:dyDescent="0.25">
      <c r="A166" s="1"/>
      <c r="B166" t="s">
        <v>1242</v>
      </c>
      <c r="C166" t="s">
        <v>1243</v>
      </c>
      <c r="E166" s="11"/>
      <c r="F166">
        <v>41</v>
      </c>
      <c r="G166">
        <v>42</v>
      </c>
      <c r="H166">
        <v>42</v>
      </c>
      <c r="I166">
        <v>47</v>
      </c>
      <c r="J166">
        <v>52</v>
      </c>
      <c r="K166" s="23">
        <f>AVERAGE(Tableau1[[#This Row],[Lepool.com]:[CBS]])</f>
        <v>44.8</v>
      </c>
      <c r="L166" s="24">
        <f>_xlfn.STDEV.S(Tableau1[[#This Row],[Lepool.com]:[CBS]])</f>
        <v>4.658325879540846</v>
      </c>
      <c r="M166" s="24">
        <f>AVERAGE(E166,G166,H166,I166,Tableau1[[#This Row],[CBS]])</f>
        <v>45.75</v>
      </c>
      <c r="N166" s="24">
        <f>AVERAGE(E166,G166,H166,I166,Tableau1[[#This Row],[CBS]])-Tableau1[[#This Row],[HM]]</f>
        <v>4.75</v>
      </c>
    </row>
    <row r="167" spans="1:14" ht="15.75" thickBot="1" x14ac:dyDescent="0.3">
      <c r="A167" s="2"/>
      <c r="B167" t="s">
        <v>231</v>
      </c>
      <c r="C167" t="s">
        <v>1351</v>
      </c>
      <c r="E167" s="11"/>
      <c r="F167">
        <v>46</v>
      </c>
      <c r="G167">
        <v>36</v>
      </c>
      <c r="H167">
        <v>36</v>
      </c>
      <c r="I167">
        <v>52</v>
      </c>
      <c r="J167">
        <v>53</v>
      </c>
      <c r="K167" s="23">
        <f>AVERAGE(Tableau1[[#This Row],[Lepool.com]:[CBS]])</f>
        <v>44.6</v>
      </c>
      <c r="L167" s="24">
        <f>_xlfn.STDEV.S(Tableau1[[#This Row],[Lepool.com]:[CBS]])</f>
        <v>8.2945765413311001</v>
      </c>
      <c r="M167" s="24">
        <f>AVERAGE(E167,G167,H167,I167,Tableau1[[#This Row],[CBS]])</f>
        <v>44.25</v>
      </c>
      <c r="N167" s="24">
        <f>AVERAGE(E167,G167,H167,I167,Tableau1[[#This Row],[CBS]])-Tableau1[[#This Row],[HM]]</f>
        <v>-1.75</v>
      </c>
    </row>
    <row r="168" spans="1:14" ht="15.75" thickBot="1" x14ac:dyDescent="0.3">
      <c r="A168" s="1"/>
      <c r="B168" t="s">
        <v>409</v>
      </c>
      <c r="C168" t="s">
        <v>410</v>
      </c>
      <c r="E168" s="11">
        <v>49</v>
      </c>
      <c r="F168">
        <v>44</v>
      </c>
      <c r="G168">
        <v>48</v>
      </c>
      <c r="H168">
        <v>41</v>
      </c>
      <c r="J168">
        <v>41</v>
      </c>
      <c r="K168" s="9">
        <f>AVERAGE(Tableau1[[#This Row],[Lepool.com]:[CBS]])</f>
        <v>44.6</v>
      </c>
      <c r="L168">
        <f>_xlfn.STDEV.S(Tableau1[[#This Row],[Lepool.com]:[CBS]])</f>
        <v>3.7815340802378072</v>
      </c>
      <c r="M168">
        <f>AVERAGE(E168,G168,H168,I168,Tableau1[[#This Row],[CBS]])</f>
        <v>44.75</v>
      </c>
      <c r="N168">
        <f>AVERAGE(E168,G168,H168,I168,Tableau1[[#This Row],[CBS]])-Tableau1[[#This Row],[HM]]</f>
        <v>0.75</v>
      </c>
    </row>
    <row r="169" spans="1:14" x14ac:dyDescent="0.25">
      <c r="A169" s="1"/>
      <c r="B169" t="s">
        <v>333</v>
      </c>
      <c r="C169" t="s">
        <v>1434</v>
      </c>
      <c r="E169" s="11"/>
      <c r="F169">
        <v>42</v>
      </c>
      <c r="G169">
        <v>42</v>
      </c>
      <c r="H169">
        <v>43</v>
      </c>
      <c r="I169">
        <v>46</v>
      </c>
      <c r="J169">
        <v>49</v>
      </c>
      <c r="K169" s="23">
        <f>AVERAGE(Tableau1[[#This Row],[Lepool.com]:[CBS]])</f>
        <v>44.4</v>
      </c>
      <c r="L169" s="24">
        <f>_xlfn.STDEV.S(Tableau1[[#This Row],[Lepool.com]:[CBS]])</f>
        <v>3.0495901363953815</v>
      </c>
      <c r="M169" s="24">
        <f>AVERAGE(E169,G169,H169,I169,Tableau1[[#This Row],[CBS]])</f>
        <v>45</v>
      </c>
      <c r="N169" s="24">
        <f>AVERAGE(E169,G169,H169,I169,Tableau1[[#This Row],[CBS]])-Tableau1[[#This Row],[HM]]</f>
        <v>3</v>
      </c>
    </row>
    <row r="170" spans="1:14" ht="15.75" thickBot="1" x14ac:dyDescent="0.3">
      <c r="A170" s="2"/>
      <c r="B170" t="s">
        <v>1288</v>
      </c>
      <c r="C170" t="s">
        <v>1289</v>
      </c>
      <c r="E170" s="11"/>
      <c r="F170">
        <v>48</v>
      </c>
      <c r="H170">
        <v>49</v>
      </c>
      <c r="J170">
        <v>36</v>
      </c>
      <c r="K170" s="23">
        <f>AVERAGE(Tableau1[[#This Row],[Lepool.com]:[CBS]])</f>
        <v>44.333333333333336</v>
      </c>
      <c r="L170" s="24">
        <f>_xlfn.STDEV.S(Tableau1[[#This Row],[Lepool.com]:[CBS]])</f>
        <v>7.2341781380702459</v>
      </c>
      <c r="M170" s="24">
        <f>AVERAGE(E170,G170,H170,I170,Tableau1[[#This Row],[CBS]])</f>
        <v>42.5</v>
      </c>
      <c r="N170" s="24">
        <f>AVERAGE(E170,G170,H170,I170,Tableau1[[#This Row],[CBS]])-Tableau1[[#This Row],[HM]]</f>
        <v>-5.5</v>
      </c>
    </row>
    <row r="171" spans="1:14" ht="15.75" thickBot="1" x14ac:dyDescent="0.3">
      <c r="A171" s="1"/>
      <c r="B171" t="s">
        <v>402</v>
      </c>
      <c r="C171" t="s">
        <v>1550</v>
      </c>
      <c r="E171" s="11"/>
      <c r="F171">
        <v>45</v>
      </c>
      <c r="I171">
        <v>46</v>
      </c>
      <c r="J171">
        <v>42</v>
      </c>
      <c r="K171" s="23">
        <f>AVERAGE(Tableau1[[#This Row],[Lepool.com]:[CBS]])</f>
        <v>44.333333333333336</v>
      </c>
      <c r="L171" s="24">
        <f>_xlfn.STDEV.S(Tableau1[[#This Row],[Lepool.com]:[CBS]])</f>
        <v>2.0816659994661326</v>
      </c>
      <c r="M171" s="24">
        <f>AVERAGE(E171,G171,H171,I171,Tableau1[[#This Row],[CBS]])</f>
        <v>44</v>
      </c>
      <c r="N171" s="24">
        <f>AVERAGE(E171,G171,H171,I171,Tableau1[[#This Row],[CBS]])-Tableau1[[#This Row],[HM]]</f>
        <v>-1</v>
      </c>
    </row>
    <row r="172" spans="1:14" x14ac:dyDescent="0.25">
      <c r="A172" s="1"/>
      <c r="B172" t="s">
        <v>168</v>
      </c>
      <c r="C172" t="s">
        <v>452</v>
      </c>
      <c r="E172" s="11">
        <v>45</v>
      </c>
      <c r="F172">
        <v>42</v>
      </c>
      <c r="G172">
        <v>45</v>
      </c>
      <c r="J172">
        <v>45</v>
      </c>
      <c r="K172" s="9">
        <f>AVERAGE(Tableau1[[#This Row],[Lepool.com]:[CBS]])</f>
        <v>44.25</v>
      </c>
      <c r="L172">
        <f>_xlfn.STDEV.S(Tableau1[[#This Row],[Lepool.com]:[CBS]])</f>
        <v>1.5</v>
      </c>
      <c r="M172">
        <f>AVERAGE(E172,G172,H172,I172,Tableau1[[#This Row],[CBS]])</f>
        <v>45</v>
      </c>
      <c r="N172">
        <f>AVERAGE(E172,G172,H172,I172,Tableau1[[#This Row],[CBS]])-Tableau1[[#This Row],[HM]]</f>
        <v>3</v>
      </c>
    </row>
    <row r="173" spans="1:14" ht="15.75" thickBot="1" x14ac:dyDescent="0.3">
      <c r="A173" s="2"/>
      <c r="B173" t="s">
        <v>233</v>
      </c>
      <c r="C173" t="s">
        <v>1436</v>
      </c>
      <c r="E173" s="11"/>
      <c r="F173">
        <v>42</v>
      </c>
      <c r="G173">
        <v>47</v>
      </c>
      <c r="H173">
        <v>44</v>
      </c>
      <c r="I173">
        <v>39</v>
      </c>
      <c r="J173">
        <v>49</v>
      </c>
      <c r="K173" s="23">
        <f>AVERAGE(Tableau1[[#This Row],[Lepool.com]:[CBS]])</f>
        <v>44.2</v>
      </c>
      <c r="L173" s="24">
        <f>_xlfn.STDEV.S(Tableau1[[#This Row],[Lepool.com]:[CBS]])</f>
        <v>3.9623225512317899</v>
      </c>
      <c r="M173" s="24">
        <f>AVERAGE(E173,G173,H173,I173,Tableau1[[#This Row],[CBS]])</f>
        <v>44.75</v>
      </c>
      <c r="N173" s="24">
        <f>AVERAGE(E173,G173,H173,I173,Tableau1[[#This Row],[CBS]])-Tableau1[[#This Row],[HM]]</f>
        <v>2.75</v>
      </c>
    </row>
    <row r="174" spans="1:14" ht="15.75" thickBot="1" x14ac:dyDescent="0.3">
      <c r="A174" s="1"/>
      <c r="B174" t="s">
        <v>413</v>
      </c>
      <c r="C174" t="s">
        <v>414</v>
      </c>
      <c r="E174" s="11">
        <v>49</v>
      </c>
      <c r="F174">
        <v>41</v>
      </c>
      <c r="G174">
        <v>41</v>
      </c>
      <c r="H174">
        <v>43</v>
      </c>
      <c r="I174">
        <v>45</v>
      </c>
      <c r="J174">
        <v>45</v>
      </c>
      <c r="K174" s="9">
        <f>AVERAGE(Tableau1[[#This Row],[Lepool.com]:[CBS]])</f>
        <v>44</v>
      </c>
      <c r="L174">
        <f>_xlfn.STDEV.S(Tableau1[[#This Row],[Lepool.com]:[CBS]])</f>
        <v>3.03315017762062</v>
      </c>
      <c r="M174">
        <f>AVERAGE(E174,G174,H174,I174,Tableau1[[#This Row],[CBS]])</f>
        <v>44.6</v>
      </c>
      <c r="N174">
        <f>AVERAGE(E174,G174,H174,I174,Tableau1[[#This Row],[CBS]])-Tableau1[[#This Row],[HM]]</f>
        <v>3.6000000000000014</v>
      </c>
    </row>
    <row r="175" spans="1:14" x14ac:dyDescent="0.25">
      <c r="A175" s="1"/>
      <c r="B175" t="s">
        <v>453</v>
      </c>
      <c r="C175" t="s">
        <v>454</v>
      </c>
      <c r="E175" s="11">
        <v>45</v>
      </c>
      <c r="F175">
        <v>47</v>
      </c>
      <c r="G175">
        <v>45</v>
      </c>
      <c r="H175">
        <v>46</v>
      </c>
      <c r="I175">
        <v>41</v>
      </c>
      <c r="J175">
        <v>39</v>
      </c>
      <c r="K175" s="9">
        <f>AVERAGE(Tableau1[[#This Row],[Lepool.com]:[CBS]])</f>
        <v>43.833333333333336</v>
      </c>
      <c r="L175">
        <f>_xlfn.STDEV.S(Tableau1[[#This Row],[Lepool.com]:[CBS]])</f>
        <v>3.1251666622224592</v>
      </c>
      <c r="M175">
        <f>AVERAGE(E175,G175,H175,I175,Tableau1[[#This Row],[CBS]])</f>
        <v>43.2</v>
      </c>
      <c r="N175">
        <f>AVERAGE(E175,G175,H175,I175,Tableau1[[#This Row],[CBS]])-Tableau1[[#This Row],[HM]]</f>
        <v>-3.7999999999999972</v>
      </c>
    </row>
    <row r="176" spans="1:14" ht="15.75" thickBot="1" x14ac:dyDescent="0.3">
      <c r="A176" s="2"/>
      <c r="B176" t="s">
        <v>445</v>
      </c>
      <c r="C176" t="s">
        <v>446</v>
      </c>
      <c r="E176" s="11">
        <v>46</v>
      </c>
      <c r="F176">
        <v>40</v>
      </c>
      <c r="G176">
        <v>39</v>
      </c>
      <c r="H176">
        <v>47</v>
      </c>
      <c r="J176">
        <v>47</v>
      </c>
      <c r="K176" s="9">
        <f>AVERAGE(Tableau1[[#This Row],[Lepool.com]:[CBS]])</f>
        <v>43.8</v>
      </c>
      <c r="L176">
        <f>_xlfn.STDEV.S(Tableau1[[#This Row],[Lepool.com]:[CBS]])</f>
        <v>3.9623225512317899</v>
      </c>
      <c r="M176">
        <f>AVERAGE(E176,G176,H176,I176,Tableau1[[#This Row],[CBS]])</f>
        <v>44.75</v>
      </c>
      <c r="N176">
        <f>AVERAGE(E176,G176,H176,I176,Tableau1[[#This Row],[CBS]])-Tableau1[[#This Row],[HM]]</f>
        <v>4.75</v>
      </c>
    </row>
    <row r="177" spans="1:14" x14ac:dyDescent="0.25">
      <c r="A177" s="1"/>
      <c r="B177" t="s">
        <v>233</v>
      </c>
      <c r="C177" t="s">
        <v>418</v>
      </c>
      <c r="E177" s="11">
        <v>48</v>
      </c>
      <c r="F177">
        <v>47</v>
      </c>
      <c r="G177">
        <v>45</v>
      </c>
      <c r="H177">
        <v>40</v>
      </c>
      <c r="I177">
        <v>41</v>
      </c>
      <c r="J177">
        <v>41</v>
      </c>
      <c r="K177" s="9">
        <f>AVERAGE(Tableau1[[#This Row],[Lepool.com]:[CBS]])</f>
        <v>43.666666666666664</v>
      </c>
      <c r="L177">
        <f>_xlfn.STDEV.S(Tableau1[[#This Row],[Lepool.com]:[CBS]])</f>
        <v>3.4448028487370173</v>
      </c>
      <c r="M177">
        <f>AVERAGE(E177,G177,H177,I177,Tableau1[[#This Row],[CBS]])</f>
        <v>43</v>
      </c>
      <c r="N177">
        <f>AVERAGE(E177,G177,H177,I177,Tableau1[[#This Row],[CBS]])-Tableau1[[#This Row],[HM]]</f>
        <v>-4</v>
      </c>
    </row>
    <row r="178" spans="1:14" x14ac:dyDescent="0.25">
      <c r="A178" s="2"/>
      <c r="B178" t="s">
        <v>1231</v>
      </c>
      <c r="C178" t="s">
        <v>1232</v>
      </c>
      <c r="E178" s="11"/>
      <c r="F178">
        <v>43</v>
      </c>
      <c r="G178">
        <v>42</v>
      </c>
      <c r="H178">
        <v>41</v>
      </c>
      <c r="J178">
        <v>48</v>
      </c>
      <c r="K178" s="23">
        <f>AVERAGE(Tableau1[[#This Row],[Lepool.com]:[CBS]])</f>
        <v>43.5</v>
      </c>
      <c r="L178" s="24">
        <f>_xlfn.STDEV.S(Tableau1[[#This Row],[Lepool.com]:[CBS]])</f>
        <v>3.1091263510296048</v>
      </c>
      <c r="M178" s="24">
        <f>AVERAGE(E178,G178,H178,I178,Tableau1[[#This Row],[CBS]])</f>
        <v>43.666666666666664</v>
      </c>
      <c r="N178" s="24">
        <f>AVERAGE(E178,G178,H178,I178,Tableau1[[#This Row],[CBS]])-Tableau1[[#This Row],[HM]]</f>
        <v>0.6666666666666643</v>
      </c>
    </row>
    <row r="179" spans="1:14" x14ac:dyDescent="0.25">
      <c r="A179" s="2"/>
      <c r="B179" t="s">
        <v>455</v>
      </c>
      <c r="C179" t="s">
        <v>456</v>
      </c>
      <c r="E179" s="11">
        <v>44</v>
      </c>
      <c r="F179">
        <v>44</v>
      </c>
      <c r="G179">
        <v>44</v>
      </c>
      <c r="H179">
        <v>38</v>
      </c>
      <c r="J179">
        <v>47</v>
      </c>
      <c r="K179" s="9">
        <f>AVERAGE(Tableau1[[#This Row],[Lepool.com]:[CBS]])</f>
        <v>43.4</v>
      </c>
      <c r="L179">
        <f>_xlfn.STDEV.S(Tableau1[[#This Row],[Lepool.com]:[CBS]])</f>
        <v>3.2863353450309969</v>
      </c>
      <c r="M179">
        <f>AVERAGE(E179,G179,H179,I179,Tableau1[[#This Row],[CBS]])</f>
        <v>43.25</v>
      </c>
      <c r="N179">
        <f>AVERAGE(E179,G179,H179,I179,Tableau1[[#This Row],[CBS]])-Tableau1[[#This Row],[HM]]</f>
        <v>-0.75</v>
      </c>
    </row>
    <row r="180" spans="1:14" x14ac:dyDescent="0.25">
      <c r="A180" s="2"/>
      <c r="B180" t="s">
        <v>286</v>
      </c>
      <c r="C180" t="s">
        <v>395</v>
      </c>
      <c r="E180" s="11">
        <v>50</v>
      </c>
      <c r="F180">
        <v>39</v>
      </c>
      <c r="H180">
        <v>50</v>
      </c>
      <c r="I180">
        <v>43</v>
      </c>
      <c r="J180">
        <v>35</v>
      </c>
      <c r="K180" s="9">
        <f>AVERAGE(Tableau1[[#This Row],[Lepool.com]:[CBS]])</f>
        <v>43.4</v>
      </c>
      <c r="L180">
        <f>_xlfn.STDEV.S(Tableau1[[#This Row],[Lepool.com]:[CBS]])</f>
        <v>6.6558245169175079</v>
      </c>
      <c r="M180">
        <f>AVERAGE(E180,G180,H180,I180,Tableau1[[#This Row],[CBS]])</f>
        <v>44.5</v>
      </c>
      <c r="N180">
        <f>AVERAGE(E180,G180,H180,I180,Tableau1[[#This Row],[CBS]])-Tableau1[[#This Row],[HM]]</f>
        <v>5.5</v>
      </c>
    </row>
    <row r="181" spans="1:14" x14ac:dyDescent="0.25">
      <c r="A181" s="2"/>
      <c r="B181" t="s">
        <v>1373</v>
      </c>
      <c r="C181" t="s">
        <v>1374</v>
      </c>
      <c r="E181" s="11"/>
      <c r="F181">
        <v>40</v>
      </c>
      <c r="G181">
        <v>49</v>
      </c>
      <c r="H181">
        <v>43</v>
      </c>
      <c r="J181">
        <v>41</v>
      </c>
      <c r="K181" s="23">
        <f>AVERAGE(Tableau1[[#This Row],[Lepool.com]:[CBS]])</f>
        <v>43.25</v>
      </c>
      <c r="L181" s="24">
        <f>_xlfn.STDEV.S(Tableau1[[#This Row],[Lepool.com]:[CBS]])</f>
        <v>4.0311288741492746</v>
      </c>
      <c r="M181" s="24">
        <f>AVERAGE(E181,G181,H181,I181,Tableau1[[#This Row],[CBS]])</f>
        <v>44.333333333333336</v>
      </c>
      <c r="N181" s="24">
        <f>AVERAGE(E181,G181,H181,I181,Tableau1[[#This Row],[CBS]])-Tableau1[[#This Row],[HM]]</f>
        <v>4.3333333333333357</v>
      </c>
    </row>
    <row r="182" spans="1:14" x14ac:dyDescent="0.25">
      <c r="A182" s="2"/>
      <c r="B182" t="s">
        <v>431</v>
      </c>
      <c r="C182" t="s">
        <v>448</v>
      </c>
      <c r="E182" s="11">
        <v>46</v>
      </c>
      <c r="F182">
        <v>44</v>
      </c>
      <c r="G182">
        <v>42</v>
      </c>
      <c r="H182">
        <v>39</v>
      </c>
      <c r="I182">
        <v>47</v>
      </c>
      <c r="J182">
        <v>41</v>
      </c>
      <c r="K182" s="9">
        <f>AVERAGE(Tableau1[[#This Row],[Lepool.com]:[CBS]])</f>
        <v>43.166666666666664</v>
      </c>
      <c r="L182">
        <f>_xlfn.STDEV.S(Tableau1[[#This Row],[Lepool.com]:[CBS]])</f>
        <v>3.0605010483034745</v>
      </c>
      <c r="M182">
        <f>AVERAGE(E182,G182,H182,I182,Tableau1[[#This Row],[CBS]])</f>
        <v>43</v>
      </c>
      <c r="N182">
        <f>AVERAGE(E182,G182,H182,I182,Tableau1[[#This Row],[CBS]])-Tableau1[[#This Row],[HM]]</f>
        <v>-1</v>
      </c>
    </row>
    <row r="183" spans="1:14" x14ac:dyDescent="0.25">
      <c r="A183" s="2"/>
      <c r="B183" t="s">
        <v>1536</v>
      </c>
      <c r="C183" t="s">
        <v>1537</v>
      </c>
      <c r="E183" s="11"/>
      <c r="F183">
        <v>45</v>
      </c>
      <c r="G183">
        <v>45</v>
      </c>
      <c r="H183">
        <v>42</v>
      </c>
      <c r="I183">
        <v>44</v>
      </c>
      <c r="J183">
        <v>39</v>
      </c>
      <c r="K183" s="23">
        <f>AVERAGE(Tableau1[[#This Row],[Lepool.com]:[CBS]])</f>
        <v>43</v>
      </c>
      <c r="L183" s="24">
        <f>_xlfn.STDEV.S(Tableau1[[#This Row],[Lepool.com]:[CBS]])</f>
        <v>2.5495097567963922</v>
      </c>
      <c r="M183" s="24">
        <f>AVERAGE(E183,G183,H183,I183,Tableau1[[#This Row],[CBS]])</f>
        <v>42.5</v>
      </c>
      <c r="N183" s="24">
        <f>AVERAGE(E183,G183,H183,I183,Tableau1[[#This Row],[CBS]])-Tableau1[[#This Row],[HM]]</f>
        <v>-2.5</v>
      </c>
    </row>
    <row r="184" spans="1:14" x14ac:dyDescent="0.25">
      <c r="A184" s="2"/>
      <c r="B184" t="s">
        <v>222</v>
      </c>
      <c r="C184" t="s">
        <v>1517</v>
      </c>
      <c r="E184" s="11"/>
      <c r="F184">
        <v>42</v>
      </c>
      <c r="G184">
        <v>41</v>
      </c>
      <c r="H184">
        <v>45</v>
      </c>
      <c r="I184">
        <v>37</v>
      </c>
      <c r="J184">
        <v>50</v>
      </c>
      <c r="K184" s="23">
        <f>AVERAGE(Tableau1[[#This Row],[Lepool.com]:[CBS]])</f>
        <v>43</v>
      </c>
      <c r="L184" s="24">
        <f>_xlfn.STDEV.S(Tableau1[[#This Row],[Lepool.com]:[CBS]])</f>
        <v>4.8476798574163293</v>
      </c>
      <c r="M184" s="24">
        <f>AVERAGE(E184,G184,H184,I184,Tableau1[[#This Row],[CBS]])</f>
        <v>43.25</v>
      </c>
      <c r="N184" s="24">
        <f>AVERAGE(E184,G184,H184,I184,Tableau1[[#This Row],[CBS]])-Tableau1[[#This Row],[HM]]</f>
        <v>1.25</v>
      </c>
    </row>
    <row r="185" spans="1:14" x14ac:dyDescent="0.25">
      <c r="A185" s="2"/>
      <c r="B185" t="s">
        <v>376</v>
      </c>
      <c r="C185" t="s">
        <v>377</v>
      </c>
      <c r="E185" s="11">
        <v>51</v>
      </c>
      <c r="F185">
        <v>41</v>
      </c>
      <c r="G185">
        <v>37</v>
      </c>
      <c r="H185">
        <v>41</v>
      </c>
      <c r="I185">
        <v>44</v>
      </c>
      <c r="J185">
        <v>44</v>
      </c>
      <c r="K185" s="9">
        <f>AVERAGE(Tableau1[[#This Row],[Lepool.com]:[CBS]])</f>
        <v>43</v>
      </c>
      <c r="L185">
        <f>_xlfn.STDEV.S(Tableau1[[#This Row],[Lepool.com]:[CBS]])</f>
        <v>4.6904157598234297</v>
      </c>
      <c r="M185">
        <f>AVERAGE(E185,G185,H185,I185,Tableau1[[#This Row],[CBS]])</f>
        <v>43.4</v>
      </c>
      <c r="N185">
        <f>AVERAGE(E185,G185,H185,I185,Tableau1[[#This Row],[CBS]])-Tableau1[[#This Row],[HM]]</f>
        <v>2.3999999999999986</v>
      </c>
    </row>
    <row r="186" spans="1:14" x14ac:dyDescent="0.25">
      <c r="A186" s="2"/>
      <c r="B186" t="s">
        <v>449</v>
      </c>
      <c r="C186" t="s">
        <v>450</v>
      </c>
      <c r="E186" s="11">
        <v>45</v>
      </c>
      <c r="F186">
        <v>39</v>
      </c>
      <c r="G186">
        <v>43</v>
      </c>
      <c r="H186">
        <v>40</v>
      </c>
      <c r="I186">
        <v>43</v>
      </c>
      <c r="J186">
        <v>47</v>
      </c>
      <c r="K186" s="9">
        <f>AVERAGE(Tableau1[[#This Row],[Lepool.com]:[CBS]])</f>
        <v>42.833333333333336</v>
      </c>
      <c r="L186">
        <f>_xlfn.STDEV.S(Tableau1[[#This Row],[Lepool.com]:[CBS]])</f>
        <v>2.9944392908634274</v>
      </c>
      <c r="M186">
        <f>AVERAGE(E186,G186,H186,I186,Tableau1[[#This Row],[CBS]])</f>
        <v>43.6</v>
      </c>
      <c r="N186">
        <f>AVERAGE(E186,G186,H186,I186,Tableau1[[#This Row],[CBS]])-Tableau1[[#This Row],[HM]]</f>
        <v>4.6000000000000014</v>
      </c>
    </row>
    <row r="187" spans="1:14" x14ac:dyDescent="0.25">
      <c r="A187" s="2"/>
      <c r="B187" t="s">
        <v>379</v>
      </c>
      <c r="C187" t="s">
        <v>380</v>
      </c>
      <c r="E187" s="11">
        <v>51</v>
      </c>
      <c r="F187">
        <v>40</v>
      </c>
      <c r="H187">
        <v>46</v>
      </c>
      <c r="J187">
        <v>34</v>
      </c>
      <c r="K187" s="9">
        <f>AVERAGE(Tableau1[[#This Row],[Lepool.com]:[CBS]])</f>
        <v>42.75</v>
      </c>
      <c r="L187">
        <f>_xlfn.STDEV.S(Tableau1[[#This Row],[Lepool.com]:[CBS]])</f>
        <v>7.3654599313281173</v>
      </c>
      <c r="M187">
        <f>AVERAGE(E187,G187,H187,I187,Tableau1[[#This Row],[CBS]])</f>
        <v>43.666666666666664</v>
      </c>
      <c r="N187">
        <f>AVERAGE(E187,G187,H187,I187,Tableau1[[#This Row],[CBS]])-Tableau1[[#This Row],[HM]]</f>
        <v>3.6666666666666643</v>
      </c>
    </row>
    <row r="188" spans="1:14" x14ac:dyDescent="0.25">
      <c r="A188" s="2"/>
      <c r="B188" t="s">
        <v>231</v>
      </c>
      <c r="C188" t="s">
        <v>447</v>
      </c>
      <c r="E188" s="11">
        <v>46</v>
      </c>
      <c r="F188">
        <v>40</v>
      </c>
      <c r="G188">
        <v>44</v>
      </c>
      <c r="H188">
        <v>41</v>
      </c>
      <c r="J188">
        <v>42</v>
      </c>
      <c r="K188" s="9">
        <f>AVERAGE(Tableau1[[#This Row],[Lepool.com]:[CBS]])</f>
        <v>42.6</v>
      </c>
      <c r="L188">
        <f>_xlfn.STDEV.S(Tableau1[[#This Row],[Lepool.com]:[CBS]])</f>
        <v>2.4083189157584592</v>
      </c>
      <c r="M188">
        <f>AVERAGE(E188,G188,H188,I188,Tableau1[[#This Row],[CBS]])</f>
        <v>43.25</v>
      </c>
      <c r="N188">
        <f>AVERAGE(E188,G188,H188,I188,Tableau1[[#This Row],[CBS]])-Tableau1[[#This Row],[HM]]</f>
        <v>3.25</v>
      </c>
    </row>
    <row r="189" spans="1:14" x14ac:dyDescent="0.25">
      <c r="A189" s="2"/>
      <c r="B189" t="s">
        <v>1455</v>
      </c>
      <c r="C189" t="s">
        <v>1456</v>
      </c>
      <c r="E189" s="11"/>
      <c r="F189">
        <v>45</v>
      </c>
      <c r="G189">
        <v>41</v>
      </c>
      <c r="H189">
        <v>43</v>
      </c>
      <c r="J189">
        <v>39</v>
      </c>
      <c r="K189" s="23">
        <f>AVERAGE(Tableau1[[#This Row],[Lepool.com]:[CBS]])</f>
        <v>42</v>
      </c>
      <c r="L189" s="24">
        <f>_xlfn.STDEV.S(Tableau1[[#This Row],[Lepool.com]:[CBS]])</f>
        <v>2.5819888974716112</v>
      </c>
      <c r="M189" s="24">
        <f>AVERAGE(E189,G189,H189,I189,Tableau1[[#This Row],[CBS]])</f>
        <v>41</v>
      </c>
      <c r="N189" s="24">
        <f>AVERAGE(E189,G189,H189,I189,Tableau1[[#This Row],[CBS]])-Tableau1[[#This Row],[HM]]</f>
        <v>-4</v>
      </c>
    </row>
    <row r="190" spans="1:14" x14ac:dyDescent="0.25">
      <c r="A190" s="2"/>
      <c r="B190" t="s">
        <v>166</v>
      </c>
      <c r="C190" t="s">
        <v>1261</v>
      </c>
      <c r="E190" s="11"/>
      <c r="F190">
        <v>44</v>
      </c>
      <c r="G190">
        <v>42</v>
      </c>
      <c r="H190">
        <v>39</v>
      </c>
      <c r="J190">
        <v>43</v>
      </c>
      <c r="K190" s="23">
        <f>AVERAGE(Tableau1[[#This Row],[Lepool.com]:[CBS]])</f>
        <v>42</v>
      </c>
      <c r="L190" s="24">
        <f>_xlfn.STDEV.S(Tableau1[[#This Row],[Lepool.com]:[CBS]])</f>
        <v>2.1602468994692869</v>
      </c>
      <c r="M190" s="24">
        <f>AVERAGE(E190,G190,H190,I190,Tableau1[[#This Row],[CBS]])</f>
        <v>41.333333333333336</v>
      </c>
      <c r="N190" s="24">
        <f>AVERAGE(E190,G190,H190,I190,Tableau1[[#This Row],[CBS]])-Tableau1[[#This Row],[HM]]</f>
        <v>-2.6666666666666643</v>
      </c>
    </row>
    <row r="191" spans="1:14" x14ac:dyDescent="0.25">
      <c r="A191" s="2"/>
      <c r="B191" t="s">
        <v>1353</v>
      </c>
      <c r="C191" t="s">
        <v>1354</v>
      </c>
      <c r="E191" s="11"/>
      <c r="F191">
        <v>43</v>
      </c>
      <c r="G191">
        <v>44</v>
      </c>
      <c r="H191">
        <v>31</v>
      </c>
      <c r="I191">
        <v>41</v>
      </c>
      <c r="J191">
        <v>51</v>
      </c>
      <c r="K191" s="23">
        <f>AVERAGE(Tableau1[[#This Row],[Lepool.com]:[CBS]])</f>
        <v>42</v>
      </c>
      <c r="L191" s="24">
        <f>_xlfn.STDEV.S(Tableau1[[#This Row],[Lepool.com]:[CBS]])</f>
        <v>7.2111025509279782</v>
      </c>
      <c r="M191" s="24">
        <f>AVERAGE(E191,G191,H191,I191,Tableau1[[#This Row],[CBS]])</f>
        <v>41.75</v>
      </c>
      <c r="N191" s="24">
        <f>AVERAGE(E191,G191,H191,I191,Tableau1[[#This Row],[CBS]])-Tableau1[[#This Row],[HM]]</f>
        <v>-1.25</v>
      </c>
    </row>
    <row r="192" spans="1:14" x14ac:dyDescent="0.25">
      <c r="A192" s="2"/>
      <c r="B192" t="s">
        <v>1688</v>
      </c>
      <c r="C192" t="s">
        <v>1686</v>
      </c>
      <c r="E192" s="11"/>
      <c r="F192">
        <v>40</v>
      </c>
      <c r="G192">
        <v>44</v>
      </c>
      <c r="K192" s="23">
        <f>AVERAGE(Tableau1[[#This Row],[Lepool.com]:[CBS]])</f>
        <v>42</v>
      </c>
      <c r="L192" s="24">
        <f>_xlfn.STDEV.S(Tableau1[[#This Row],[Lepool.com]:[CBS]])</f>
        <v>2.8284271247461903</v>
      </c>
      <c r="M192" s="24">
        <f>AVERAGE(E192,G192,H192,I192,Tableau1[[#This Row],[CBS]])</f>
        <v>44</v>
      </c>
      <c r="N192" s="24">
        <f>AVERAGE(E192,G192,H192,I192,Tableau1[[#This Row],[CBS]])-Tableau1[[#This Row],[HM]]</f>
        <v>4</v>
      </c>
    </row>
    <row r="193" spans="1:14" x14ac:dyDescent="0.25">
      <c r="A193" s="2"/>
      <c r="B193" t="s">
        <v>431</v>
      </c>
      <c r="C193" t="s">
        <v>1553</v>
      </c>
      <c r="E193" s="11"/>
      <c r="F193">
        <v>45</v>
      </c>
      <c r="G193">
        <v>43</v>
      </c>
      <c r="H193">
        <v>45</v>
      </c>
      <c r="I193">
        <v>35</v>
      </c>
      <c r="J193">
        <v>40</v>
      </c>
      <c r="K193" s="23">
        <f>AVERAGE(Tableau1[[#This Row],[Lepool.com]:[CBS]])</f>
        <v>41.6</v>
      </c>
      <c r="L193" s="24">
        <f>_xlfn.STDEV.S(Tableau1[[#This Row],[Lepool.com]:[CBS]])</f>
        <v>4.2190046219457971</v>
      </c>
      <c r="M193" s="24">
        <f>AVERAGE(E193,G193,H193,I193,Tableau1[[#This Row],[CBS]])</f>
        <v>40.75</v>
      </c>
      <c r="N193" s="24">
        <f>AVERAGE(E193,G193,H193,I193,Tableau1[[#This Row],[CBS]])-Tableau1[[#This Row],[HM]]</f>
        <v>-4.25</v>
      </c>
    </row>
    <row r="194" spans="1:14" x14ac:dyDescent="0.25">
      <c r="A194" s="2"/>
      <c r="B194" t="s">
        <v>436</v>
      </c>
      <c r="C194" t="s">
        <v>437</v>
      </c>
      <c r="E194" s="11">
        <v>46</v>
      </c>
      <c r="F194">
        <v>42</v>
      </c>
      <c r="G194">
        <v>42</v>
      </c>
      <c r="H194">
        <v>47</v>
      </c>
      <c r="I194">
        <v>39</v>
      </c>
      <c r="J194">
        <v>33</v>
      </c>
      <c r="K194" s="9">
        <f>AVERAGE(Tableau1[[#This Row],[Lepool.com]:[CBS]])</f>
        <v>41.5</v>
      </c>
      <c r="L194">
        <f>_xlfn.STDEV.S(Tableau1[[#This Row],[Lepool.com]:[CBS]])</f>
        <v>5.0892042599997884</v>
      </c>
      <c r="M194">
        <f>AVERAGE(E194,G194,H194,I194,Tableau1[[#This Row],[CBS]])</f>
        <v>41.4</v>
      </c>
      <c r="N194">
        <f>AVERAGE(E194,G194,H194,I194,Tableau1[[#This Row],[CBS]])-Tableau1[[#This Row],[HM]]</f>
        <v>-0.60000000000000142</v>
      </c>
    </row>
    <row r="195" spans="1:14" x14ac:dyDescent="0.25">
      <c r="A195" s="2"/>
      <c r="B195" t="s">
        <v>431</v>
      </c>
      <c r="C195" t="s">
        <v>432</v>
      </c>
      <c r="E195" s="11">
        <v>47</v>
      </c>
      <c r="F195">
        <v>39</v>
      </c>
      <c r="G195">
        <v>40</v>
      </c>
      <c r="H195">
        <v>40</v>
      </c>
      <c r="J195">
        <v>40</v>
      </c>
      <c r="K195" s="9">
        <f>AVERAGE(Tableau1[[#This Row],[Lepool.com]:[CBS]])</f>
        <v>41.2</v>
      </c>
      <c r="L195">
        <f>_xlfn.STDEV.S(Tableau1[[#This Row],[Lepool.com]:[CBS]])</f>
        <v>3.271085446759225</v>
      </c>
      <c r="M195">
        <f>AVERAGE(E195,G195,H195,I195,Tableau1[[#This Row],[CBS]])</f>
        <v>41.75</v>
      </c>
      <c r="N195">
        <f>AVERAGE(E195,G195,H195,I195,Tableau1[[#This Row],[CBS]])-Tableau1[[#This Row],[HM]]</f>
        <v>2.75</v>
      </c>
    </row>
    <row r="196" spans="1:14" x14ac:dyDescent="0.25">
      <c r="A196" s="2"/>
      <c r="B196" t="s">
        <v>1371</v>
      </c>
      <c r="C196" t="s">
        <v>1372</v>
      </c>
      <c r="E196" s="11"/>
      <c r="F196">
        <v>43</v>
      </c>
      <c r="G196">
        <v>43</v>
      </c>
      <c r="H196">
        <v>40</v>
      </c>
      <c r="J196">
        <v>38</v>
      </c>
      <c r="K196" s="23">
        <f>AVERAGE(Tableau1[[#This Row],[Lepool.com]:[CBS]])</f>
        <v>41</v>
      </c>
      <c r="L196" s="24">
        <f>_xlfn.STDEV.S(Tableau1[[#This Row],[Lepool.com]:[CBS]])</f>
        <v>2.4494897427831779</v>
      </c>
      <c r="M196" s="24">
        <f>AVERAGE(E196,G196,H196,I196,Tableau1[[#This Row],[CBS]])</f>
        <v>40.333333333333336</v>
      </c>
      <c r="N196" s="24">
        <f>AVERAGE(E196,G196,H196,I196,Tableau1[[#This Row],[CBS]])-Tableau1[[#This Row],[HM]]</f>
        <v>-2.6666666666666643</v>
      </c>
    </row>
    <row r="197" spans="1:14" x14ac:dyDescent="0.25">
      <c r="A197" s="2"/>
      <c r="B197" t="s">
        <v>349</v>
      </c>
      <c r="C197" t="s">
        <v>1370</v>
      </c>
      <c r="E197" s="11"/>
      <c r="F197">
        <v>41</v>
      </c>
      <c r="G197">
        <v>42</v>
      </c>
      <c r="J197">
        <v>40</v>
      </c>
      <c r="K197" s="23">
        <f>AVERAGE(Tableau1[[#This Row],[Lepool.com]:[CBS]])</f>
        <v>41</v>
      </c>
      <c r="L197" s="24">
        <f>_xlfn.STDEV.S(Tableau1[[#This Row],[Lepool.com]:[CBS]])</f>
        <v>1</v>
      </c>
      <c r="M197" s="24">
        <f>AVERAGE(E197,G197,H197,I197,Tableau1[[#This Row],[CBS]])</f>
        <v>41</v>
      </c>
      <c r="N197" s="24">
        <f>AVERAGE(E197,G197,H197,I197,Tableau1[[#This Row],[CBS]])-Tableau1[[#This Row],[HM]]</f>
        <v>0</v>
      </c>
    </row>
    <row r="198" spans="1:14" x14ac:dyDescent="0.25">
      <c r="A198" s="2"/>
      <c r="B198" t="s">
        <v>1264</v>
      </c>
      <c r="C198" t="s">
        <v>1265</v>
      </c>
      <c r="E198" s="11"/>
      <c r="F198">
        <v>41</v>
      </c>
      <c r="G198">
        <v>36</v>
      </c>
      <c r="H198">
        <v>51</v>
      </c>
      <c r="I198">
        <v>40</v>
      </c>
      <c r="J198">
        <v>36</v>
      </c>
      <c r="K198" s="23">
        <f>AVERAGE(Tableau1[[#This Row],[Lepool.com]:[CBS]])</f>
        <v>40.799999999999997</v>
      </c>
      <c r="L198" s="24">
        <f>_xlfn.STDEV.S(Tableau1[[#This Row],[Lepool.com]:[CBS]])</f>
        <v>6.1400325732034853</v>
      </c>
      <c r="M198" s="24">
        <f>AVERAGE(E198,G198,H198,I198,Tableau1[[#This Row],[CBS]])</f>
        <v>40.75</v>
      </c>
      <c r="N198" s="24">
        <f>AVERAGE(E198,G198,H198,I198,Tableau1[[#This Row],[CBS]])-Tableau1[[#This Row],[HM]]</f>
        <v>-0.25</v>
      </c>
    </row>
    <row r="199" spans="1:14" x14ac:dyDescent="0.25">
      <c r="A199" s="2"/>
      <c r="B199" t="s">
        <v>1566</v>
      </c>
      <c r="C199" t="s">
        <v>1567</v>
      </c>
      <c r="E199" s="11"/>
      <c r="F199">
        <v>46</v>
      </c>
      <c r="G199">
        <v>42</v>
      </c>
      <c r="H199">
        <v>39</v>
      </c>
      <c r="J199">
        <v>36</v>
      </c>
      <c r="K199" s="23">
        <f>AVERAGE(Tableau1[[#This Row],[Lepool.com]:[CBS]])</f>
        <v>40.75</v>
      </c>
      <c r="L199" s="24">
        <f>_xlfn.STDEV.S(Tableau1[[#This Row],[Lepool.com]:[CBS]])</f>
        <v>4.2720018726587652</v>
      </c>
      <c r="M199" s="24">
        <f>AVERAGE(E199,G199,H199,I199,Tableau1[[#This Row],[CBS]])</f>
        <v>39</v>
      </c>
      <c r="N199" s="24">
        <f>AVERAGE(E199,G199,H199,I199,Tableau1[[#This Row],[CBS]])-Tableau1[[#This Row],[HM]]</f>
        <v>-7</v>
      </c>
    </row>
    <row r="200" spans="1:14" x14ac:dyDescent="0.25">
      <c r="A200" s="2"/>
      <c r="B200" t="s">
        <v>1388</v>
      </c>
      <c r="C200" t="s">
        <v>1389</v>
      </c>
      <c r="E200" s="11"/>
      <c r="F200">
        <v>47</v>
      </c>
      <c r="H200">
        <v>35</v>
      </c>
      <c r="J200">
        <v>39</v>
      </c>
      <c r="K200" s="23">
        <f>AVERAGE(Tableau1[[#This Row],[Lepool.com]:[CBS]])</f>
        <v>40.333333333333336</v>
      </c>
      <c r="L200" s="24">
        <f>_xlfn.STDEV.S(Tableau1[[#This Row],[Lepool.com]:[CBS]])</f>
        <v>6.1101009266077995</v>
      </c>
      <c r="M200" s="24">
        <f>AVERAGE(E200,G200,H200,I200,Tableau1[[#This Row],[CBS]])</f>
        <v>37</v>
      </c>
      <c r="N200" s="24">
        <f>AVERAGE(E200,G200,H200,I200,Tableau1[[#This Row],[CBS]])-Tableau1[[#This Row],[HM]]</f>
        <v>-10</v>
      </c>
    </row>
    <row r="201" spans="1:14" x14ac:dyDescent="0.25">
      <c r="A201" s="2"/>
      <c r="B201" t="s">
        <v>1410</v>
      </c>
      <c r="C201" t="s">
        <v>1526</v>
      </c>
      <c r="E201" s="11"/>
      <c r="F201">
        <v>42</v>
      </c>
      <c r="G201">
        <v>37</v>
      </c>
      <c r="H201">
        <v>42</v>
      </c>
      <c r="I201">
        <v>39</v>
      </c>
      <c r="J201">
        <v>41</v>
      </c>
      <c r="K201" s="23">
        <f>AVERAGE(Tableau1[[#This Row],[Lepool.com]:[CBS]])</f>
        <v>40.200000000000003</v>
      </c>
      <c r="L201" s="24">
        <f>_xlfn.STDEV.S(Tableau1[[#This Row],[Lepool.com]:[CBS]])</f>
        <v>2.1679483388678804</v>
      </c>
      <c r="M201" s="24">
        <f>AVERAGE(E201,G201,H201,I201,Tableau1[[#This Row],[CBS]])</f>
        <v>39.75</v>
      </c>
      <c r="N201" s="24">
        <f>AVERAGE(E201,G201,H201,I201,Tableau1[[#This Row],[CBS]])-Tableau1[[#This Row],[HM]]</f>
        <v>-2.25</v>
      </c>
    </row>
    <row r="202" spans="1:14" ht="15.75" thickBot="1" x14ac:dyDescent="0.3">
      <c r="A202" s="2"/>
      <c r="B202" t="s">
        <v>1249</v>
      </c>
      <c r="C202" t="s">
        <v>1597</v>
      </c>
      <c r="E202" s="11"/>
      <c r="F202">
        <v>48</v>
      </c>
      <c r="G202">
        <v>35</v>
      </c>
      <c r="H202">
        <v>43</v>
      </c>
      <c r="I202">
        <v>41</v>
      </c>
      <c r="J202">
        <v>32</v>
      </c>
      <c r="K202" s="23">
        <f>AVERAGE(Tableau1[[#This Row],[Lepool.com]:[CBS]])</f>
        <v>39.799999999999997</v>
      </c>
      <c r="L202" s="24">
        <f>_xlfn.STDEV.S(Tableau1[[#This Row],[Lepool.com]:[CBS]])</f>
        <v>6.3796551630946361</v>
      </c>
      <c r="M202" s="24">
        <f>AVERAGE(E202,G202,H202,I202,Tableau1[[#This Row],[CBS]])</f>
        <v>37.75</v>
      </c>
      <c r="N202" s="24">
        <f>AVERAGE(E202,G202,H202,I202,Tableau1[[#This Row],[CBS]])-Tableau1[[#This Row],[HM]]</f>
        <v>-10.25</v>
      </c>
    </row>
    <row r="203" spans="1:14" x14ac:dyDescent="0.25">
      <c r="A203" s="1"/>
      <c r="B203" t="s">
        <v>426</v>
      </c>
      <c r="C203" t="s">
        <v>451</v>
      </c>
      <c r="E203" s="11">
        <v>45</v>
      </c>
      <c r="F203">
        <v>39</v>
      </c>
      <c r="G203">
        <v>38</v>
      </c>
      <c r="H203">
        <v>40</v>
      </c>
      <c r="J203">
        <v>37</v>
      </c>
      <c r="K203" s="9">
        <f>AVERAGE(Tableau1[[#This Row],[Lepool.com]:[CBS]])</f>
        <v>39.799999999999997</v>
      </c>
      <c r="L203">
        <f>_xlfn.STDEV.S(Tableau1[[#This Row],[Lepool.com]:[CBS]])</f>
        <v>3.1144823004794877</v>
      </c>
      <c r="M203">
        <f>AVERAGE(E203,G203,H203,I203,Tableau1[[#This Row],[CBS]])</f>
        <v>40</v>
      </c>
      <c r="N203">
        <f>AVERAGE(E203,G203,H203,I203,Tableau1[[#This Row],[CBS]])-Tableau1[[#This Row],[HM]]</f>
        <v>1</v>
      </c>
    </row>
    <row r="204" spans="1:14" x14ac:dyDescent="0.25">
      <c r="A204" s="2"/>
      <c r="B204" t="s">
        <v>1453</v>
      </c>
      <c r="C204" t="s">
        <v>1454</v>
      </c>
      <c r="E204" s="11"/>
      <c r="F204">
        <v>43</v>
      </c>
      <c r="G204">
        <v>40</v>
      </c>
      <c r="H204">
        <v>36</v>
      </c>
      <c r="J204">
        <v>37</v>
      </c>
      <c r="K204" s="23">
        <f>AVERAGE(Tableau1[[#This Row],[Lepool.com]:[CBS]])</f>
        <v>39</v>
      </c>
      <c r="L204" s="24">
        <f>_xlfn.STDEV.S(Tableau1[[#This Row],[Lepool.com]:[CBS]])</f>
        <v>3.1622776601683795</v>
      </c>
      <c r="M204" s="24">
        <f>AVERAGE(E204,G204,H204,I204,Tableau1[[#This Row],[CBS]])</f>
        <v>37.666666666666664</v>
      </c>
      <c r="N204" s="24">
        <f>AVERAGE(E204,G204,H204,I204,Tableau1[[#This Row],[CBS]])-Tableau1[[#This Row],[HM]]</f>
        <v>-5.3333333333333357</v>
      </c>
    </row>
    <row r="205" spans="1:14" x14ac:dyDescent="0.25">
      <c r="A205" s="2"/>
      <c r="B205" t="s">
        <v>459</v>
      </c>
      <c r="C205" t="s">
        <v>460</v>
      </c>
      <c r="E205" s="11">
        <v>44</v>
      </c>
      <c r="F205">
        <v>38</v>
      </c>
      <c r="G205">
        <v>38</v>
      </c>
      <c r="J205">
        <v>36</v>
      </c>
      <c r="K205" s="9">
        <f>AVERAGE(Tableau1[[#This Row],[Lepool.com]:[CBS]])</f>
        <v>39</v>
      </c>
      <c r="L205">
        <f>_xlfn.STDEV.S(Tableau1[[#This Row],[Lepool.com]:[CBS]])</f>
        <v>3.4641016151377544</v>
      </c>
      <c r="M205">
        <f>AVERAGE(E205,G205,H205,I205,Tableau1[[#This Row],[CBS]])</f>
        <v>39.333333333333336</v>
      </c>
      <c r="N205">
        <f>AVERAGE(E205,G205,H205,I205,Tableau1[[#This Row],[CBS]])-Tableau1[[#This Row],[HM]]</f>
        <v>1.3333333333333357</v>
      </c>
    </row>
    <row r="206" spans="1:14" x14ac:dyDescent="0.25">
      <c r="A206" s="2"/>
      <c r="B206" t="s">
        <v>440</v>
      </c>
      <c r="C206" t="s">
        <v>441</v>
      </c>
      <c r="E206" s="11">
        <v>46</v>
      </c>
      <c r="F206">
        <v>30</v>
      </c>
      <c r="J206">
        <v>37</v>
      </c>
      <c r="K206" s="9">
        <f>AVERAGE(Tableau1[[#This Row],[Lepool.com]:[CBS]])</f>
        <v>37.666666666666664</v>
      </c>
      <c r="L206">
        <f>_xlfn.STDEV.S(Tableau1[[#This Row],[Lepool.com]:[CBS]])</f>
        <v>8.020806277010653</v>
      </c>
      <c r="M206">
        <f>AVERAGE(E206,G206,H206,I206,Tableau1[[#This Row],[CBS]])</f>
        <v>41.5</v>
      </c>
      <c r="N206">
        <f>AVERAGE(E206,G206,H206,I206,Tableau1[[#This Row],[CBS]])-Tableau1[[#This Row],[HM]]</f>
        <v>11.5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topLeftCell="A25" zoomScaleNormal="100" workbookViewId="0">
      <selection activeCell="K41" sqref="K41"/>
    </sheetView>
  </sheetViews>
  <sheetFormatPr baseColWidth="10" defaultColWidth="11.375" defaultRowHeight="15" x14ac:dyDescent="0.25"/>
  <sheetData>
    <row r="1" spans="1:16" x14ac:dyDescent="0.25">
      <c r="A1" t="s">
        <v>462</v>
      </c>
    </row>
    <row r="2" spans="1:16" x14ac:dyDescent="0.25">
      <c r="A2" t="s">
        <v>463</v>
      </c>
    </row>
    <row r="3" spans="1:16" x14ac:dyDescent="0.25">
      <c r="A3" t="s">
        <v>464</v>
      </c>
      <c r="C3" t="s">
        <v>450</v>
      </c>
      <c r="D3">
        <f>VLOOKUP(Manquants!C3,Tableau1[[Nom]:[HM]],4,0)</f>
        <v>39</v>
      </c>
      <c r="I3" t="s">
        <v>154</v>
      </c>
      <c r="J3" t="s">
        <v>1690</v>
      </c>
      <c r="K3" t="s">
        <v>1689</v>
      </c>
      <c r="L3" t="s">
        <v>157</v>
      </c>
      <c r="M3" t="s">
        <v>1691</v>
      </c>
    </row>
    <row r="4" spans="1:16" x14ac:dyDescent="0.25">
      <c r="C4" t="s">
        <v>1349</v>
      </c>
      <c r="D4">
        <f>VLOOKUP(Manquants!C4,Tableau1[[Nom]:[HM]],4,0)</f>
        <v>40</v>
      </c>
      <c r="F4" t="s">
        <v>1349</v>
      </c>
      <c r="G4" t="e">
        <v>#N/A</v>
      </c>
      <c r="I4" t="s">
        <v>231</v>
      </c>
      <c r="J4" t="s">
        <v>1351</v>
      </c>
      <c r="K4">
        <v>52</v>
      </c>
      <c r="L4">
        <v>50</v>
      </c>
      <c r="M4">
        <v>46</v>
      </c>
      <c r="O4">
        <v>52</v>
      </c>
      <c r="P4">
        <v>50</v>
      </c>
    </row>
    <row r="5" spans="1:16" x14ac:dyDescent="0.25">
      <c r="C5" t="s">
        <v>446</v>
      </c>
      <c r="D5">
        <f>VLOOKUP(Manquants!C5,Tableau1[[Nom]:[HM]],4,0)</f>
        <v>40</v>
      </c>
      <c r="F5" t="s">
        <v>1686</v>
      </c>
      <c r="G5" t="e">
        <v>#N/A</v>
      </c>
      <c r="I5" t="s">
        <v>166</v>
      </c>
      <c r="J5" t="s">
        <v>1251</v>
      </c>
      <c r="K5">
        <v>44</v>
      </c>
      <c r="M5">
        <v>45</v>
      </c>
      <c r="O5">
        <v>44</v>
      </c>
    </row>
    <row r="6" spans="1:16" x14ac:dyDescent="0.25">
      <c r="C6" t="s">
        <v>380</v>
      </c>
      <c r="D6">
        <f>VLOOKUP(Manquants!C6,Tableau1[[Nom]:[HM]],4,0)</f>
        <v>40</v>
      </c>
      <c r="F6" t="s">
        <v>1374</v>
      </c>
      <c r="G6" t="e">
        <v>#N/A</v>
      </c>
      <c r="I6" t="s">
        <v>1373</v>
      </c>
      <c r="J6" t="s">
        <v>1374</v>
      </c>
      <c r="K6">
        <v>49</v>
      </c>
      <c r="L6">
        <v>43</v>
      </c>
      <c r="M6">
        <v>40</v>
      </c>
      <c r="O6">
        <v>49</v>
      </c>
      <c r="P6">
        <v>43</v>
      </c>
    </row>
    <row r="7" spans="1:16" x14ac:dyDescent="0.25">
      <c r="C7" t="s">
        <v>1686</v>
      </c>
      <c r="D7">
        <f>VLOOKUP(Manquants!C7,Tableau1[[Nom]:[HM]],4,0)</f>
        <v>40</v>
      </c>
      <c r="F7" t="s">
        <v>1265</v>
      </c>
      <c r="G7" t="e">
        <v>#N/A</v>
      </c>
      <c r="I7" t="s">
        <v>1453</v>
      </c>
      <c r="J7" t="s">
        <v>1454</v>
      </c>
      <c r="K7">
        <v>36</v>
      </c>
      <c r="L7">
        <v>51</v>
      </c>
      <c r="M7">
        <v>43</v>
      </c>
      <c r="O7">
        <v>36</v>
      </c>
      <c r="P7">
        <v>51</v>
      </c>
    </row>
    <row r="8" spans="1:16" x14ac:dyDescent="0.25">
      <c r="C8" t="s">
        <v>1374</v>
      </c>
      <c r="D8">
        <f>VLOOKUP(Manquants!C8,Tableau1[[Nom]:[HM]],4,0)</f>
        <v>40</v>
      </c>
      <c r="F8" t="s">
        <v>1243</v>
      </c>
      <c r="I8" t="s">
        <v>1353</v>
      </c>
      <c r="J8" t="s">
        <v>1354</v>
      </c>
      <c r="K8">
        <v>42</v>
      </c>
      <c r="L8">
        <v>42</v>
      </c>
      <c r="M8">
        <v>43</v>
      </c>
      <c r="O8">
        <v>42</v>
      </c>
      <c r="P8">
        <v>42</v>
      </c>
    </row>
    <row r="9" spans="1:16" x14ac:dyDescent="0.25">
      <c r="C9" t="s">
        <v>393</v>
      </c>
      <c r="D9">
        <f>VLOOKUP(Manquants!C9,Tableau1[[Nom]:[HM]],4,0)</f>
        <v>40</v>
      </c>
      <c r="F9" t="s">
        <v>1370</v>
      </c>
      <c r="G9" t="e">
        <v>#N/A</v>
      </c>
      <c r="I9" t="s">
        <v>1371</v>
      </c>
      <c r="J9" t="s">
        <v>1372</v>
      </c>
      <c r="K9">
        <v>42</v>
      </c>
      <c r="M9">
        <v>43</v>
      </c>
      <c r="O9">
        <v>42</v>
      </c>
    </row>
    <row r="10" spans="1:16" x14ac:dyDescent="0.25">
      <c r="C10" t="s">
        <v>429</v>
      </c>
      <c r="D10">
        <f>VLOOKUP(Manquants!C10,Tableau1[[Nom]:[HM]],4,0)</f>
        <v>52</v>
      </c>
      <c r="F10" t="s">
        <v>1526</v>
      </c>
      <c r="I10" t="s">
        <v>166</v>
      </c>
      <c r="J10" t="s">
        <v>1261</v>
      </c>
      <c r="K10">
        <v>37</v>
      </c>
      <c r="L10">
        <v>42</v>
      </c>
      <c r="M10">
        <v>44</v>
      </c>
      <c r="O10">
        <v>37</v>
      </c>
      <c r="P10">
        <v>42</v>
      </c>
    </row>
    <row r="11" spans="1:16" x14ac:dyDescent="0.25">
      <c r="C11" t="s">
        <v>1265</v>
      </c>
      <c r="D11">
        <f>VLOOKUP(Manquants!C11,Tableau1[[Nom]:[HM]],4,0)</f>
        <v>41</v>
      </c>
      <c r="F11" t="s">
        <v>1517</v>
      </c>
      <c r="I11" t="s">
        <v>333</v>
      </c>
      <c r="J11" t="s">
        <v>1434</v>
      </c>
      <c r="K11">
        <v>41</v>
      </c>
      <c r="L11">
        <v>45</v>
      </c>
      <c r="M11">
        <v>42</v>
      </c>
      <c r="O11">
        <v>41</v>
      </c>
      <c r="P11">
        <v>45</v>
      </c>
    </row>
    <row r="12" spans="1:16" x14ac:dyDescent="0.25">
      <c r="C12" t="s">
        <v>414</v>
      </c>
      <c r="D12">
        <f>VLOOKUP(Manquants!C12,Tableau1[[Nom]:[HM]],4,0)</f>
        <v>41</v>
      </c>
      <c r="F12" t="s">
        <v>1436</v>
      </c>
      <c r="I12" t="s">
        <v>1536</v>
      </c>
      <c r="J12" t="s">
        <v>1537</v>
      </c>
      <c r="K12">
        <v>47</v>
      </c>
      <c r="L12">
        <v>44</v>
      </c>
      <c r="M12">
        <v>45</v>
      </c>
      <c r="O12">
        <v>47</v>
      </c>
      <c r="P12">
        <v>44</v>
      </c>
    </row>
    <row r="13" spans="1:16" x14ac:dyDescent="0.25">
      <c r="C13" t="s">
        <v>1243</v>
      </c>
      <c r="D13">
        <f>VLOOKUP(Manquants!C13,Tableau1[[Nom]:[HM]],4,0)</f>
        <v>41</v>
      </c>
      <c r="F13" t="s">
        <v>1434</v>
      </c>
      <c r="I13" t="s">
        <v>1348</v>
      </c>
      <c r="J13" t="s">
        <v>1349</v>
      </c>
      <c r="K13">
        <v>42</v>
      </c>
      <c r="L13">
        <v>43</v>
      </c>
      <c r="M13">
        <v>40</v>
      </c>
      <c r="O13">
        <v>42</v>
      </c>
      <c r="P13">
        <v>43</v>
      </c>
    </row>
    <row r="14" spans="1:16" x14ac:dyDescent="0.25">
      <c r="C14" t="s">
        <v>377</v>
      </c>
      <c r="D14">
        <f>VLOOKUP(Manquants!C14,Tableau1[[Nom]:[HM]],4,0)</f>
        <v>41</v>
      </c>
      <c r="F14" t="s">
        <v>1372</v>
      </c>
      <c r="I14" t="s">
        <v>233</v>
      </c>
      <c r="J14" t="s">
        <v>1436</v>
      </c>
      <c r="K14">
        <v>43</v>
      </c>
      <c r="L14">
        <v>40</v>
      </c>
      <c r="M14">
        <v>42</v>
      </c>
      <c r="O14">
        <v>43</v>
      </c>
      <c r="P14">
        <v>40</v>
      </c>
    </row>
    <row r="15" spans="1:16" x14ac:dyDescent="0.25">
      <c r="C15" t="s">
        <v>1370</v>
      </c>
      <c r="D15">
        <f>VLOOKUP(Manquants!C15,Tableau1[[Nom]:[HM]],4,0)</f>
        <v>41</v>
      </c>
      <c r="F15" t="s">
        <v>1232</v>
      </c>
      <c r="G15" t="e">
        <v>#N/A</v>
      </c>
      <c r="I15" t="s">
        <v>431</v>
      </c>
      <c r="J15" t="s">
        <v>1553</v>
      </c>
      <c r="K15">
        <v>42</v>
      </c>
      <c r="L15">
        <v>41</v>
      </c>
      <c r="M15">
        <v>45</v>
      </c>
      <c r="O15">
        <v>42</v>
      </c>
      <c r="P15">
        <v>41</v>
      </c>
    </row>
    <row r="16" spans="1:16" x14ac:dyDescent="0.25">
      <c r="C16" t="s">
        <v>1526</v>
      </c>
      <c r="D16">
        <f>VLOOKUP(Manquants!C16,Tableau1[[Nom]:[HM]],4,0)</f>
        <v>42</v>
      </c>
      <c r="F16" t="s">
        <v>1454</v>
      </c>
      <c r="G16" t="e">
        <v>#N/A</v>
      </c>
      <c r="I16" t="s">
        <v>1264</v>
      </c>
      <c r="J16" t="s">
        <v>1265</v>
      </c>
      <c r="K16">
        <v>40</v>
      </c>
      <c r="L16">
        <v>36</v>
      </c>
      <c r="M16">
        <v>41</v>
      </c>
      <c r="O16">
        <v>40</v>
      </c>
      <c r="P16">
        <v>36</v>
      </c>
    </row>
    <row r="17" spans="3:16" x14ac:dyDescent="0.25">
      <c r="C17" t="s">
        <v>1517</v>
      </c>
      <c r="D17">
        <f>VLOOKUP(Manquants!C17,Tableau1[[Nom]:[HM]],4,0)</f>
        <v>42</v>
      </c>
      <c r="F17" t="s">
        <v>1354</v>
      </c>
      <c r="G17" t="e">
        <v>#N/A</v>
      </c>
      <c r="I17" t="s">
        <v>1388</v>
      </c>
      <c r="J17" t="s">
        <v>1389</v>
      </c>
      <c r="K17">
        <v>44</v>
      </c>
      <c r="L17">
        <v>31</v>
      </c>
      <c r="M17">
        <v>47</v>
      </c>
      <c r="O17">
        <v>44</v>
      </c>
      <c r="P17">
        <v>31</v>
      </c>
    </row>
    <row r="18" spans="3:16" x14ac:dyDescent="0.25">
      <c r="C18" t="s">
        <v>435</v>
      </c>
      <c r="D18">
        <f>VLOOKUP(Manquants!C18,Tableau1[[Nom]:[HM]],4,0)</f>
        <v>42</v>
      </c>
      <c r="F18" t="s">
        <v>1261</v>
      </c>
      <c r="I18" t="s">
        <v>1410</v>
      </c>
      <c r="J18" t="s">
        <v>1526</v>
      </c>
      <c r="K18">
        <v>42</v>
      </c>
      <c r="L18">
        <v>39</v>
      </c>
      <c r="M18">
        <v>42</v>
      </c>
      <c r="O18">
        <v>42</v>
      </c>
      <c r="P18">
        <v>39</v>
      </c>
    </row>
    <row r="19" spans="3:16" x14ac:dyDescent="0.25">
      <c r="C19" t="s">
        <v>1436</v>
      </c>
      <c r="D19">
        <f>VLOOKUP(Manquants!C19,Tableau1[[Nom]:[HM]],4,0)</f>
        <v>42</v>
      </c>
      <c r="F19" t="s">
        <v>1687</v>
      </c>
      <c r="G19" t="e">
        <v>#N/A</v>
      </c>
      <c r="I19" t="s">
        <v>1242</v>
      </c>
      <c r="J19" t="s">
        <v>1243</v>
      </c>
      <c r="L19">
        <v>55</v>
      </c>
      <c r="M19">
        <v>41</v>
      </c>
      <c r="P19">
        <v>55</v>
      </c>
    </row>
    <row r="20" spans="3:16" x14ac:dyDescent="0.25">
      <c r="C20" t="s">
        <v>437</v>
      </c>
      <c r="D20">
        <f>VLOOKUP(Manquants!C20,Tableau1[[Nom]:[HM]],4,0)</f>
        <v>42</v>
      </c>
      <c r="F20" t="s">
        <v>1550</v>
      </c>
      <c r="I20" t="s">
        <v>1239</v>
      </c>
      <c r="J20" t="s">
        <v>1240</v>
      </c>
      <c r="M20">
        <v>47</v>
      </c>
    </row>
    <row r="21" spans="3:16" x14ac:dyDescent="0.25">
      <c r="C21" t="s">
        <v>1434</v>
      </c>
      <c r="D21">
        <f>VLOOKUP(Manquants!C21,Tableau1[[Nom]:[HM]],4,0)</f>
        <v>42</v>
      </c>
      <c r="F21" t="s">
        <v>1553</v>
      </c>
      <c r="G21" t="e">
        <v>#N/A</v>
      </c>
      <c r="I21" t="s">
        <v>1455</v>
      </c>
      <c r="J21" t="s">
        <v>1456</v>
      </c>
      <c r="K21">
        <v>43</v>
      </c>
      <c r="L21">
        <v>45</v>
      </c>
      <c r="M21">
        <v>45</v>
      </c>
      <c r="O21">
        <v>43</v>
      </c>
      <c r="P21">
        <v>45</v>
      </c>
    </row>
    <row r="22" spans="3:16" x14ac:dyDescent="0.25">
      <c r="C22" t="s">
        <v>452</v>
      </c>
      <c r="D22">
        <f>VLOOKUP(Manquants!C22,Tableau1[[Nom]:[HM]],4,0)</f>
        <v>42</v>
      </c>
      <c r="F22" t="s">
        <v>1537</v>
      </c>
      <c r="I22" t="s">
        <v>1236</v>
      </c>
      <c r="J22" t="s">
        <v>1237</v>
      </c>
      <c r="K22">
        <v>45</v>
      </c>
      <c r="L22">
        <v>42</v>
      </c>
      <c r="M22">
        <v>46</v>
      </c>
      <c r="O22">
        <v>45</v>
      </c>
      <c r="P22">
        <v>42</v>
      </c>
    </row>
    <row r="23" spans="3:16" x14ac:dyDescent="0.25">
      <c r="C23" t="s">
        <v>391</v>
      </c>
      <c r="D23">
        <f>VLOOKUP(Manquants!C23,Tableau1[[Nom]:[HM]],4,0)</f>
        <v>42</v>
      </c>
      <c r="F23" t="s">
        <v>1456</v>
      </c>
      <c r="I23" t="s">
        <v>1688</v>
      </c>
      <c r="J23" t="s">
        <v>1686</v>
      </c>
      <c r="K23">
        <v>41</v>
      </c>
      <c r="L23">
        <v>43</v>
      </c>
      <c r="M23">
        <v>40</v>
      </c>
      <c r="O23">
        <v>41</v>
      </c>
      <c r="P23">
        <v>43</v>
      </c>
    </row>
    <row r="24" spans="3:16" x14ac:dyDescent="0.25">
      <c r="C24" t="s">
        <v>1372</v>
      </c>
      <c r="D24">
        <f>VLOOKUP(Manquants!C24,Tableau1[[Nom]:[HM]],4,0)</f>
        <v>43</v>
      </c>
      <c r="F24" t="s">
        <v>1251</v>
      </c>
      <c r="G24" t="e">
        <v>#N/A</v>
      </c>
      <c r="I24" t="s">
        <v>1566</v>
      </c>
      <c r="J24" t="s">
        <v>1567</v>
      </c>
      <c r="K24">
        <v>42</v>
      </c>
      <c r="L24">
        <v>48</v>
      </c>
      <c r="M24">
        <v>46</v>
      </c>
      <c r="O24">
        <v>42</v>
      </c>
      <c r="P24">
        <v>48</v>
      </c>
    </row>
    <row r="25" spans="3:16" x14ac:dyDescent="0.25">
      <c r="C25" t="s">
        <v>430</v>
      </c>
      <c r="D25">
        <f>VLOOKUP(Manquants!C25,Tableau1[[Nom]:[HM]],4,0)</f>
        <v>43</v>
      </c>
      <c r="F25" t="s">
        <v>1567</v>
      </c>
      <c r="I25" t="s">
        <v>222</v>
      </c>
      <c r="J25" t="s">
        <v>1517</v>
      </c>
      <c r="K25">
        <v>42</v>
      </c>
      <c r="L25">
        <v>39</v>
      </c>
      <c r="M25">
        <v>42</v>
      </c>
      <c r="O25">
        <v>42</v>
      </c>
      <c r="P25">
        <v>39</v>
      </c>
    </row>
    <row r="26" spans="3:16" x14ac:dyDescent="0.25">
      <c r="C26" t="s">
        <v>1232</v>
      </c>
      <c r="D26">
        <f>VLOOKUP(Manquants!C26,Tableau1[[Nom]:[HM]],4,0)</f>
        <v>43</v>
      </c>
      <c r="F26" t="s">
        <v>1237</v>
      </c>
      <c r="G26" t="e">
        <v>#N/A</v>
      </c>
      <c r="I26" t="s">
        <v>442</v>
      </c>
      <c r="J26" t="s">
        <v>1687</v>
      </c>
      <c r="K26">
        <v>42</v>
      </c>
      <c r="L26">
        <v>51</v>
      </c>
      <c r="M26">
        <v>44</v>
      </c>
      <c r="O26">
        <v>42</v>
      </c>
      <c r="P26">
        <v>51</v>
      </c>
    </row>
    <row r="27" spans="3:16" x14ac:dyDescent="0.25">
      <c r="C27" t="s">
        <v>1454</v>
      </c>
      <c r="D27">
        <f>VLOOKUP(Manquants!C27,Tableau1[[Nom]:[HM]],4,0)</f>
        <v>43</v>
      </c>
      <c r="F27" t="s">
        <v>1351</v>
      </c>
      <c r="G27" t="e">
        <v>#N/A</v>
      </c>
      <c r="I27" t="s">
        <v>349</v>
      </c>
      <c r="J27" t="s">
        <v>1370</v>
      </c>
      <c r="K27">
        <v>36</v>
      </c>
      <c r="L27">
        <v>36</v>
      </c>
      <c r="M27">
        <v>41</v>
      </c>
      <c r="O27">
        <v>36</v>
      </c>
      <c r="P27">
        <v>36</v>
      </c>
    </row>
    <row r="28" spans="3:16" x14ac:dyDescent="0.25">
      <c r="C28" t="s">
        <v>1354</v>
      </c>
      <c r="D28">
        <f>VLOOKUP(Manquants!C28,Tableau1[[Nom]:[HM]],4,0)</f>
        <v>43</v>
      </c>
      <c r="F28" t="s">
        <v>1389</v>
      </c>
      <c r="G28" t="e">
        <v>#N/A</v>
      </c>
      <c r="I28" t="s">
        <v>1231</v>
      </c>
      <c r="J28" t="s">
        <v>1232</v>
      </c>
      <c r="L28">
        <v>35</v>
      </c>
      <c r="M28">
        <v>43</v>
      </c>
      <c r="P28">
        <v>35</v>
      </c>
    </row>
    <row r="29" spans="3:16" x14ac:dyDescent="0.25">
      <c r="C29" t="s">
        <v>425</v>
      </c>
      <c r="D29">
        <f>VLOOKUP(Manquants!C29,Tableau1[[Nom]:[HM]],4,0)</f>
        <v>44</v>
      </c>
      <c r="F29" t="s">
        <v>1240</v>
      </c>
      <c r="I29" t="s">
        <v>402</v>
      </c>
      <c r="J29" t="s">
        <v>1550</v>
      </c>
      <c r="K29">
        <v>49</v>
      </c>
      <c r="M29">
        <v>45</v>
      </c>
      <c r="O29">
        <v>49</v>
      </c>
    </row>
    <row r="30" spans="3:16" x14ac:dyDescent="0.25">
      <c r="C30" t="s">
        <v>412</v>
      </c>
      <c r="D30">
        <f>VLOOKUP(Manquants!C30,Tableau1[[Nom]:[HM]],4,0)</f>
        <v>44</v>
      </c>
    </row>
    <row r="31" spans="3:16" x14ac:dyDescent="0.25">
      <c r="C31" t="s">
        <v>448</v>
      </c>
      <c r="D31">
        <f>VLOOKUP(Manquants!C31,Tableau1[[Nom]:[HM]],4,0)</f>
        <v>44</v>
      </c>
      <c r="I31" t="s">
        <v>1249</v>
      </c>
      <c r="J31" t="s">
        <v>1597</v>
      </c>
    </row>
    <row r="32" spans="3:16" x14ac:dyDescent="0.25">
      <c r="C32" t="s">
        <v>1261</v>
      </c>
      <c r="D32">
        <f>VLOOKUP(Manquants!C32,Tableau1[[Nom]:[HM]],4,0)</f>
        <v>44</v>
      </c>
      <c r="G32" t="e">
        <v>#N/A</v>
      </c>
      <c r="I32" t="s">
        <v>231</v>
      </c>
      <c r="J32" t="s">
        <v>1356</v>
      </c>
    </row>
    <row r="33" spans="3:10" x14ac:dyDescent="0.25">
      <c r="C33" t="s">
        <v>456</v>
      </c>
      <c r="D33">
        <f>VLOOKUP(Manquants!C33,Tableau1[[Nom]:[HM]],4,0)</f>
        <v>44</v>
      </c>
      <c r="I33" t="s">
        <v>1692</v>
      </c>
      <c r="J33" t="s">
        <v>1554</v>
      </c>
    </row>
    <row r="34" spans="3:10" x14ac:dyDescent="0.25">
      <c r="C34" t="s">
        <v>1687</v>
      </c>
      <c r="D34">
        <f>VLOOKUP(Manquants!C34,Tableau1[[Nom]:[HM]],4,0)</f>
        <v>44</v>
      </c>
      <c r="G34" t="e">
        <v>#N/A</v>
      </c>
      <c r="I34" t="s">
        <v>1693</v>
      </c>
      <c r="J34" t="s">
        <v>1289</v>
      </c>
    </row>
    <row r="35" spans="3:10" x14ac:dyDescent="0.25">
      <c r="C35" t="s">
        <v>410</v>
      </c>
      <c r="D35">
        <f>VLOOKUP(Manquants!C35,Tableau1[[Nom]:[HM]],4,0)</f>
        <v>44</v>
      </c>
    </row>
    <row r="36" spans="3:10" x14ac:dyDescent="0.25">
      <c r="C36" t="s">
        <v>1550</v>
      </c>
      <c r="D36">
        <f>VLOOKUP(Manquants!C36,Tableau1[[Nom]:[HM]],4,0)</f>
        <v>45</v>
      </c>
      <c r="G36" t="e">
        <v>#N/A</v>
      </c>
    </row>
    <row r="37" spans="3:10" x14ac:dyDescent="0.25">
      <c r="C37" t="s">
        <v>1553</v>
      </c>
      <c r="D37">
        <f>VLOOKUP(Manquants!C37,Tableau1[[Nom]:[HM]],4,0)</f>
        <v>45</v>
      </c>
      <c r="G37" t="e">
        <v>#N/A</v>
      </c>
    </row>
    <row r="38" spans="3:10" x14ac:dyDescent="0.25">
      <c r="C38" t="s">
        <v>1537</v>
      </c>
      <c r="D38">
        <f>VLOOKUP(Manquants!C38,Tableau1[[Nom]:[HM]],4,0)</f>
        <v>45</v>
      </c>
      <c r="E38">
        <v>19</v>
      </c>
      <c r="G38" t="e">
        <v>#N/A</v>
      </c>
    </row>
    <row r="39" spans="3:10" x14ac:dyDescent="0.25">
      <c r="C39" t="s">
        <v>427</v>
      </c>
      <c r="D39">
        <f>VLOOKUP(Manquants!C39,Tableau1[[Nom]:[HM]],4,0)</f>
        <v>45</v>
      </c>
    </row>
    <row r="40" spans="3:10" x14ac:dyDescent="0.25">
      <c r="C40" t="s">
        <v>375</v>
      </c>
      <c r="D40">
        <f>VLOOKUP(Manquants!C40,Tableau1[[Nom]:[HM]],4,0)</f>
        <v>45</v>
      </c>
    </row>
    <row r="41" spans="3:10" x14ac:dyDescent="0.25">
      <c r="C41" t="s">
        <v>444</v>
      </c>
      <c r="D41">
        <f>VLOOKUP(Manquants!C41,Tableau1[[Nom]:[HM]],4,0)</f>
        <v>45</v>
      </c>
    </row>
    <row r="42" spans="3:10" x14ac:dyDescent="0.25">
      <c r="C42" t="s">
        <v>336</v>
      </c>
      <c r="D42">
        <f>VLOOKUP(Manquants!C42,Tableau1[[Nom]:[HM]],4,0)</f>
        <v>45</v>
      </c>
    </row>
    <row r="43" spans="3:10" x14ac:dyDescent="0.25">
      <c r="C43" t="s">
        <v>368</v>
      </c>
      <c r="D43">
        <f>VLOOKUP(Manquants!C43,Tableau1[[Nom]:[HM]],4,0)</f>
        <v>45</v>
      </c>
    </row>
    <row r="44" spans="3:10" x14ac:dyDescent="0.25">
      <c r="C44" t="s">
        <v>1456</v>
      </c>
      <c r="D44">
        <f>VLOOKUP(Manquants!C44,Tableau1[[Nom]:[HM]],4,0)</f>
        <v>45</v>
      </c>
      <c r="G44" t="e">
        <v>#N/A</v>
      </c>
    </row>
    <row r="45" spans="3:10" x14ac:dyDescent="0.25">
      <c r="C45" t="s">
        <v>1251</v>
      </c>
      <c r="D45">
        <f>VLOOKUP(Manquants!C45,Tableau1[[Nom]:[HM]],4,0)</f>
        <v>45</v>
      </c>
      <c r="G45" t="e">
        <v>#N/A</v>
      </c>
    </row>
    <row r="46" spans="3:10" x14ac:dyDescent="0.25">
      <c r="C46" t="s">
        <v>420</v>
      </c>
      <c r="D46">
        <f>VLOOKUP(Manquants!C46,Tableau1[[Nom]:[HM]],4,0)</f>
        <v>45</v>
      </c>
    </row>
    <row r="47" spans="3:10" x14ac:dyDescent="0.25">
      <c r="C47" t="s">
        <v>389</v>
      </c>
      <c r="D47">
        <f>VLOOKUP(Manquants!C47,Tableau1[[Nom]:[HM]],4,0)</f>
        <v>46</v>
      </c>
    </row>
    <row r="48" spans="3:10" x14ac:dyDescent="0.25">
      <c r="C48" t="s">
        <v>1567</v>
      </c>
      <c r="D48">
        <f>VLOOKUP(Manquants!C48,Tableau1[[Nom]:[HM]],4,0)</f>
        <v>46</v>
      </c>
      <c r="G48" t="e">
        <v>#N/A</v>
      </c>
    </row>
    <row r="49" spans="2:7" x14ac:dyDescent="0.25">
      <c r="C49" t="s">
        <v>388</v>
      </c>
      <c r="D49">
        <f>VLOOKUP(Manquants!C49,Tableau1[[Nom]:[HM]],4,0)</f>
        <v>46</v>
      </c>
    </row>
    <row r="50" spans="2:7" x14ac:dyDescent="0.25">
      <c r="C50" t="s">
        <v>1237</v>
      </c>
      <c r="D50">
        <f>VLOOKUP(Manquants!C50,Tableau1[[Nom]:[HM]],4,0)</f>
        <v>46</v>
      </c>
      <c r="G50" t="e">
        <v>#N/A</v>
      </c>
    </row>
    <row r="51" spans="2:7" x14ac:dyDescent="0.25">
      <c r="C51" t="s">
        <v>387</v>
      </c>
      <c r="D51">
        <f>VLOOKUP(Manquants!C51,Tableau1[[Nom]:[HM]],4,0)</f>
        <v>46</v>
      </c>
    </row>
    <row r="52" spans="2:7" x14ac:dyDescent="0.25">
      <c r="B52" t="s">
        <v>188</v>
      </c>
      <c r="C52" t="s">
        <v>395</v>
      </c>
      <c r="D52">
        <f>VLOOKUP(Manquants!C52,Tableau1[[Nom]:[HM]],4,0)</f>
        <v>39</v>
      </c>
    </row>
    <row r="53" spans="2:7" x14ac:dyDescent="0.25">
      <c r="C53" t="s">
        <v>421</v>
      </c>
      <c r="D53">
        <f>VLOOKUP(Manquants!C53,Tableau1[[Nom]:[HM]],4,0)</f>
        <v>46</v>
      </c>
    </row>
    <row r="54" spans="2:7" x14ac:dyDescent="0.25">
      <c r="C54" t="s">
        <v>439</v>
      </c>
      <c r="D54">
        <f>VLOOKUP(Manquants!C54,Tableau1[[Nom]:[HM]],4,0)</f>
        <v>46</v>
      </c>
    </row>
    <row r="55" spans="2:7" x14ac:dyDescent="0.25">
      <c r="C55" t="s">
        <v>1351</v>
      </c>
      <c r="D55">
        <f>VLOOKUP(Manquants!C55,Tableau1[[Nom]:[HM]],4,0)</f>
        <v>46</v>
      </c>
      <c r="G55" t="e">
        <v>#N/A</v>
      </c>
    </row>
    <row r="56" spans="2:7" x14ac:dyDescent="0.25">
      <c r="C56" t="s">
        <v>418</v>
      </c>
      <c r="D56">
        <f>VLOOKUP(Manquants!C56,Tableau1[[Nom]:[HM]],4,0)</f>
        <v>47</v>
      </c>
    </row>
    <row r="57" spans="2:7" x14ac:dyDescent="0.25">
      <c r="C57" t="s">
        <v>454</v>
      </c>
      <c r="D57">
        <f>VLOOKUP(Manquants!C57,Tableau1[[Nom]:[HM]],4,0)</f>
        <v>47</v>
      </c>
    </row>
    <row r="58" spans="2:7" x14ac:dyDescent="0.25">
      <c r="C58" t="s">
        <v>1389</v>
      </c>
      <c r="D58">
        <f>VLOOKUP(Manquants!C58,Tableau1[[Nom]:[HM]],4,0)</f>
        <v>47</v>
      </c>
      <c r="G58" t="e">
        <v>#N/A</v>
      </c>
    </row>
    <row r="59" spans="2:7" x14ac:dyDescent="0.25">
      <c r="C59" t="s">
        <v>1240</v>
      </c>
      <c r="D59">
        <f>VLOOKUP(Manquants!C59,Tableau1[[Nom]:[HM]],4,0)</f>
        <v>47</v>
      </c>
      <c r="E59">
        <v>26</v>
      </c>
      <c r="G59" t="e">
        <v>#N/A</v>
      </c>
    </row>
    <row r="60" spans="2:7" x14ac:dyDescent="0.25">
      <c r="C60" t="s">
        <v>385</v>
      </c>
      <c r="D60">
        <f>VLOOKUP(Manquants!C60,Tableau1[[Nom]:[HM]],4,0)</f>
        <v>47</v>
      </c>
    </row>
    <row r="61" spans="2:7" x14ac:dyDescent="0.25">
      <c r="C61" t="s">
        <v>417</v>
      </c>
      <c r="D61">
        <f>VLOOKUP(Manquants!C61,Tableau1[[Nom]:[HM]],4,0)</f>
        <v>47</v>
      </c>
    </row>
    <row r="62" spans="2:7" x14ac:dyDescent="0.25">
      <c r="C62" t="s">
        <v>408</v>
      </c>
      <c r="D62">
        <f>VLOOKUP(Manquants!C62,Tableau1[[Nom]:[HM]],4,0)</f>
        <v>47</v>
      </c>
    </row>
    <row r="63" spans="2:7" x14ac:dyDescent="0.25">
      <c r="C63" t="s">
        <v>188</v>
      </c>
      <c r="D63">
        <f>VLOOKUP(Manquants!C63,Tableau1[[Nom]:[HM]],4,0)</f>
        <v>47</v>
      </c>
    </row>
    <row r="64" spans="2:7" x14ac:dyDescent="0.25">
      <c r="C64" t="s">
        <v>1597</v>
      </c>
      <c r="D64">
        <f>VLOOKUP(Manquants!C64,Tableau1[[Nom]:[HM]],4,0)</f>
        <v>48</v>
      </c>
      <c r="F64" t="s">
        <v>1597</v>
      </c>
      <c r="G64" t="e">
        <v>#N/A</v>
      </c>
    </row>
    <row r="65" spans="3:7" x14ac:dyDescent="0.25">
      <c r="C65" t="s">
        <v>334</v>
      </c>
      <c r="D65">
        <f>VLOOKUP(Manquants!C65,Tableau1[[Nom]:[HM]],4,0)</f>
        <v>48</v>
      </c>
    </row>
    <row r="66" spans="3:7" x14ac:dyDescent="0.25">
      <c r="C66" t="s">
        <v>406</v>
      </c>
      <c r="D66">
        <f>VLOOKUP(Manquants!C66,Tableau1[[Nom]:[HM]],4,0)</f>
        <v>48</v>
      </c>
    </row>
    <row r="67" spans="3:7" x14ac:dyDescent="0.25">
      <c r="C67" t="s">
        <v>434</v>
      </c>
      <c r="D67">
        <f>VLOOKUP(Manquants!C67,Tableau1[[Nom]:[HM]],4,0)</f>
        <v>48</v>
      </c>
    </row>
    <row r="68" spans="3:7" x14ac:dyDescent="0.25">
      <c r="C68" t="s">
        <v>1289</v>
      </c>
      <c r="D68">
        <f>VLOOKUP(Manquants!C68,Tableau1[[Nom]:[HM]],4,0)</f>
        <v>48</v>
      </c>
      <c r="F68" t="s">
        <v>1289</v>
      </c>
      <c r="G68" t="e">
        <v>#N/A</v>
      </c>
    </row>
    <row r="69" spans="3:7" x14ac:dyDescent="0.25">
      <c r="C69" t="s">
        <v>405</v>
      </c>
      <c r="D69">
        <f>VLOOKUP(Manquants!C69,Tableau1[[Nom]:[HM]],4,0)</f>
        <v>48</v>
      </c>
    </row>
    <row r="70" spans="3:7" x14ac:dyDescent="0.25">
      <c r="C70" t="s">
        <v>315</v>
      </c>
      <c r="D70">
        <f>VLOOKUP(Manquants!C70,Tableau1[[Nom]:[HM]],4,0)</f>
        <v>48</v>
      </c>
    </row>
    <row r="71" spans="3:7" x14ac:dyDescent="0.25">
      <c r="C71" t="s">
        <v>269</v>
      </c>
      <c r="D71">
        <f>VLOOKUP(Manquants!C71,Tableau1[[Nom]:[HM]],4,0)</f>
        <v>48</v>
      </c>
    </row>
    <row r="72" spans="3:7" x14ac:dyDescent="0.25">
      <c r="C72" t="s">
        <v>416</v>
      </c>
      <c r="D72">
        <f>VLOOKUP(Manquants!C72,Tableau1[[Nom]:[HM]],4,0)</f>
        <v>48</v>
      </c>
    </row>
    <row r="73" spans="3:7" x14ac:dyDescent="0.25">
      <c r="C73" t="s">
        <v>1356</v>
      </c>
      <c r="D73">
        <f>VLOOKUP(Manquants!C73,Tableau1[[Nom]:[HM]],4,0)</f>
        <v>48</v>
      </c>
      <c r="F73" t="s">
        <v>1356</v>
      </c>
      <c r="G73" t="e">
        <v>#N/A</v>
      </c>
    </row>
    <row r="74" spans="3:7" x14ac:dyDescent="0.25">
      <c r="C74" t="s">
        <v>1554</v>
      </c>
      <c r="D74">
        <f>VLOOKUP(Manquants!C74,Tableau1[[Nom]:[HM]],4,0)</f>
        <v>49</v>
      </c>
      <c r="F74" t="s">
        <v>1554</v>
      </c>
      <c r="G74" t="e">
        <v>#N/A</v>
      </c>
    </row>
    <row r="75" spans="3:7" x14ac:dyDescent="0.25">
      <c r="C75" t="s">
        <v>403</v>
      </c>
      <c r="D75">
        <f>VLOOKUP(Manquants!C75,Tableau1[[Nom]:[HM]],4,0)</f>
        <v>49</v>
      </c>
    </row>
    <row r="76" spans="3:7" x14ac:dyDescent="0.25">
      <c r="D76" t="e">
        <f>VLOOKUP(Manquants!C76,Tableau1[[Nom]:[HM]],4,0)</f>
        <v>#N/A</v>
      </c>
    </row>
    <row r="77" spans="3:7" x14ac:dyDescent="0.25">
      <c r="D77" t="e">
        <f>VLOOKUP(Manquants!C77,Tableau1[[Nom]:[HM]],4,0)</f>
        <v>#N/A</v>
      </c>
    </row>
    <row r="78" spans="3:7" x14ac:dyDescent="0.25">
      <c r="D78" t="e">
        <f>VLOOKUP(Manquants!C78,Tableau1[[Nom]:[HM]],4,0)</f>
        <v>#N/A</v>
      </c>
    </row>
    <row r="79" spans="3:7" x14ac:dyDescent="0.25">
      <c r="D79" t="e">
        <f>VLOOKUP(Manquants!C79,Tableau1[[Nom]:[HM]],4,0)</f>
        <v>#N/A</v>
      </c>
    </row>
    <row r="80" spans="3:7" x14ac:dyDescent="0.25">
      <c r="D80" t="e">
        <f>VLOOKUP(Manquants!C80,Tableau1[[Nom]:[HM]],4,0)</f>
        <v>#N/A</v>
      </c>
    </row>
    <row r="81" spans="4:4" x14ac:dyDescent="0.25">
      <c r="D81" t="e">
        <f>VLOOKUP(Manquants!C81,Tableau1[[Nom]:[HM]],4,0)</f>
        <v>#N/A</v>
      </c>
    </row>
    <row r="82" spans="4:4" x14ac:dyDescent="0.25">
      <c r="D82" t="e">
        <f>VLOOKUP(Manquants!C82,Tableau1[[Nom]:[HM]],4,0)</f>
        <v>#N/A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06"/>
  <sheetViews>
    <sheetView topLeftCell="I184" workbookViewId="0">
      <selection activeCell="K207" sqref="K207"/>
    </sheetView>
  </sheetViews>
  <sheetFormatPr baseColWidth="10" defaultColWidth="11.375" defaultRowHeight="15" x14ac:dyDescent="0.25"/>
  <cols>
    <col min="8" max="8" width="23.25" bestFit="1" customWidth="1"/>
    <col min="13" max="13" width="16.875" customWidth="1"/>
  </cols>
  <sheetData>
    <row r="2" spans="1:23" x14ac:dyDescent="0.25">
      <c r="A2" s="5">
        <v>1</v>
      </c>
      <c r="B2" s="6" t="s">
        <v>465</v>
      </c>
      <c r="C2" s="5">
        <v>41</v>
      </c>
      <c r="D2" s="5">
        <v>52</v>
      </c>
      <c r="E2">
        <f>C2+D2</f>
        <v>93</v>
      </c>
      <c r="H2" t="s">
        <v>0</v>
      </c>
      <c r="I2">
        <v>93</v>
      </c>
      <c r="K2" s="4" t="s">
        <v>164</v>
      </c>
      <c r="L2" s="4" t="s">
        <v>165</v>
      </c>
      <c r="M2" t="str">
        <f>K2&amp;" "&amp;L2</f>
        <v>Sidney Crosby</v>
      </c>
      <c r="N2">
        <f>VLOOKUP(M2,$H$2:$I$201,2,0)</f>
        <v>93</v>
      </c>
      <c r="P2" t="s">
        <v>1348</v>
      </c>
      <c r="Q2" t="s">
        <v>1349</v>
      </c>
      <c r="W2">
        <v>44</v>
      </c>
    </row>
    <row r="3" spans="1:23" x14ac:dyDescent="0.25">
      <c r="A3" s="7">
        <v>2</v>
      </c>
      <c r="B3" t="s">
        <v>466</v>
      </c>
      <c r="C3" s="7">
        <v>43</v>
      </c>
      <c r="D3" s="7">
        <v>48</v>
      </c>
      <c r="E3">
        <f t="shared" ref="E3:E66" si="0">C3+D3</f>
        <v>91</v>
      </c>
      <c r="H3" t="s">
        <v>2</v>
      </c>
      <c r="I3">
        <v>91</v>
      </c>
      <c r="K3" s="3" t="s">
        <v>162</v>
      </c>
      <c r="L3" s="3" t="s">
        <v>163</v>
      </c>
      <c r="M3" t="str">
        <f t="shared" ref="M3:M66" si="1">K3&amp;" "&amp;L3</f>
        <v>Patrick Kane</v>
      </c>
      <c r="N3">
        <f t="shared" ref="N3:N66" si="2">VLOOKUP(M3,$H$2:$I$201,2,0)</f>
        <v>91</v>
      </c>
      <c r="P3" t="s">
        <v>1688</v>
      </c>
      <c r="Q3" t="s">
        <v>1686</v>
      </c>
    </row>
    <row r="4" spans="1:23" x14ac:dyDescent="0.25">
      <c r="A4" s="5">
        <v>3</v>
      </c>
      <c r="B4" s="6" t="s">
        <v>467</v>
      </c>
      <c r="C4" s="5">
        <v>35</v>
      </c>
      <c r="D4" s="5">
        <v>58</v>
      </c>
      <c r="E4">
        <f t="shared" si="0"/>
        <v>93</v>
      </c>
      <c r="H4" t="s">
        <v>3</v>
      </c>
      <c r="I4">
        <v>93</v>
      </c>
      <c r="K4" s="4" t="s">
        <v>160</v>
      </c>
      <c r="L4" s="4" t="s">
        <v>161</v>
      </c>
      <c r="M4" t="str">
        <f t="shared" si="1"/>
        <v>Connor McDavid</v>
      </c>
      <c r="N4">
        <f t="shared" si="2"/>
        <v>84</v>
      </c>
      <c r="P4" t="s">
        <v>1373</v>
      </c>
      <c r="Q4" t="s">
        <v>1374</v>
      </c>
    </row>
    <row r="5" spans="1:23" x14ac:dyDescent="0.25">
      <c r="A5" s="7">
        <v>4</v>
      </c>
      <c r="B5" t="s">
        <v>468</v>
      </c>
      <c r="C5" s="7">
        <v>38</v>
      </c>
      <c r="D5" s="7">
        <v>38</v>
      </c>
      <c r="E5">
        <f t="shared" si="0"/>
        <v>76</v>
      </c>
      <c r="H5" t="s">
        <v>5</v>
      </c>
      <c r="I5">
        <v>76</v>
      </c>
      <c r="K5" s="3" t="s">
        <v>158</v>
      </c>
      <c r="L5" s="3" t="s">
        <v>159</v>
      </c>
      <c r="M5" t="str">
        <f t="shared" si="1"/>
        <v>Jamie Benn</v>
      </c>
      <c r="N5">
        <f t="shared" si="2"/>
        <v>93</v>
      </c>
      <c r="P5" t="s">
        <v>1264</v>
      </c>
      <c r="Q5" t="s">
        <v>1265</v>
      </c>
      <c r="W5">
        <v>40</v>
      </c>
    </row>
    <row r="6" spans="1:23" x14ac:dyDescent="0.25">
      <c r="A6" s="5">
        <v>5</v>
      </c>
      <c r="B6" t="s">
        <v>469</v>
      </c>
      <c r="C6" s="5">
        <v>19</v>
      </c>
      <c r="D6" s="5">
        <v>63</v>
      </c>
      <c r="E6">
        <f t="shared" si="0"/>
        <v>82</v>
      </c>
      <c r="H6" t="s">
        <v>8</v>
      </c>
      <c r="I6">
        <v>82</v>
      </c>
      <c r="K6" s="4" t="s">
        <v>166</v>
      </c>
      <c r="L6" s="4" t="s">
        <v>167</v>
      </c>
      <c r="M6" t="str">
        <f t="shared" si="1"/>
        <v>Tyler Seguin</v>
      </c>
      <c r="N6">
        <f t="shared" si="2"/>
        <v>77</v>
      </c>
      <c r="P6" t="s">
        <v>1242</v>
      </c>
      <c r="Q6" t="s">
        <v>1243</v>
      </c>
      <c r="W6">
        <v>47</v>
      </c>
    </row>
    <row r="7" spans="1:23" x14ac:dyDescent="0.25">
      <c r="A7" s="7">
        <v>6</v>
      </c>
      <c r="B7" t="s">
        <v>470</v>
      </c>
      <c r="C7" s="7">
        <v>42</v>
      </c>
      <c r="D7" s="7">
        <v>39</v>
      </c>
      <c r="E7">
        <f t="shared" si="0"/>
        <v>81</v>
      </c>
      <c r="H7" t="s">
        <v>9</v>
      </c>
      <c r="I7">
        <v>81</v>
      </c>
      <c r="K7" s="3" t="s">
        <v>170</v>
      </c>
      <c r="L7" s="3" t="s">
        <v>171</v>
      </c>
      <c r="M7" t="str">
        <f t="shared" si="1"/>
        <v>John Tavares</v>
      </c>
      <c r="N7">
        <f t="shared" si="2"/>
        <v>78</v>
      </c>
      <c r="P7" t="s">
        <v>349</v>
      </c>
      <c r="Q7" t="s">
        <v>1370</v>
      </c>
    </row>
    <row r="8" spans="1:23" x14ac:dyDescent="0.25">
      <c r="A8" s="5">
        <v>7</v>
      </c>
      <c r="B8" t="s">
        <v>471</v>
      </c>
      <c r="C8" s="5">
        <v>51</v>
      </c>
      <c r="D8" s="5">
        <v>22</v>
      </c>
      <c r="E8">
        <f t="shared" si="0"/>
        <v>73</v>
      </c>
      <c r="H8" t="s">
        <v>665</v>
      </c>
      <c r="I8">
        <v>73</v>
      </c>
      <c r="K8" s="4" t="s">
        <v>172</v>
      </c>
      <c r="L8" s="4" t="s">
        <v>173</v>
      </c>
      <c r="M8" t="str">
        <f t="shared" si="1"/>
        <v>Johnny Gaudreau</v>
      </c>
      <c r="N8">
        <f t="shared" si="2"/>
        <v>84</v>
      </c>
      <c r="P8" t="s">
        <v>1410</v>
      </c>
      <c r="Q8" t="s">
        <v>1526</v>
      </c>
      <c r="W8">
        <v>39</v>
      </c>
    </row>
    <row r="9" spans="1:23" x14ac:dyDescent="0.25">
      <c r="A9" s="7">
        <v>8</v>
      </c>
      <c r="B9" t="s">
        <v>472</v>
      </c>
      <c r="C9" s="7">
        <v>30</v>
      </c>
      <c r="D9" s="7">
        <v>54</v>
      </c>
      <c r="E9">
        <f t="shared" si="0"/>
        <v>84</v>
      </c>
      <c r="H9" t="s">
        <v>1</v>
      </c>
      <c r="I9">
        <v>84</v>
      </c>
      <c r="K9" s="3" t="s">
        <v>176</v>
      </c>
      <c r="L9" s="3" t="s">
        <v>177</v>
      </c>
      <c r="M9" t="str">
        <f t="shared" si="1"/>
        <v>Erik Karlsson</v>
      </c>
      <c r="N9">
        <f t="shared" si="2"/>
        <v>82</v>
      </c>
      <c r="P9" t="s">
        <v>222</v>
      </c>
      <c r="Q9" t="s">
        <v>1517</v>
      </c>
      <c r="W9">
        <v>37</v>
      </c>
    </row>
    <row r="10" spans="1:23" x14ac:dyDescent="0.25">
      <c r="A10" s="5">
        <v>9</v>
      </c>
      <c r="B10" t="s">
        <v>473</v>
      </c>
      <c r="C10" s="5">
        <v>28</v>
      </c>
      <c r="D10" s="5">
        <v>43</v>
      </c>
      <c r="E10">
        <f t="shared" si="0"/>
        <v>71</v>
      </c>
      <c r="H10" t="s">
        <v>34</v>
      </c>
      <c r="I10">
        <v>71</v>
      </c>
      <c r="K10" s="4" t="s">
        <v>178</v>
      </c>
      <c r="L10" s="4" t="s">
        <v>179</v>
      </c>
      <c r="M10" t="str">
        <f t="shared" si="1"/>
        <v>Vladimir Tarasenko</v>
      </c>
      <c r="N10">
        <f t="shared" si="2"/>
        <v>81</v>
      </c>
      <c r="P10" t="s">
        <v>233</v>
      </c>
      <c r="Q10" t="s">
        <v>1436</v>
      </c>
      <c r="W10">
        <v>39</v>
      </c>
    </row>
    <row r="11" spans="1:23" x14ac:dyDescent="0.25">
      <c r="A11" s="7">
        <v>10</v>
      </c>
      <c r="B11" t="s">
        <v>474</v>
      </c>
      <c r="C11" s="7">
        <v>34</v>
      </c>
      <c r="D11" s="7">
        <v>50</v>
      </c>
      <c r="E11">
        <f t="shared" si="0"/>
        <v>84</v>
      </c>
      <c r="H11" t="s">
        <v>7</v>
      </c>
      <c r="I11">
        <v>84</v>
      </c>
      <c r="K11" s="3" t="s">
        <v>174</v>
      </c>
      <c r="L11" s="3" t="s">
        <v>175</v>
      </c>
      <c r="M11" t="str">
        <f t="shared" si="1"/>
        <v>Alexander Ovechkin</v>
      </c>
      <c r="N11">
        <v>73</v>
      </c>
      <c r="P11" t="s">
        <v>333</v>
      </c>
      <c r="Q11" t="s">
        <v>1434</v>
      </c>
      <c r="W11">
        <v>46</v>
      </c>
    </row>
    <row r="12" spans="1:23" x14ac:dyDescent="0.25">
      <c r="A12" s="5">
        <v>11</v>
      </c>
      <c r="B12" t="s">
        <v>475</v>
      </c>
      <c r="C12" s="5">
        <v>36</v>
      </c>
      <c r="D12" s="5">
        <v>42</v>
      </c>
      <c r="E12">
        <f t="shared" si="0"/>
        <v>78</v>
      </c>
      <c r="H12" t="s">
        <v>6</v>
      </c>
      <c r="I12">
        <v>78</v>
      </c>
      <c r="K12" s="4" t="s">
        <v>168</v>
      </c>
      <c r="L12" s="4" t="s">
        <v>169</v>
      </c>
      <c r="M12" t="str">
        <f t="shared" si="1"/>
        <v>Joe Pavelski</v>
      </c>
      <c r="N12">
        <f t="shared" si="2"/>
        <v>76</v>
      </c>
      <c r="P12" t="s">
        <v>1371</v>
      </c>
      <c r="Q12" t="s">
        <v>1372</v>
      </c>
    </row>
    <row r="13" spans="1:23" x14ac:dyDescent="0.25">
      <c r="A13" s="7">
        <v>12</v>
      </c>
      <c r="B13" t="s">
        <v>476</v>
      </c>
      <c r="C13" s="7">
        <v>32</v>
      </c>
      <c r="D13" s="7">
        <v>50</v>
      </c>
      <c r="E13">
        <f t="shared" si="0"/>
        <v>82</v>
      </c>
      <c r="H13" t="s">
        <v>19</v>
      </c>
      <c r="I13">
        <v>82</v>
      </c>
      <c r="K13" s="3" t="s">
        <v>182</v>
      </c>
      <c r="L13" s="3" t="s">
        <v>183</v>
      </c>
      <c r="M13" t="str">
        <f t="shared" si="1"/>
        <v>Nicklas Backstrom</v>
      </c>
      <c r="N13">
        <f t="shared" si="2"/>
        <v>76</v>
      </c>
      <c r="P13" t="s">
        <v>1231</v>
      </c>
      <c r="Q13" t="s">
        <v>1232</v>
      </c>
    </row>
    <row r="14" spans="1:23" x14ac:dyDescent="0.25">
      <c r="A14" s="5">
        <v>13</v>
      </c>
      <c r="B14" s="6" t="s">
        <v>477</v>
      </c>
      <c r="C14" s="5">
        <v>35</v>
      </c>
      <c r="D14" s="5">
        <v>42</v>
      </c>
      <c r="E14">
        <f t="shared" si="0"/>
        <v>77</v>
      </c>
      <c r="H14" t="s">
        <v>4</v>
      </c>
      <c r="I14">
        <v>77</v>
      </c>
      <c r="K14" s="4" t="s">
        <v>184</v>
      </c>
      <c r="L14" s="4" t="s">
        <v>185</v>
      </c>
      <c r="M14" t="str">
        <f t="shared" si="1"/>
        <v>Claude Giroux</v>
      </c>
      <c r="N14">
        <f t="shared" si="2"/>
        <v>70</v>
      </c>
      <c r="P14" t="s">
        <v>1453</v>
      </c>
      <c r="Q14" t="s">
        <v>1454</v>
      </c>
    </row>
    <row r="15" spans="1:23" x14ac:dyDescent="0.25">
      <c r="A15" s="7">
        <v>14</v>
      </c>
      <c r="B15" s="8" t="s">
        <v>478</v>
      </c>
      <c r="C15" s="7">
        <v>34</v>
      </c>
      <c r="D15" s="7">
        <v>40</v>
      </c>
      <c r="E15">
        <f t="shared" si="0"/>
        <v>74</v>
      </c>
      <c r="H15" t="s">
        <v>24</v>
      </c>
      <c r="I15">
        <v>74</v>
      </c>
      <c r="K15" s="3" t="s">
        <v>202</v>
      </c>
      <c r="L15" s="3" t="s">
        <v>203</v>
      </c>
      <c r="M15" t="str">
        <f t="shared" si="1"/>
        <v>Evgeni Malkin</v>
      </c>
      <c r="N15">
        <f t="shared" si="2"/>
        <v>72</v>
      </c>
      <c r="P15" t="s">
        <v>1353</v>
      </c>
      <c r="Q15" t="s">
        <v>1354</v>
      </c>
      <c r="W15">
        <v>41</v>
      </c>
    </row>
    <row r="16" spans="1:23" x14ac:dyDescent="0.25">
      <c r="A16" s="5">
        <v>15</v>
      </c>
      <c r="B16" t="s">
        <v>479</v>
      </c>
      <c r="C16" s="5">
        <v>19</v>
      </c>
      <c r="D16" s="5">
        <v>57</v>
      </c>
      <c r="E16">
        <f t="shared" si="0"/>
        <v>76</v>
      </c>
      <c r="H16" t="s">
        <v>11</v>
      </c>
      <c r="I16">
        <v>76</v>
      </c>
      <c r="K16" s="4" t="s">
        <v>206</v>
      </c>
      <c r="L16" s="4" t="s">
        <v>207</v>
      </c>
      <c r="M16" t="str">
        <f t="shared" si="1"/>
        <v>Evgeny Kuznetsov</v>
      </c>
      <c r="N16">
        <f t="shared" si="2"/>
        <v>80</v>
      </c>
      <c r="P16" t="s">
        <v>166</v>
      </c>
      <c r="Q16" t="s">
        <v>1261</v>
      </c>
    </row>
    <row r="17" spans="1:23" x14ac:dyDescent="0.25">
      <c r="A17" s="7">
        <v>16</v>
      </c>
      <c r="B17" t="s">
        <v>480</v>
      </c>
      <c r="C17" s="7">
        <v>26</v>
      </c>
      <c r="D17" s="7">
        <v>34</v>
      </c>
      <c r="E17">
        <f t="shared" si="0"/>
        <v>60</v>
      </c>
      <c r="H17" t="s">
        <v>38</v>
      </c>
      <c r="I17">
        <v>60</v>
      </c>
      <c r="K17" s="3" t="s">
        <v>186</v>
      </c>
      <c r="L17" s="3" t="s">
        <v>187</v>
      </c>
      <c r="M17" t="str">
        <f t="shared" si="1"/>
        <v>Steven Stamkos</v>
      </c>
      <c r="N17">
        <f t="shared" si="2"/>
        <v>70</v>
      </c>
      <c r="P17" t="s">
        <v>442</v>
      </c>
      <c r="Q17" t="s">
        <v>1687</v>
      </c>
    </row>
    <row r="18" spans="1:23" x14ac:dyDescent="0.25">
      <c r="A18" s="5">
        <v>17</v>
      </c>
      <c r="B18" t="s">
        <v>481</v>
      </c>
      <c r="C18" s="5">
        <v>27</v>
      </c>
      <c r="D18" s="5">
        <v>45</v>
      </c>
      <c r="E18">
        <f t="shared" si="0"/>
        <v>72</v>
      </c>
      <c r="H18" t="s">
        <v>23</v>
      </c>
      <c r="I18">
        <v>72</v>
      </c>
      <c r="K18" s="4" t="s">
        <v>208</v>
      </c>
      <c r="L18" s="4" t="s">
        <v>209</v>
      </c>
      <c r="M18" t="str">
        <f t="shared" si="1"/>
        <v>Nikita Kucherov</v>
      </c>
      <c r="N18">
        <f t="shared" si="2"/>
        <v>74</v>
      </c>
      <c r="P18" t="s">
        <v>402</v>
      </c>
      <c r="Q18" t="s">
        <v>1550</v>
      </c>
      <c r="W18">
        <v>46</v>
      </c>
    </row>
    <row r="19" spans="1:23" x14ac:dyDescent="0.25">
      <c r="A19" s="7">
        <v>18</v>
      </c>
      <c r="B19" s="8" t="s">
        <v>482</v>
      </c>
      <c r="C19" s="7">
        <v>18</v>
      </c>
      <c r="D19" s="7">
        <v>33</v>
      </c>
      <c r="E19">
        <f t="shared" si="0"/>
        <v>51</v>
      </c>
      <c r="H19" t="s">
        <v>76</v>
      </c>
      <c r="I19">
        <v>51</v>
      </c>
      <c r="K19" s="3" t="s">
        <v>180</v>
      </c>
      <c r="L19" s="3" t="s">
        <v>181</v>
      </c>
      <c r="M19" t="str">
        <f t="shared" si="1"/>
        <v>Anze Kopitar</v>
      </c>
      <c r="N19">
        <f t="shared" si="2"/>
        <v>73</v>
      </c>
      <c r="P19" t="s">
        <v>431</v>
      </c>
      <c r="Q19" t="s">
        <v>1553</v>
      </c>
      <c r="W19">
        <v>35</v>
      </c>
    </row>
    <row r="20" spans="1:23" x14ac:dyDescent="0.25">
      <c r="A20" s="5">
        <v>19</v>
      </c>
      <c r="B20" t="s">
        <v>483</v>
      </c>
      <c r="C20" s="5">
        <v>30</v>
      </c>
      <c r="D20" s="5">
        <v>43</v>
      </c>
      <c r="E20">
        <f t="shared" si="0"/>
        <v>73</v>
      </c>
      <c r="H20" t="s">
        <v>16</v>
      </c>
      <c r="I20">
        <v>73</v>
      </c>
      <c r="K20" s="4" t="s">
        <v>188</v>
      </c>
      <c r="L20" s="4" t="s">
        <v>189</v>
      </c>
      <c r="M20" t="str">
        <f t="shared" si="1"/>
        <v>Ryan Getzlaf</v>
      </c>
      <c r="N20">
        <f t="shared" si="2"/>
        <v>66</v>
      </c>
      <c r="P20" t="s">
        <v>1536</v>
      </c>
      <c r="Q20" t="s">
        <v>1537</v>
      </c>
      <c r="W20">
        <v>44</v>
      </c>
    </row>
    <row r="21" spans="1:23" x14ac:dyDescent="0.25">
      <c r="A21" s="7">
        <v>20</v>
      </c>
      <c r="B21" t="s">
        <v>484</v>
      </c>
      <c r="C21" s="7">
        <v>40</v>
      </c>
      <c r="D21" s="7">
        <v>30</v>
      </c>
      <c r="E21">
        <f t="shared" si="0"/>
        <v>70</v>
      </c>
      <c r="H21" t="s">
        <v>13</v>
      </c>
      <c r="I21">
        <v>70</v>
      </c>
      <c r="K21" s="3" t="s">
        <v>198</v>
      </c>
      <c r="L21" s="3" t="s">
        <v>199</v>
      </c>
      <c r="M21" t="str">
        <f t="shared" si="1"/>
        <v>Artemi Panarin</v>
      </c>
      <c r="N21">
        <f t="shared" si="2"/>
        <v>82</v>
      </c>
      <c r="P21" t="s">
        <v>1455</v>
      </c>
      <c r="Q21" t="s">
        <v>1456</v>
      </c>
    </row>
    <row r="22" spans="1:23" x14ac:dyDescent="0.25">
      <c r="A22" s="5">
        <v>21</v>
      </c>
      <c r="B22" t="s">
        <v>485</v>
      </c>
      <c r="C22" s="5">
        <v>23</v>
      </c>
      <c r="D22" s="5">
        <v>50</v>
      </c>
      <c r="E22">
        <f t="shared" si="0"/>
        <v>73</v>
      </c>
      <c r="H22" t="s">
        <v>10</v>
      </c>
      <c r="I22">
        <v>73</v>
      </c>
      <c r="K22" s="4" t="s">
        <v>168</v>
      </c>
      <c r="L22" s="4" t="s">
        <v>200</v>
      </c>
      <c r="M22" t="str">
        <f t="shared" si="1"/>
        <v>Joe Thornton</v>
      </c>
      <c r="N22">
        <f t="shared" si="2"/>
        <v>76</v>
      </c>
      <c r="P22" t="s">
        <v>166</v>
      </c>
      <c r="Q22" t="s">
        <v>1251</v>
      </c>
    </row>
    <row r="23" spans="1:23" x14ac:dyDescent="0.25">
      <c r="A23" s="7">
        <v>22</v>
      </c>
      <c r="B23" t="s">
        <v>486</v>
      </c>
      <c r="C23" s="7">
        <v>17</v>
      </c>
      <c r="D23" s="7">
        <v>59</v>
      </c>
      <c r="E23">
        <f t="shared" si="0"/>
        <v>76</v>
      </c>
      <c r="H23" t="s">
        <v>21</v>
      </c>
      <c r="I23">
        <v>76</v>
      </c>
      <c r="K23" s="3" t="s">
        <v>192</v>
      </c>
      <c r="L23" s="3" t="s">
        <v>193</v>
      </c>
      <c r="M23" t="str">
        <f t="shared" si="1"/>
        <v>Blake Wheeler</v>
      </c>
      <c r="N23">
        <f t="shared" si="2"/>
        <v>73</v>
      </c>
      <c r="P23" t="s">
        <v>1566</v>
      </c>
      <c r="Q23" t="s">
        <v>1567</v>
      </c>
    </row>
    <row r="24" spans="1:23" x14ac:dyDescent="0.25">
      <c r="A24" s="5">
        <v>23</v>
      </c>
      <c r="B24" t="s">
        <v>487</v>
      </c>
      <c r="C24" s="5">
        <v>25</v>
      </c>
      <c r="D24" s="5">
        <v>55</v>
      </c>
      <c r="E24">
        <f t="shared" si="0"/>
        <v>80</v>
      </c>
      <c r="H24" t="s">
        <v>26</v>
      </c>
      <c r="I24">
        <v>80</v>
      </c>
      <c r="K24" s="4" t="s">
        <v>190</v>
      </c>
      <c r="L24" s="4" t="s">
        <v>191</v>
      </c>
      <c r="M24" t="str">
        <f t="shared" si="1"/>
        <v>Aleksander Barkov</v>
      </c>
      <c r="N24">
        <f t="shared" si="2"/>
        <v>59</v>
      </c>
      <c r="P24" t="s">
        <v>1236</v>
      </c>
      <c r="Q24" t="s">
        <v>1237</v>
      </c>
    </row>
    <row r="25" spans="1:23" x14ac:dyDescent="0.25">
      <c r="A25" s="7">
        <v>24</v>
      </c>
      <c r="B25" t="s">
        <v>488</v>
      </c>
      <c r="C25" s="7">
        <v>33</v>
      </c>
      <c r="D25" s="7">
        <v>30</v>
      </c>
      <c r="E25">
        <f t="shared" si="0"/>
        <v>63</v>
      </c>
      <c r="H25" t="s">
        <v>22</v>
      </c>
      <c r="I25">
        <v>63</v>
      </c>
      <c r="K25" s="3" t="s">
        <v>196</v>
      </c>
      <c r="L25" s="3" t="s">
        <v>197</v>
      </c>
      <c r="M25" t="str">
        <f t="shared" si="1"/>
        <v>Mark Scheifele</v>
      </c>
      <c r="N25">
        <f t="shared" si="2"/>
        <v>61</v>
      </c>
      <c r="P25" t="s">
        <v>231</v>
      </c>
      <c r="Q25" t="s">
        <v>1351</v>
      </c>
      <c r="W25">
        <v>52</v>
      </c>
    </row>
    <row r="26" spans="1:23" x14ac:dyDescent="0.25">
      <c r="A26" s="5">
        <v>25</v>
      </c>
      <c r="B26" t="s">
        <v>489</v>
      </c>
      <c r="C26" s="5">
        <v>28</v>
      </c>
      <c r="D26" s="5">
        <v>38</v>
      </c>
      <c r="E26">
        <f t="shared" si="0"/>
        <v>66</v>
      </c>
      <c r="H26" t="s">
        <v>46</v>
      </c>
      <c r="I26">
        <v>66</v>
      </c>
      <c r="K26" s="4" t="s">
        <v>188</v>
      </c>
      <c r="L26" s="4" t="s">
        <v>201</v>
      </c>
      <c r="M26" t="str">
        <f t="shared" si="1"/>
        <v>Ryan Johansen</v>
      </c>
      <c r="N26">
        <f t="shared" si="2"/>
        <v>54</v>
      </c>
      <c r="P26" t="s">
        <v>1388</v>
      </c>
      <c r="Q26" t="s">
        <v>1389</v>
      </c>
    </row>
    <row r="27" spans="1:23" x14ac:dyDescent="0.25">
      <c r="A27" s="7">
        <v>26</v>
      </c>
      <c r="B27" t="s">
        <v>490</v>
      </c>
      <c r="C27" s="7">
        <v>30</v>
      </c>
      <c r="D27" s="7">
        <v>27</v>
      </c>
      <c r="E27">
        <f t="shared" si="0"/>
        <v>57</v>
      </c>
      <c r="H27" t="s">
        <v>45</v>
      </c>
      <c r="I27">
        <v>57</v>
      </c>
      <c r="K27" s="3" t="s">
        <v>194</v>
      </c>
      <c r="L27" s="3" t="s">
        <v>195</v>
      </c>
      <c r="M27" t="str">
        <f t="shared" si="1"/>
        <v>Filip Forsberg</v>
      </c>
      <c r="N27">
        <f t="shared" si="2"/>
        <v>57</v>
      </c>
      <c r="P27" t="s">
        <v>1239</v>
      </c>
      <c r="Q27" t="s">
        <v>1240</v>
      </c>
    </row>
    <row r="28" spans="1:23" x14ac:dyDescent="0.25">
      <c r="A28" s="5">
        <v>27</v>
      </c>
      <c r="B28" t="s">
        <v>491</v>
      </c>
      <c r="C28" s="5">
        <v>24</v>
      </c>
      <c r="D28" s="5">
        <v>32</v>
      </c>
      <c r="E28">
        <f t="shared" si="0"/>
        <v>56</v>
      </c>
      <c r="H28" t="s">
        <v>666</v>
      </c>
      <c r="I28">
        <v>56</v>
      </c>
      <c r="K28" s="4" t="s">
        <v>210</v>
      </c>
      <c r="L28" s="4" t="s">
        <v>211</v>
      </c>
      <c r="M28" t="str">
        <f t="shared" si="1"/>
        <v>Sean Monahan</v>
      </c>
      <c r="N28">
        <f t="shared" si="2"/>
        <v>68</v>
      </c>
    </row>
    <row r="29" spans="1:23" x14ac:dyDescent="0.25">
      <c r="A29" s="7">
        <v>28</v>
      </c>
      <c r="B29" t="s">
        <v>492</v>
      </c>
      <c r="C29" s="7">
        <v>9</v>
      </c>
      <c r="D29" s="7">
        <v>44</v>
      </c>
      <c r="E29">
        <f t="shared" si="0"/>
        <v>53</v>
      </c>
      <c r="H29" t="s">
        <v>40</v>
      </c>
      <c r="I29">
        <v>53</v>
      </c>
      <c r="K29" s="3" t="s">
        <v>204</v>
      </c>
      <c r="L29" s="3" t="s">
        <v>205</v>
      </c>
      <c r="M29" t="str">
        <f t="shared" si="1"/>
        <v>Corey Perry</v>
      </c>
      <c r="N29">
        <f t="shared" si="2"/>
        <v>63</v>
      </c>
    </row>
    <row r="30" spans="1:23" x14ac:dyDescent="0.25">
      <c r="A30" s="5">
        <v>29</v>
      </c>
      <c r="B30" t="s">
        <v>493</v>
      </c>
      <c r="C30" s="5">
        <v>24</v>
      </c>
      <c r="D30" s="5">
        <v>46</v>
      </c>
      <c r="E30">
        <f t="shared" si="0"/>
        <v>70</v>
      </c>
      <c r="H30" t="s">
        <v>12</v>
      </c>
      <c r="I30">
        <v>70</v>
      </c>
      <c r="K30" s="4" t="s">
        <v>224</v>
      </c>
      <c r="L30" s="4" t="s">
        <v>225</v>
      </c>
      <c r="M30" t="str">
        <f t="shared" si="1"/>
        <v>Taylor Hall</v>
      </c>
      <c r="N30">
        <f t="shared" si="2"/>
        <v>63</v>
      </c>
    </row>
    <row r="31" spans="1:23" x14ac:dyDescent="0.25">
      <c r="A31" s="7">
        <v>30</v>
      </c>
      <c r="B31" t="s">
        <v>494</v>
      </c>
      <c r="C31" s="7">
        <v>34</v>
      </c>
      <c r="D31" s="7">
        <v>30</v>
      </c>
      <c r="E31">
        <f t="shared" si="0"/>
        <v>64</v>
      </c>
      <c r="H31" t="s">
        <v>50</v>
      </c>
      <c r="I31">
        <v>64</v>
      </c>
      <c r="K31" s="3" t="s">
        <v>216</v>
      </c>
      <c r="L31" s="3" t="s">
        <v>217</v>
      </c>
      <c r="M31" t="str">
        <f t="shared" si="1"/>
        <v>Max Pacioretty</v>
      </c>
      <c r="N31">
        <f t="shared" si="2"/>
        <v>61</v>
      </c>
    </row>
    <row r="32" spans="1:23" x14ac:dyDescent="0.25">
      <c r="A32" s="5">
        <v>31</v>
      </c>
      <c r="B32" t="s">
        <v>495</v>
      </c>
      <c r="C32" s="5">
        <v>15</v>
      </c>
      <c r="D32" s="5">
        <v>51</v>
      </c>
      <c r="E32">
        <f t="shared" si="0"/>
        <v>66</v>
      </c>
      <c r="H32" t="s">
        <v>14</v>
      </c>
      <c r="I32">
        <v>66</v>
      </c>
      <c r="K32" s="4" t="s">
        <v>212</v>
      </c>
      <c r="L32" s="4" t="s">
        <v>213</v>
      </c>
      <c r="M32" t="str">
        <f t="shared" si="1"/>
        <v>Jakub Voracek</v>
      </c>
      <c r="N32">
        <f t="shared" si="2"/>
        <v>57</v>
      </c>
    </row>
    <row r="33" spans="1:14" x14ac:dyDescent="0.25">
      <c r="A33" s="7">
        <v>32</v>
      </c>
      <c r="B33" t="s">
        <v>496</v>
      </c>
      <c r="C33" s="7">
        <v>11</v>
      </c>
      <c r="D33" s="7">
        <v>35</v>
      </c>
      <c r="E33">
        <f t="shared" si="0"/>
        <v>46</v>
      </c>
      <c r="H33" t="s">
        <v>103</v>
      </c>
      <c r="I33">
        <v>46</v>
      </c>
      <c r="K33" s="3" t="s">
        <v>218</v>
      </c>
      <c r="L33" s="3" t="s">
        <v>219</v>
      </c>
      <c r="M33" t="str">
        <f t="shared" si="1"/>
        <v>Jonathan Huberdeau</v>
      </c>
      <c r="N33">
        <f t="shared" si="2"/>
        <v>60</v>
      </c>
    </row>
    <row r="34" spans="1:14" x14ac:dyDescent="0.25">
      <c r="A34" s="5">
        <v>33</v>
      </c>
      <c r="B34" t="s">
        <v>497</v>
      </c>
      <c r="C34" s="5">
        <v>14</v>
      </c>
      <c r="D34" s="5">
        <v>39</v>
      </c>
      <c r="E34">
        <f t="shared" si="0"/>
        <v>53</v>
      </c>
      <c r="H34" t="s">
        <v>667</v>
      </c>
      <c r="I34">
        <v>53</v>
      </c>
      <c r="K34" s="4" t="s">
        <v>222</v>
      </c>
      <c r="L34" s="4" t="s">
        <v>223</v>
      </c>
      <c r="M34" t="str">
        <f t="shared" si="1"/>
        <v>Brent Burns</v>
      </c>
      <c r="N34">
        <f t="shared" si="2"/>
        <v>71</v>
      </c>
    </row>
    <row r="35" spans="1:14" x14ac:dyDescent="0.25">
      <c r="A35" s="7">
        <v>34</v>
      </c>
      <c r="B35" t="s">
        <v>498</v>
      </c>
      <c r="C35" s="7">
        <v>14</v>
      </c>
      <c r="D35" s="7">
        <v>49</v>
      </c>
      <c r="E35">
        <f t="shared" si="0"/>
        <v>63</v>
      </c>
      <c r="H35" t="s">
        <v>95</v>
      </c>
      <c r="I35">
        <v>63</v>
      </c>
      <c r="K35" s="3" t="s">
        <v>214</v>
      </c>
      <c r="L35" s="3" t="s">
        <v>215</v>
      </c>
      <c r="M35" t="str">
        <f t="shared" si="1"/>
        <v>Jack Eichel</v>
      </c>
      <c r="N35">
        <f t="shared" si="2"/>
        <v>64</v>
      </c>
    </row>
    <row r="36" spans="1:14" x14ac:dyDescent="0.25">
      <c r="A36" s="5">
        <v>35</v>
      </c>
      <c r="B36" t="s">
        <v>499</v>
      </c>
      <c r="C36" s="5">
        <v>32</v>
      </c>
      <c r="D36" s="5">
        <v>29</v>
      </c>
      <c r="E36">
        <f t="shared" si="0"/>
        <v>61</v>
      </c>
      <c r="H36" t="s">
        <v>29</v>
      </c>
      <c r="I36">
        <v>61</v>
      </c>
      <c r="K36" s="4" t="s">
        <v>228</v>
      </c>
      <c r="L36" s="4" t="s">
        <v>229</v>
      </c>
      <c r="M36" t="str">
        <f t="shared" si="1"/>
        <v>Logan Couture</v>
      </c>
      <c r="N36">
        <f t="shared" si="2"/>
        <v>56</v>
      </c>
    </row>
    <row r="37" spans="1:14" x14ac:dyDescent="0.25">
      <c r="A37" s="7">
        <v>36</v>
      </c>
      <c r="B37" t="s">
        <v>500</v>
      </c>
      <c r="C37" s="7">
        <v>17</v>
      </c>
      <c r="D37" s="7">
        <v>35</v>
      </c>
      <c r="E37">
        <f t="shared" si="0"/>
        <v>52</v>
      </c>
      <c r="H37" t="s">
        <v>82</v>
      </c>
      <c r="I37">
        <v>52</v>
      </c>
      <c r="K37" s="3" t="s">
        <v>231</v>
      </c>
      <c r="L37" s="3" t="s">
        <v>232</v>
      </c>
      <c r="M37" t="str">
        <f t="shared" si="1"/>
        <v>David Krejci</v>
      </c>
      <c r="N37">
        <f t="shared" si="2"/>
        <v>55</v>
      </c>
    </row>
    <row r="38" spans="1:14" x14ac:dyDescent="0.25">
      <c r="A38" s="5">
        <v>37</v>
      </c>
      <c r="B38" t="s">
        <v>501</v>
      </c>
      <c r="C38" s="5">
        <v>25</v>
      </c>
      <c r="D38" s="5">
        <v>41</v>
      </c>
      <c r="E38">
        <f t="shared" si="0"/>
        <v>66</v>
      </c>
      <c r="H38" t="s">
        <v>56</v>
      </c>
      <c r="I38">
        <v>66</v>
      </c>
      <c r="K38" s="4" t="s">
        <v>226</v>
      </c>
      <c r="L38" s="4" t="s">
        <v>227</v>
      </c>
      <c r="M38" t="str">
        <f t="shared" si="1"/>
        <v>Jordan Eberle</v>
      </c>
      <c r="N38">
        <f t="shared" si="2"/>
        <v>56</v>
      </c>
    </row>
    <row r="39" spans="1:14" x14ac:dyDescent="0.25">
      <c r="A39" s="7">
        <v>38</v>
      </c>
      <c r="B39" t="s">
        <v>502</v>
      </c>
      <c r="C39" s="7">
        <v>28</v>
      </c>
      <c r="D39" s="7">
        <v>32</v>
      </c>
      <c r="E39">
        <f t="shared" si="0"/>
        <v>60</v>
      </c>
      <c r="H39" t="s">
        <v>42</v>
      </c>
      <c r="I39">
        <v>60</v>
      </c>
      <c r="K39" s="3" t="s">
        <v>270</v>
      </c>
      <c r="L39" s="3" t="s">
        <v>271</v>
      </c>
      <c r="M39" t="str">
        <f t="shared" si="1"/>
        <v>Kristopher Letang</v>
      </c>
      <c r="N39">
        <v>53</v>
      </c>
    </row>
    <row r="40" spans="1:14" x14ac:dyDescent="0.25">
      <c r="A40" s="5">
        <v>39</v>
      </c>
      <c r="B40" t="s">
        <v>503</v>
      </c>
      <c r="C40" s="5">
        <v>17</v>
      </c>
      <c r="D40" s="5">
        <v>28</v>
      </c>
      <c r="E40">
        <f t="shared" si="0"/>
        <v>45</v>
      </c>
      <c r="H40" t="s">
        <v>90</v>
      </c>
      <c r="I40">
        <v>45</v>
      </c>
      <c r="K40" s="4" t="s">
        <v>248</v>
      </c>
      <c r="L40" s="4" t="s">
        <v>249</v>
      </c>
      <c r="M40" t="str">
        <f t="shared" si="1"/>
        <v>Phil Kessel</v>
      </c>
      <c r="N40">
        <f t="shared" si="2"/>
        <v>66</v>
      </c>
    </row>
    <row r="41" spans="1:14" x14ac:dyDescent="0.25">
      <c r="A41" s="7">
        <v>40</v>
      </c>
      <c r="B41" s="8" t="s">
        <v>504</v>
      </c>
      <c r="C41" s="7">
        <v>29</v>
      </c>
      <c r="D41" s="7">
        <v>23</v>
      </c>
      <c r="E41">
        <f t="shared" si="0"/>
        <v>52</v>
      </c>
      <c r="H41" t="s">
        <v>79</v>
      </c>
      <c r="I41">
        <v>52</v>
      </c>
      <c r="K41" s="3" t="s">
        <v>218</v>
      </c>
      <c r="L41" s="3" t="s">
        <v>242</v>
      </c>
      <c r="M41" t="str">
        <f t="shared" si="1"/>
        <v>Jonathan Toews</v>
      </c>
      <c r="N41">
        <f t="shared" si="2"/>
        <v>60</v>
      </c>
    </row>
    <row r="42" spans="1:14" x14ac:dyDescent="0.25">
      <c r="A42" s="5">
        <v>41</v>
      </c>
      <c r="B42" t="s">
        <v>505</v>
      </c>
      <c r="C42" s="5">
        <v>27</v>
      </c>
      <c r="D42" s="5">
        <v>30</v>
      </c>
      <c r="E42">
        <f t="shared" si="0"/>
        <v>57</v>
      </c>
      <c r="H42" t="s">
        <v>17</v>
      </c>
      <c r="I42">
        <v>57</v>
      </c>
      <c r="K42" s="4" t="s">
        <v>196</v>
      </c>
      <c r="L42" s="4" t="s">
        <v>247</v>
      </c>
      <c r="M42" t="str">
        <f t="shared" si="1"/>
        <v>Mark Stone</v>
      </c>
      <c r="N42">
        <f t="shared" si="2"/>
        <v>62</v>
      </c>
    </row>
    <row r="43" spans="1:14" x14ac:dyDescent="0.25">
      <c r="A43" s="7">
        <v>42</v>
      </c>
      <c r="B43" t="s">
        <v>506</v>
      </c>
      <c r="C43" s="7">
        <v>12</v>
      </c>
      <c r="D43" s="7">
        <v>42</v>
      </c>
      <c r="E43">
        <f t="shared" si="0"/>
        <v>54</v>
      </c>
      <c r="H43" t="s">
        <v>69</v>
      </c>
      <c r="I43">
        <v>54</v>
      </c>
      <c r="K43" s="3" t="s">
        <v>188</v>
      </c>
      <c r="L43" s="3" t="s">
        <v>241</v>
      </c>
      <c r="M43" t="str">
        <f t="shared" si="1"/>
        <v>Ryan O'Reilly</v>
      </c>
      <c r="N43">
        <f t="shared" si="2"/>
        <v>59</v>
      </c>
    </row>
    <row r="44" spans="1:14" x14ac:dyDescent="0.25">
      <c r="A44" s="5">
        <v>43</v>
      </c>
      <c r="B44" t="s">
        <v>507</v>
      </c>
      <c r="C44" s="5">
        <v>26</v>
      </c>
      <c r="D44" s="5">
        <v>25</v>
      </c>
      <c r="E44">
        <f t="shared" si="0"/>
        <v>51</v>
      </c>
      <c r="H44" t="s">
        <v>60</v>
      </c>
      <c r="I44">
        <v>51</v>
      </c>
      <c r="K44" s="4" t="s">
        <v>245</v>
      </c>
      <c r="L44" s="4" t="s">
        <v>246</v>
      </c>
      <c r="M44" t="str">
        <f t="shared" si="1"/>
        <v>Matt Duchene</v>
      </c>
      <c r="N44">
        <f t="shared" si="2"/>
        <v>58</v>
      </c>
    </row>
    <row r="45" spans="1:14" x14ac:dyDescent="0.25">
      <c r="A45" s="7">
        <v>44</v>
      </c>
      <c r="B45" t="s">
        <v>508</v>
      </c>
      <c r="C45" s="7">
        <v>17</v>
      </c>
      <c r="D45" s="7">
        <v>40</v>
      </c>
      <c r="E45">
        <f t="shared" si="0"/>
        <v>57</v>
      </c>
      <c r="H45" t="s">
        <v>28</v>
      </c>
      <c r="I45">
        <v>57</v>
      </c>
      <c r="K45" s="3" t="s">
        <v>237</v>
      </c>
      <c r="L45" s="3" t="s">
        <v>238</v>
      </c>
      <c r="M45" t="str">
        <f t="shared" si="1"/>
        <v>Patrice Bergeron</v>
      </c>
      <c r="N45">
        <f t="shared" si="2"/>
        <v>60</v>
      </c>
    </row>
    <row r="46" spans="1:14" x14ac:dyDescent="0.25">
      <c r="A46" s="5">
        <v>45</v>
      </c>
      <c r="B46" t="s">
        <v>509</v>
      </c>
      <c r="C46" s="5">
        <v>30</v>
      </c>
      <c r="D46" s="5">
        <v>34</v>
      </c>
      <c r="E46">
        <f t="shared" si="0"/>
        <v>64</v>
      </c>
      <c r="H46" t="s">
        <v>27</v>
      </c>
      <c r="I46">
        <v>64</v>
      </c>
      <c r="K46" s="4" t="s">
        <v>233</v>
      </c>
      <c r="L46" s="4" t="s">
        <v>234</v>
      </c>
      <c r="M46" t="str">
        <f t="shared" si="1"/>
        <v>Alex Galchenyuk</v>
      </c>
      <c r="N46">
        <f t="shared" si="2"/>
        <v>48</v>
      </c>
    </row>
    <row r="47" spans="1:14" x14ac:dyDescent="0.25">
      <c r="A47" s="7">
        <v>46</v>
      </c>
      <c r="B47" t="s">
        <v>510</v>
      </c>
      <c r="C47" s="7">
        <v>22</v>
      </c>
      <c r="D47" s="7">
        <v>33</v>
      </c>
      <c r="E47">
        <f t="shared" si="0"/>
        <v>55</v>
      </c>
      <c r="H47" t="s">
        <v>108</v>
      </c>
      <c r="I47">
        <v>55</v>
      </c>
      <c r="K47" s="3" t="s">
        <v>243</v>
      </c>
      <c r="L47" s="3" t="s">
        <v>244</v>
      </c>
      <c r="M47" t="str">
        <f t="shared" si="1"/>
        <v>Jason Spezza</v>
      </c>
      <c r="N47">
        <f t="shared" si="2"/>
        <v>62</v>
      </c>
    </row>
    <row r="48" spans="1:14" x14ac:dyDescent="0.25">
      <c r="A48" s="5">
        <v>47</v>
      </c>
      <c r="B48" t="s">
        <v>511</v>
      </c>
      <c r="C48" s="5">
        <v>20</v>
      </c>
      <c r="D48" s="5">
        <v>40</v>
      </c>
      <c r="E48">
        <f t="shared" si="0"/>
        <v>60</v>
      </c>
      <c r="H48" t="s">
        <v>31</v>
      </c>
      <c r="I48">
        <v>60</v>
      </c>
      <c r="K48" s="4" t="s">
        <v>235</v>
      </c>
      <c r="L48" s="4" t="s">
        <v>236</v>
      </c>
      <c r="M48" t="str">
        <f t="shared" si="1"/>
        <v>Nathan MacKinnon</v>
      </c>
      <c r="N48">
        <f t="shared" si="2"/>
        <v>53</v>
      </c>
    </row>
    <row r="49" spans="1:14" x14ac:dyDescent="0.25">
      <c r="A49" s="7">
        <v>48</v>
      </c>
      <c r="B49" t="s">
        <v>512</v>
      </c>
      <c r="C49" s="7">
        <v>25</v>
      </c>
      <c r="D49" s="7">
        <v>37</v>
      </c>
      <c r="E49">
        <f t="shared" si="0"/>
        <v>62</v>
      </c>
      <c r="H49" t="s">
        <v>66</v>
      </c>
      <c r="I49">
        <v>62</v>
      </c>
      <c r="K49" s="3" t="s">
        <v>220</v>
      </c>
      <c r="L49" s="3" t="s">
        <v>221</v>
      </c>
      <c r="M49" t="str">
        <f t="shared" si="1"/>
        <v>Auston Matthews</v>
      </c>
      <c r="N49">
        <f t="shared" si="2"/>
        <v>56</v>
      </c>
    </row>
    <row r="50" spans="1:14" x14ac:dyDescent="0.25">
      <c r="A50" s="5">
        <v>49</v>
      </c>
      <c r="B50" t="s">
        <v>513</v>
      </c>
      <c r="C50" s="5">
        <v>24</v>
      </c>
      <c r="D50" s="5">
        <v>29</v>
      </c>
      <c r="E50">
        <f t="shared" si="0"/>
        <v>53</v>
      </c>
      <c r="H50" t="s">
        <v>85</v>
      </c>
      <c r="I50">
        <v>53</v>
      </c>
      <c r="K50" s="4" t="s">
        <v>166</v>
      </c>
      <c r="L50" s="4" t="s">
        <v>256</v>
      </c>
      <c r="M50" t="str">
        <f t="shared" si="1"/>
        <v>Tyler Toffoli</v>
      </c>
      <c r="N50">
        <f t="shared" si="2"/>
        <v>64</v>
      </c>
    </row>
    <row r="51" spans="1:14" x14ac:dyDescent="0.25">
      <c r="A51" s="7">
        <v>50</v>
      </c>
      <c r="B51" t="s">
        <v>514</v>
      </c>
      <c r="C51" s="7">
        <v>20</v>
      </c>
      <c r="D51" s="7">
        <v>34</v>
      </c>
      <c r="E51">
        <f t="shared" si="0"/>
        <v>54</v>
      </c>
      <c r="H51" t="s">
        <v>668</v>
      </c>
      <c r="I51">
        <v>54</v>
      </c>
      <c r="K51" s="3" t="s">
        <v>277</v>
      </c>
      <c r="L51" s="3" t="s">
        <v>278</v>
      </c>
      <c r="M51" t="str">
        <f t="shared" si="1"/>
        <v>Jeff Carter</v>
      </c>
      <c r="N51">
        <f t="shared" si="2"/>
        <v>62</v>
      </c>
    </row>
    <row r="52" spans="1:14" x14ac:dyDescent="0.25">
      <c r="A52" s="5">
        <v>51</v>
      </c>
      <c r="B52" t="s">
        <v>515</v>
      </c>
      <c r="C52" s="5">
        <v>18</v>
      </c>
      <c r="D52" s="5">
        <v>34</v>
      </c>
      <c r="E52">
        <f t="shared" si="0"/>
        <v>52</v>
      </c>
      <c r="H52" t="s">
        <v>669</v>
      </c>
      <c r="I52">
        <v>52</v>
      </c>
      <c r="K52" s="4" t="s">
        <v>353</v>
      </c>
      <c r="L52" s="4" t="s">
        <v>354</v>
      </c>
      <c r="M52" t="str">
        <f t="shared" si="1"/>
        <v>Zach Parise</v>
      </c>
      <c r="N52">
        <f t="shared" si="2"/>
        <v>49</v>
      </c>
    </row>
    <row r="53" spans="1:14" x14ac:dyDescent="0.25">
      <c r="A53" s="7">
        <v>52</v>
      </c>
      <c r="B53" t="s">
        <v>516</v>
      </c>
      <c r="C53" s="7">
        <v>20</v>
      </c>
      <c r="D53" s="7">
        <v>38</v>
      </c>
      <c r="E53">
        <f t="shared" si="0"/>
        <v>58</v>
      </c>
      <c r="H53" t="s">
        <v>53</v>
      </c>
      <c r="I53">
        <v>58</v>
      </c>
      <c r="K53" s="3" t="s">
        <v>239</v>
      </c>
      <c r="L53" s="3" t="s">
        <v>240</v>
      </c>
      <c r="M53" t="str">
        <f t="shared" si="1"/>
        <v>P.K. Subban</v>
      </c>
      <c r="N53">
        <f t="shared" si="2"/>
        <v>53</v>
      </c>
    </row>
    <row r="54" spans="1:14" x14ac:dyDescent="0.25">
      <c r="A54" s="5">
        <v>53</v>
      </c>
      <c r="B54" t="s">
        <v>517</v>
      </c>
      <c r="C54" s="5">
        <v>24</v>
      </c>
      <c r="D54" s="5">
        <v>38</v>
      </c>
      <c r="E54">
        <f t="shared" si="0"/>
        <v>62</v>
      </c>
      <c r="H54" t="s">
        <v>48</v>
      </c>
      <c r="I54">
        <v>62</v>
      </c>
      <c r="K54" s="4" t="s">
        <v>254</v>
      </c>
      <c r="L54" s="4" t="s">
        <v>255</v>
      </c>
      <c r="M54" t="str">
        <f t="shared" si="1"/>
        <v>Kyle Turris</v>
      </c>
      <c r="N54">
        <f t="shared" si="2"/>
        <v>46</v>
      </c>
    </row>
    <row r="55" spans="1:14" x14ac:dyDescent="0.25">
      <c r="A55" s="7">
        <v>54</v>
      </c>
      <c r="B55" t="s">
        <v>518</v>
      </c>
      <c r="C55" s="7">
        <v>22</v>
      </c>
      <c r="D55" s="7">
        <v>41</v>
      </c>
      <c r="E55">
        <f t="shared" si="0"/>
        <v>63</v>
      </c>
      <c r="H55" t="s">
        <v>33</v>
      </c>
      <c r="I55">
        <v>63</v>
      </c>
      <c r="K55" s="3" t="s">
        <v>257</v>
      </c>
      <c r="L55" s="3" t="s">
        <v>710</v>
      </c>
      <c r="M55" t="str">
        <f t="shared" si="1"/>
        <v>James van Riemsdyk</v>
      </c>
      <c r="N55">
        <f t="shared" si="2"/>
        <v>54</v>
      </c>
    </row>
    <row r="56" spans="1:14" x14ac:dyDescent="0.25">
      <c r="A56" s="5">
        <v>55</v>
      </c>
      <c r="B56" t="s">
        <v>519</v>
      </c>
      <c r="C56" s="5">
        <v>22</v>
      </c>
      <c r="D56" s="5">
        <v>23</v>
      </c>
      <c r="E56">
        <f t="shared" si="0"/>
        <v>45</v>
      </c>
      <c r="H56" t="s">
        <v>138</v>
      </c>
      <c r="I56">
        <v>45</v>
      </c>
      <c r="K56" s="4" t="s">
        <v>260</v>
      </c>
      <c r="L56" s="4" t="s">
        <v>261</v>
      </c>
      <c r="M56" t="str">
        <f t="shared" si="1"/>
        <v>Jaden Schwartz</v>
      </c>
      <c r="N56">
        <f t="shared" si="2"/>
        <v>50</v>
      </c>
    </row>
    <row r="57" spans="1:14" x14ac:dyDescent="0.25">
      <c r="A57" s="7">
        <v>56</v>
      </c>
      <c r="B57" s="8" t="s">
        <v>520</v>
      </c>
      <c r="C57" s="7">
        <v>31</v>
      </c>
      <c r="D57" s="7">
        <v>37</v>
      </c>
      <c r="E57">
        <f t="shared" si="0"/>
        <v>68</v>
      </c>
      <c r="H57" t="s">
        <v>25</v>
      </c>
      <c r="I57">
        <v>68</v>
      </c>
      <c r="K57" s="3" t="s">
        <v>282</v>
      </c>
      <c r="L57" s="3" t="s">
        <v>283</v>
      </c>
      <c r="M57" t="str">
        <f t="shared" si="1"/>
        <v>Milan Lucic</v>
      </c>
      <c r="N57">
        <f t="shared" si="2"/>
        <v>51</v>
      </c>
    </row>
    <row r="58" spans="1:14" x14ac:dyDescent="0.25">
      <c r="A58" s="5">
        <v>57</v>
      </c>
      <c r="B58" t="s">
        <v>521</v>
      </c>
      <c r="C58" s="5">
        <v>27</v>
      </c>
      <c r="D58" s="5">
        <v>32</v>
      </c>
      <c r="E58">
        <f t="shared" si="0"/>
        <v>59</v>
      </c>
      <c r="H58" t="s">
        <v>61</v>
      </c>
      <c r="I58">
        <v>59</v>
      </c>
      <c r="K58" s="4" t="s">
        <v>166</v>
      </c>
      <c r="L58" s="4" t="s">
        <v>316</v>
      </c>
      <c r="M58" t="str">
        <f t="shared" si="1"/>
        <v>Tyler Johnson</v>
      </c>
      <c r="N58">
        <f t="shared" si="2"/>
        <v>51</v>
      </c>
    </row>
    <row r="59" spans="1:14" x14ac:dyDescent="0.25">
      <c r="A59" s="7">
        <v>58</v>
      </c>
      <c r="B59" s="8" t="s">
        <v>522</v>
      </c>
      <c r="C59" s="7">
        <v>20</v>
      </c>
      <c r="D59" s="7">
        <v>35</v>
      </c>
      <c r="E59">
        <f t="shared" si="0"/>
        <v>55</v>
      </c>
      <c r="H59" t="s">
        <v>63</v>
      </c>
      <c r="I59">
        <v>55</v>
      </c>
      <c r="K59" s="3" t="s">
        <v>250</v>
      </c>
      <c r="L59" s="3" t="s">
        <v>251</v>
      </c>
      <c r="M59" t="str">
        <f t="shared" si="1"/>
        <v>Wayne Simmonds</v>
      </c>
      <c r="N59">
        <f t="shared" si="2"/>
        <v>57</v>
      </c>
    </row>
    <row r="60" spans="1:14" x14ac:dyDescent="0.25">
      <c r="A60" s="5">
        <v>59</v>
      </c>
      <c r="B60" t="s">
        <v>523</v>
      </c>
      <c r="C60" s="5">
        <v>24</v>
      </c>
      <c r="D60" s="5">
        <v>31</v>
      </c>
      <c r="E60">
        <f t="shared" si="0"/>
        <v>55</v>
      </c>
      <c r="H60" t="s">
        <v>100</v>
      </c>
      <c r="I60">
        <v>55</v>
      </c>
      <c r="K60" s="4" t="s">
        <v>292</v>
      </c>
      <c r="L60" s="4" t="s">
        <v>293</v>
      </c>
      <c r="M60" t="str">
        <f t="shared" si="1"/>
        <v>Derick Brassard</v>
      </c>
      <c r="N60">
        <f t="shared" si="2"/>
        <v>54</v>
      </c>
    </row>
    <row r="61" spans="1:14" x14ac:dyDescent="0.25">
      <c r="A61" s="7">
        <v>60</v>
      </c>
      <c r="B61" t="s">
        <v>524</v>
      </c>
      <c r="C61" s="7">
        <v>28</v>
      </c>
      <c r="D61" s="7">
        <v>33</v>
      </c>
      <c r="E61">
        <f t="shared" si="0"/>
        <v>61</v>
      </c>
      <c r="H61" t="s">
        <v>18</v>
      </c>
      <c r="I61">
        <v>61</v>
      </c>
      <c r="K61" s="3" t="s">
        <v>264</v>
      </c>
      <c r="L61" s="3" t="s">
        <v>253</v>
      </c>
      <c r="M61" t="str">
        <f t="shared" si="1"/>
        <v>Daniel Sedin</v>
      </c>
      <c r="N61">
        <f t="shared" si="2"/>
        <v>66</v>
      </c>
    </row>
    <row r="62" spans="1:14" x14ac:dyDescent="0.25">
      <c r="A62" s="5">
        <v>61</v>
      </c>
      <c r="B62" t="s">
        <v>525</v>
      </c>
      <c r="C62" s="5">
        <v>16</v>
      </c>
      <c r="D62" s="5">
        <v>39</v>
      </c>
      <c r="E62">
        <f t="shared" si="0"/>
        <v>55</v>
      </c>
      <c r="H62" t="s">
        <v>111</v>
      </c>
      <c r="I62">
        <v>55</v>
      </c>
      <c r="K62" s="4" t="s">
        <v>288</v>
      </c>
      <c r="L62" s="4" t="s">
        <v>289</v>
      </c>
      <c r="M62" t="str">
        <f t="shared" si="1"/>
        <v>Brayden Schenn</v>
      </c>
      <c r="N62">
        <f t="shared" si="2"/>
        <v>56</v>
      </c>
    </row>
    <row r="63" spans="1:14" x14ac:dyDescent="0.25">
      <c r="A63" s="7">
        <v>62</v>
      </c>
      <c r="B63" s="8" t="s">
        <v>526</v>
      </c>
      <c r="C63" s="7">
        <v>8</v>
      </c>
      <c r="D63" s="7">
        <v>41</v>
      </c>
      <c r="E63">
        <f t="shared" si="0"/>
        <v>49</v>
      </c>
      <c r="H63" t="s">
        <v>136</v>
      </c>
      <c r="I63">
        <v>49</v>
      </c>
      <c r="K63" s="3" t="s">
        <v>290</v>
      </c>
      <c r="L63" s="3" t="s">
        <v>291</v>
      </c>
      <c r="M63" t="str">
        <f t="shared" si="1"/>
        <v>Mike Hoffman</v>
      </c>
      <c r="N63">
        <f t="shared" si="2"/>
        <v>60</v>
      </c>
    </row>
    <row r="64" spans="1:14" x14ac:dyDescent="0.25">
      <c r="A64" s="5">
        <v>63</v>
      </c>
      <c r="B64" t="s">
        <v>527</v>
      </c>
      <c r="C64" s="5">
        <v>21</v>
      </c>
      <c r="D64" s="5">
        <v>30</v>
      </c>
      <c r="E64">
        <f t="shared" si="0"/>
        <v>51</v>
      </c>
      <c r="H64" t="s">
        <v>67</v>
      </c>
      <c r="I64">
        <v>51</v>
      </c>
      <c r="K64" s="4" t="s">
        <v>216</v>
      </c>
      <c r="L64" s="4" t="s">
        <v>259</v>
      </c>
      <c r="M64" t="str">
        <f t="shared" si="1"/>
        <v>Max Domi</v>
      </c>
      <c r="N64">
        <f t="shared" si="2"/>
        <v>58</v>
      </c>
    </row>
    <row r="65" spans="1:14" x14ac:dyDescent="0.25">
      <c r="A65" s="7">
        <v>64</v>
      </c>
      <c r="B65" t="s">
        <v>528</v>
      </c>
      <c r="C65" s="7">
        <v>26</v>
      </c>
      <c r="D65" s="7">
        <v>28</v>
      </c>
      <c r="E65">
        <f t="shared" si="0"/>
        <v>54</v>
      </c>
      <c r="H65" t="s">
        <v>64</v>
      </c>
      <c r="I65">
        <v>54</v>
      </c>
      <c r="K65" s="3" t="s">
        <v>254</v>
      </c>
      <c r="L65" s="3" t="s">
        <v>258</v>
      </c>
      <c r="M65" t="str">
        <f t="shared" si="1"/>
        <v>Kyle Okposo</v>
      </c>
      <c r="N65">
        <f t="shared" si="2"/>
        <v>50</v>
      </c>
    </row>
    <row r="66" spans="1:14" x14ac:dyDescent="0.25">
      <c r="A66" s="5">
        <v>65</v>
      </c>
      <c r="B66" t="s">
        <v>529</v>
      </c>
      <c r="C66" s="5">
        <v>22</v>
      </c>
      <c r="D66" s="5">
        <v>33</v>
      </c>
      <c r="E66">
        <f t="shared" si="0"/>
        <v>55</v>
      </c>
      <c r="H66" t="s">
        <v>81</v>
      </c>
      <c r="I66">
        <v>55</v>
      </c>
      <c r="K66" s="4" t="s">
        <v>174</v>
      </c>
      <c r="L66" s="4" t="s">
        <v>276</v>
      </c>
      <c r="M66" t="str">
        <f t="shared" si="1"/>
        <v>Alexander Steen</v>
      </c>
      <c r="N66">
        <f t="shared" si="2"/>
        <v>55</v>
      </c>
    </row>
    <row r="67" spans="1:14" x14ac:dyDescent="0.25">
      <c r="A67" s="7">
        <v>66</v>
      </c>
      <c r="B67" t="s">
        <v>530</v>
      </c>
      <c r="C67" s="7">
        <v>23</v>
      </c>
      <c r="D67" s="7">
        <v>26</v>
      </c>
      <c r="E67">
        <f t="shared" ref="E67:E130" si="3">C67+D67</f>
        <v>49</v>
      </c>
      <c r="H67" t="s">
        <v>105</v>
      </c>
      <c r="I67">
        <v>49</v>
      </c>
      <c r="K67" s="3" t="s">
        <v>274</v>
      </c>
      <c r="L67" s="3" t="s">
        <v>275</v>
      </c>
      <c r="M67" t="str">
        <f t="shared" ref="M67:M130" si="4">K67&amp;" "&amp;L67</f>
        <v>Mats Zuccarello</v>
      </c>
      <c r="N67">
        <f t="shared" ref="N67:N130" si="5">VLOOKUP(M67,$H$2:$I$201,2,0)</f>
        <v>56</v>
      </c>
    </row>
    <row r="68" spans="1:14" x14ac:dyDescent="0.25">
      <c r="A68" s="5">
        <v>67</v>
      </c>
      <c r="B68" t="s">
        <v>531</v>
      </c>
      <c r="C68" s="5">
        <v>31</v>
      </c>
      <c r="D68" s="5">
        <v>29</v>
      </c>
      <c r="E68">
        <f t="shared" si="3"/>
        <v>60</v>
      </c>
      <c r="H68" t="s">
        <v>70</v>
      </c>
      <c r="I68">
        <v>60</v>
      </c>
      <c r="K68" s="4" t="s">
        <v>174</v>
      </c>
      <c r="L68" s="4" t="s">
        <v>230</v>
      </c>
      <c r="M68" t="str">
        <f t="shared" si="4"/>
        <v>Alexander Radulov</v>
      </c>
      <c r="N68">
        <f t="shared" si="5"/>
        <v>42</v>
      </c>
    </row>
    <row r="69" spans="1:14" x14ac:dyDescent="0.25">
      <c r="A69" s="7">
        <v>68</v>
      </c>
      <c r="B69" t="s">
        <v>532</v>
      </c>
      <c r="C69" s="7">
        <v>10</v>
      </c>
      <c r="D69" s="7">
        <v>28</v>
      </c>
      <c r="E69">
        <f t="shared" si="3"/>
        <v>38</v>
      </c>
      <c r="H69" t="s">
        <v>141</v>
      </c>
      <c r="I69">
        <v>38</v>
      </c>
      <c r="K69" s="3" t="s">
        <v>296</v>
      </c>
      <c r="L69" s="3" t="s">
        <v>297</v>
      </c>
      <c r="M69" t="str">
        <f t="shared" si="4"/>
        <v>Oliver Ekman-Lars…</v>
      </c>
      <c r="N69">
        <v>56</v>
      </c>
    </row>
    <row r="70" spans="1:14" x14ac:dyDescent="0.25">
      <c r="A70" s="5">
        <v>69</v>
      </c>
      <c r="B70" t="s">
        <v>533</v>
      </c>
      <c r="C70" s="5">
        <v>32</v>
      </c>
      <c r="D70" s="5">
        <v>32</v>
      </c>
      <c r="E70">
        <f t="shared" si="3"/>
        <v>64</v>
      </c>
      <c r="H70" t="s">
        <v>73</v>
      </c>
      <c r="I70">
        <v>64</v>
      </c>
      <c r="K70" s="4" t="s">
        <v>317</v>
      </c>
      <c r="L70" s="4" t="s">
        <v>318</v>
      </c>
      <c r="M70" t="str">
        <f t="shared" si="4"/>
        <v>Roman Josi</v>
      </c>
      <c r="N70">
        <f t="shared" si="5"/>
        <v>63</v>
      </c>
    </row>
    <row r="71" spans="1:14" x14ac:dyDescent="0.25">
      <c r="A71" s="7">
        <v>70</v>
      </c>
      <c r="B71" t="s">
        <v>534</v>
      </c>
      <c r="C71" s="7">
        <v>29</v>
      </c>
      <c r="D71" s="7">
        <v>28</v>
      </c>
      <c r="E71">
        <f t="shared" si="3"/>
        <v>57</v>
      </c>
      <c r="H71" t="s">
        <v>98</v>
      </c>
      <c r="I71">
        <v>57</v>
      </c>
      <c r="K71" s="3" t="s">
        <v>218</v>
      </c>
      <c r="L71" s="3" t="s">
        <v>396</v>
      </c>
      <c r="M71" t="str">
        <f t="shared" si="4"/>
        <v>Jonathan Drouin</v>
      </c>
      <c r="N71">
        <f t="shared" si="5"/>
        <v>43</v>
      </c>
    </row>
    <row r="72" spans="1:14" x14ac:dyDescent="0.25">
      <c r="A72" s="5">
        <v>71</v>
      </c>
      <c r="B72" t="s">
        <v>535</v>
      </c>
      <c r="C72" s="5">
        <v>23</v>
      </c>
      <c r="D72" s="5">
        <v>33</v>
      </c>
      <c r="E72">
        <f t="shared" si="3"/>
        <v>56</v>
      </c>
      <c r="H72" t="s">
        <v>35</v>
      </c>
      <c r="I72">
        <v>56</v>
      </c>
      <c r="K72" s="4" t="s">
        <v>252</v>
      </c>
      <c r="L72" s="4" t="s">
        <v>253</v>
      </c>
      <c r="M72" t="str">
        <f t="shared" si="4"/>
        <v>Henrik Sedin</v>
      </c>
      <c r="N72">
        <f t="shared" si="5"/>
        <v>55</v>
      </c>
    </row>
    <row r="73" spans="1:14" x14ac:dyDescent="0.25">
      <c r="A73" s="7">
        <v>72</v>
      </c>
      <c r="B73" t="s">
        <v>536</v>
      </c>
      <c r="C73" s="7">
        <v>22</v>
      </c>
      <c r="D73" s="7">
        <v>32</v>
      </c>
      <c r="E73">
        <f t="shared" si="3"/>
        <v>54</v>
      </c>
      <c r="H73" t="s">
        <v>20</v>
      </c>
      <c r="I73">
        <v>54</v>
      </c>
      <c r="K73" s="3" t="s">
        <v>257</v>
      </c>
      <c r="L73" s="3" t="s">
        <v>272</v>
      </c>
      <c r="M73" t="str">
        <f t="shared" si="4"/>
        <v>James Neal</v>
      </c>
      <c r="N73">
        <f t="shared" si="5"/>
        <v>51</v>
      </c>
    </row>
    <row r="74" spans="1:14" x14ac:dyDescent="0.25">
      <c r="A74" s="5">
        <v>73</v>
      </c>
      <c r="B74" t="s">
        <v>537</v>
      </c>
      <c r="C74" s="5">
        <v>23</v>
      </c>
      <c r="D74" s="5">
        <v>36</v>
      </c>
      <c r="E74">
        <f t="shared" si="3"/>
        <v>59</v>
      </c>
      <c r="H74" t="s">
        <v>58</v>
      </c>
      <c r="I74">
        <v>59</v>
      </c>
      <c r="K74" s="4" t="s">
        <v>294</v>
      </c>
      <c r="L74" s="4" t="s">
        <v>295</v>
      </c>
      <c r="M74" t="str">
        <f t="shared" si="4"/>
        <v>Vincent Trocheck</v>
      </c>
      <c r="N74">
        <f t="shared" si="5"/>
        <v>43</v>
      </c>
    </row>
    <row r="75" spans="1:14" x14ac:dyDescent="0.25">
      <c r="A75" s="7">
        <v>74</v>
      </c>
      <c r="B75" t="s">
        <v>538</v>
      </c>
      <c r="C75" s="7">
        <v>9</v>
      </c>
      <c r="D75" s="7">
        <v>37</v>
      </c>
      <c r="E75">
        <f t="shared" si="3"/>
        <v>46</v>
      </c>
      <c r="H75" t="s">
        <v>670</v>
      </c>
      <c r="I75">
        <v>46</v>
      </c>
      <c r="K75" s="3" t="s">
        <v>262</v>
      </c>
      <c r="L75" s="3" t="s">
        <v>263</v>
      </c>
      <c r="M75" t="str">
        <f t="shared" si="4"/>
        <v>Gabriel Landeskog</v>
      </c>
      <c r="N75">
        <f t="shared" si="5"/>
        <v>59</v>
      </c>
    </row>
    <row r="76" spans="1:14" x14ac:dyDescent="0.25">
      <c r="A76" s="5">
        <v>75</v>
      </c>
      <c r="B76" t="s">
        <v>539</v>
      </c>
      <c r="C76" s="5">
        <v>25</v>
      </c>
      <c r="D76" s="5">
        <v>31</v>
      </c>
      <c r="E76">
        <f t="shared" si="3"/>
        <v>56</v>
      </c>
      <c r="H76" t="s">
        <v>30</v>
      </c>
      <c r="I76">
        <v>56</v>
      </c>
      <c r="K76" s="4" t="s">
        <v>170</v>
      </c>
      <c r="L76" s="4" t="s">
        <v>279</v>
      </c>
      <c r="M76" t="str">
        <f t="shared" si="4"/>
        <v>John Klingberg</v>
      </c>
      <c r="N76">
        <f t="shared" si="5"/>
        <v>54</v>
      </c>
    </row>
    <row r="77" spans="1:14" x14ac:dyDescent="0.25">
      <c r="A77" s="7">
        <v>76</v>
      </c>
      <c r="B77" t="s">
        <v>540</v>
      </c>
      <c r="C77" s="7">
        <v>6</v>
      </c>
      <c r="D77" s="7">
        <v>37</v>
      </c>
      <c r="E77">
        <f t="shared" si="3"/>
        <v>43</v>
      </c>
      <c r="H77" t="s">
        <v>128</v>
      </c>
      <c r="I77">
        <v>43</v>
      </c>
      <c r="K77" s="3" t="s">
        <v>310</v>
      </c>
      <c r="L77" s="3" t="s">
        <v>311</v>
      </c>
      <c r="M77" t="str">
        <f t="shared" si="4"/>
        <v>Andrew Ladd</v>
      </c>
      <c r="N77">
        <f t="shared" si="5"/>
        <v>51</v>
      </c>
    </row>
    <row r="78" spans="1:14" x14ac:dyDescent="0.25">
      <c r="A78" s="5">
        <v>77</v>
      </c>
      <c r="B78" t="s">
        <v>541</v>
      </c>
      <c r="C78" s="5">
        <v>21</v>
      </c>
      <c r="D78" s="5">
        <v>33</v>
      </c>
      <c r="E78">
        <f t="shared" si="3"/>
        <v>54</v>
      </c>
      <c r="H78" t="s">
        <v>114</v>
      </c>
      <c r="I78">
        <v>54</v>
      </c>
      <c r="K78" s="4" t="s">
        <v>303</v>
      </c>
      <c r="L78" s="4" t="s">
        <v>304</v>
      </c>
      <c r="M78" t="str">
        <f t="shared" si="4"/>
        <v>Brandon Saad</v>
      </c>
      <c r="N78">
        <f t="shared" si="5"/>
        <v>54</v>
      </c>
    </row>
    <row r="79" spans="1:14" x14ac:dyDescent="0.25">
      <c r="A79" s="7">
        <v>78</v>
      </c>
      <c r="B79" t="s">
        <v>542</v>
      </c>
      <c r="C79" s="7">
        <v>25</v>
      </c>
      <c r="D79" s="7">
        <v>37</v>
      </c>
      <c r="E79">
        <f t="shared" si="3"/>
        <v>62</v>
      </c>
      <c r="H79" t="s">
        <v>43</v>
      </c>
      <c r="I79">
        <v>62</v>
      </c>
      <c r="K79" s="3" t="s">
        <v>254</v>
      </c>
      <c r="L79" s="3" t="s">
        <v>273</v>
      </c>
      <c r="M79" t="str">
        <f t="shared" si="4"/>
        <v>Kyle Palmieri</v>
      </c>
      <c r="N79">
        <f t="shared" si="5"/>
        <v>59</v>
      </c>
    </row>
    <row r="80" spans="1:14" x14ac:dyDescent="0.25">
      <c r="A80" s="5">
        <v>79</v>
      </c>
      <c r="B80" t="s">
        <v>543</v>
      </c>
      <c r="C80" s="5">
        <v>12</v>
      </c>
      <c r="D80" s="5">
        <v>43</v>
      </c>
      <c r="E80">
        <f t="shared" si="3"/>
        <v>55</v>
      </c>
      <c r="H80" t="s">
        <v>49</v>
      </c>
      <c r="I80">
        <v>55</v>
      </c>
      <c r="K80" s="4" t="s">
        <v>337</v>
      </c>
      <c r="L80" s="4" t="s">
        <v>338</v>
      </c>
      <c r="M80" t="str">
        <f t="shared" si="4"/>
        <v>Leon Draisaitl</v>
      </c>
      <c r="N80">
        <f t="shared" si="5"/>
        <v>56</v>
      </c>
    </row>
    <row r="81" spans="1:14" x14ac:dyDescent="0.25">
      <c r="A81" s="7">
        <v>80</v>
      </c>
      <c r="B81" t="s">
        <v>544</v>
      </c>
      <c r="C81" s="7">
        <v>8</v>
      </c>
      <c r="D81" s="7">
        <v>34</v>
      </c>
      <c r="E81">
        <f t="shared" si="3"/>
        <v>42</v>
      </c>
      <c r="H81" t="s">
        <v>708</v>
      </c>
      <c r="I81">
        <v>42</v>
      </c>
      <c r="K81" s="3" t="s">
        <v>280</v>
      </c>
      <c r="L81" s="3" t="s">
        <v>281</v>
      </c>
      <c r="M81" t="str">
        <f t="shared" si="4"/>
        <v>Bryan Little</v>
      </c>
      <c r="N81">
        <f t="shared" si="5"/>
        <v>51</v>
      </c>
    </row>
    <row r="82" spans="1:14" x14ac:dyDescent="0.25">
      <c r="A82" s="5">
        <v>81</v>
      </c>
      <c r="B82" s="6" t="s">
        <v>545</v>
      </c>
      <c r="C82" s="5">
        <v>21</v>
      </c>
      <c r="D82" s="5">
        <v>30</v>
      </c>
      <c r="E82">
        <f t="shared" si="3"/>
        <v>51</v>
      </c>
      <c r="H82" t="s">
        <v>92</v>
      </c>
      <c r="I82">
        <v>51</v>
      </c>
      <c r="K82" s="4" t="s">
        <v>277</v>
      </c>
      <c r="L82" s="4" t="s">
        <v>305</v>
      </c>
      <c r="M82" t="str">
        <f t="shared" si="4"/>
        <v>Jeff Skinner</v>
      </c>
      <c r="N82">
        <f t="shared" si="5"/>
        <v>53</v>
      </c>
    </row>
    <row r="83" spans="1:14" x14ac:dyDescent="0.25">
      <c r="A83" s="7">
        <v>82</v>
      </c>
      <c r="B83" t="s">
        <v>546</v>
      </c>
      <c r="C83" s="7">
        <v>25</v>
      </c>
      <c r="D83" s="7">
        <v>34</v>
      </c>
      <c r="E83">
        <f t="shared" si="3"/>
        <v>59</v>
      </c>
      <c r="H83" t="s">
        <v>15</v>
      </c>
      <c r="I83">
        <v>59</v>
      </c>
      <c r="K83" s="3" t="s">
        <v>323</v>
      </c>
      <c r="L83" s="3" t="s">
        <v>324</v>
      </c>
      <c r="M83" t="str">
        <f t="shared" si="4"/>
        <v>Jussi Jokinen</v>
      </c>
      <c r="N83">
        <f t="shared" si="5"/>
        <v>50</v>
      </c>
    </row>
    <row r="84" spans="1:14" x14ac:dyDescent="0.25">
      <c r="A84" s="5">
        <v>83</v>
      </c>
      <c r="B84" t="s">
        <v>547</v>
      </c>
      <c r="C84" s="5">
        <v>22</v>
      </c>
      <c r="D84" s="5">
        <v>31</v>
      </c>
      <c r="E84">
        <f t="shared" si="3"/>
        <v>53</v>
      </c>
      <c r="H84" t="s">
        <v>39</v>
      </c>
      <c r="I84">
        <v>53</v>
      </c>
      <c r="K84" s="4" t="s">
        <v>188</v>
      </c>
      <c r="L84" s="4" t="s">
        <v>267</v>
      </c>
      <c r="M84" t="str">
        <f t="shared" si="4"/>
        <v>Ryan Nugent-Hopki…</v>
      </c>
      <c r="N84">
        <v>48</v>
      </c>
    </row>
    <row r="85" spans="1:14" x14ac:dyDescent="0.25">
      <c r="A85" s="7">
        <v>84</v>
      </c>
      <c r="B85" t="s">
        <v>548</v>
      </c>
      <c r="C85" s="7">
        <v>20</v>
      </c>
      <c r="D85" s="7">
        <v>36</v>
      </c>
      <c r="E85">
        <f t="shared" si="3"/>
        <v>56</v>
      </c>
      <c r="H85" t="s">
        <v>57</v>
      </c>
      <c r="I85">
        <v>56</v>
      </c>
      <c r="K85" s="3" t="s">
        <v>298</v>
      </c>
      <c r="L85" s="3" t="s">
        <v>299</v>
      </c>
      <c r="M85" t="str">
        <f t="shared" si="4"/>
        <v>Loui Eriksson</v>
      </c>
      <c r="N85">
        <f t="shared" si="5"/>
        <v>58</v>
      </c>
    </row>
    <row r="86" spans="1:14" x14ac:dyDescent="0.25">
      <c r="A86" s="5">
        <v>85</v>
      </c>
      <c r="B86" t="s">
        <v>549</v>
      </c>
      <c r="C86" s="5">
        <v>9</v>
      </c>
      <c r="D86" s="5">
        <v>35</v>
      </c>
      <c r="E86">
        <f t="shared" si="3"/>
        <v>44</v>
      </c>
      <c r="H86" t="s">
        <v>91</v>
      </c>
      <c r="I86">
        <v>44</v>
      </c>
      <c r="K86" s="4" t="s">
        <v>302</v>
      </c>
      <c r="L86" s="4" t="s">
        <v>188</v>
      </c>
      <c r="M86" t="str">
        <f t="shared" si="4"/>
        <v>Bobby Ryan</v>
      </c>
      <c r="N86">
        <f t="shared" si="5"/>
        <v>64</v>
      </c>
    </row>
    <row r="87" spans="1:14" x14ac:dyDescent="0.25">
      <c r="A87" s="7">
        <v>86</v>
      </c>
      <c r="B87" t="s">
        <v>550</v>
      </c>
      <c r="C87" s="7">
        <v>20</v>
      </c>
      <c r="D87" s="7">
        <v>36</v>
      </c>
      <c r="E87">
        <f t="shared" si="3"/>
        <v>56</v>
      </c>
      <c r="H87" t="s">
        <v>62</v>
      </c>
      <c r="I87">
        <v>56</v>
      </c>
      <c r="K87" s="3" t="s">
        <v>319</v>
      </c>
      <c r="L87" s="3" t="s">
        <v>320</v>
      </c>
      <c r="M87" t="str">
        <f t="shared" si="4"/>
        <v>T.J. Oshie</v>
      </c>
      <c r="N87">
        <f t="shared" si="5"/>
        <v>53</v>
      </c>
    </row>
    <row r="88" spans="1:14" x14ac:dyDescent="0.25">
      <c r="A88" s="5">
        <v>87</v>
      </c>
      <c r="B88" t="s">
        <v>551</v>
      </c>
      <c r="C88" s="5">
        <v>27</v>
      </c>
      <c r="D88" s="5">
        <v>31</v>
      </c>
      <c r="E88">
        <f t="shared" si="3"/>
        <v>58</v>
      </c>
      <c r="H88" t="s">
        <v>71</v>
      </c>
      <c r="I88">
        <v>58</v>
      </c>
      <c r="K88" s="4" t="s">
        <v>307</v>
      </c>
      <c r="L88" s="4" t="s">
        <v>308</v>
      </c>
      <c r="M88" t="str">
        <f t="shared" si="4"/>
        <v>Brad Marchand</v>
      </c>
      <c r="N88">
        <f t="shared" si="5"/>
        <v>52</v>
      </c>
    </row>
    <row r="89" spans="1:14" x14ac:dyDescent="0.25">
      <c r="A89" s="7">
        <v>88</v>
      </c>
      <c r="B89" t="s">
        <v>552</v>
      </c>
      <c r="C89" s="7">
        <v>19</v>
      </c>
      <c r="D89" s="7">
        <v>31</v>
      </c>
      <c r="E89">
        <f t="shared" si="3"/>
        <v>50</v>
      </c>
      <c r="H89" t="s">
        <v>52</v>
      </c>
      <c r="I89">
        <v>50</v>
      </c>
      <c r="K89" s="3" t="s">
        <v>339</v>
      </c>
      <c r="L89" s="3" t="s">
        <v>340</v>
      </c>
      <c r="M89" t="str">
        <f t="shared" si="4"/>
        <v>Adam Henrique</v>
      </c>
      <c r="N89">
        <f t="shared" si="5"/>
        <v>57</v>
      </c>
    </row>
    <row r="90" spans="1:14" x14ac:dyDescent="0.25">
      <c r="A90" s="5">
        <v>89</v>
      </c>
      <c r="B90" t="s">
        <v>553</v>
      </c>
      <c r="C90" s="5">
        <v>21</v>
      </c>
      <c r="D90" s="5">
        <v>33</v>
      </c>
      <c r="E90">
        <f t="shared" si="3"/>
        <v>54</v>
      </c>
      <c r="H90" t="s">
        <v>74</v>
      </c>
      <c r="I90">
        <v>54</v>
      </c>
      <c r="K90" s="4" t="s">
        <v>356</v>
      </c>
      <c r="L90" s="4" t="s">
        <v>357</v>
      </c>
      <c r="M90" t="str">
        <f t="shared" si="4"/>
        <v>Ondrej Palat</v>
      </c>
      <c r="N90">
        <f t="shared" si="5"/>
        <v>52</v>
      </c>
    </row>
    <row r="91" spans="1:14" x14ac:dyDescent="0.25">
      <c r="A91" s="7">
        <v>90</v>
      </c>
      <c r="B91" t="s">
        <v>554</v>
      </c>
      <c r="C91" s="7">
        <v>24</v>
      </c>
      <c r="D91" s="7">
        <v>30</v>
      </c>
      <c r="E91">
        <f t="shared" si="3"/>
        <v>54</v>
      </c>
      <c r="H91" t="s">
        <v>51</v>
      </c>
      <c r="I91">
        <v>54</v>
      </c>
      <c r="K91" s="3" t="s">
        <v>265</v>
      </c>
      <c r="L91" s="3" t="s">
        <v>266</v>
      </c>
      <c r="M91" t="str">
        <f t="shared" si="4"/>
        <v>Derek Stepan</v>
      </c>
      <c r="N91">
        <f t="shared" si="5"/>
        <v>56</v>
      </c>
    </row>
    <row r="92" spans="1:14" x14ac:dyDescent="0.25">
      <c r="A92" s="5">
        <v>91</v>
      </c>
      <c r="B92" t="s">
        <v>555</v>
      </c>
      <c r="C92" s="5">
        <v>23</v>
      </c>
      <c r="D92" s="5">
        <v>28</v>
      </c>
      <c r="E92">
        <f t="shared" si="3"/>
        <v>51</v>
      </c>
      <c r="H92" t="s">
        <v>80</v>
      </c>
      <c r="I92">
        <v>51</v>
      </c>
      <c r="K92" s="4" t="s">
        <v>286</v>
      </c>
      <c r="L92" s="4" t="s">
        <v>287</v>
      </c>
      <c r="M92" t="str">
        <f t="shared" si="4"/>
        <v>Dylan Larkin</v>
      </c>
      <c r="N92">
        <f t="shared" si="5"/>
        <v>54</v>
      </c>
    </row>
    <row r="93" spans="1:14" x14ac:dyDescent="0.25">
      <c r="A93" s="7">
        <v>92</v>
      </c>
      <c r="B93" t="s">
        <v>556</v>
      </c>
      <c r="C93" s="7">
        <v>23</v>
      </c>
      <c r="D93" s="7">
        <v>28</v>
      </c>
      <c r="E93">
        <f t="shared" si="3"/>
        <v>51</v>
      </c>
      <c r="H93" t="s">
        <v>121</v>
      </c>
      <c r="I93">
        <v>51</v>
      </c>
      <c r="K93" s="3" t="s">
        <v>284</v>
      </c>
      <c r="L93" s="3" t="s">
        <v>285</v>
      </c>
      <c r="M93" t="str">
        <f t="shared" si="4"/>
        <v>Mika Zibanejad</v>
      </c>
      <c r="N93">
        <f t="shared" si="5"/>
        <v>48</v>
      </c>
    </row>
    <row r="94" spans="1:14" x14ac:dyDescent="0.25">
      <c r="A94" s="5">
        <v>93</v>
      </c>
      <c r="B94" t="s">
        <v>557</v>
      </c>
      <c r="C94" s="5">
        <v>9</v>
      </c>
      <c r="D94" s="5">
        <v>30</v>
      </c>
      <c r="E94">
        <f t="shared" si="3"/>
        <v>39</v>
      </c>
      <c r="H94" t="s">
        <v>671</v>
      </c>
      <c r="I94">
        <v>39</v>
      </c>
      <c r="K94" s="4" t="s">
        <v>170</v>
      </c>
      <c r="L94" s="4" t="s">
        <v>355</v>
      </c>
      <c r="M94" t="str">
        <f t="shared" si="4"/>
        <v>John Carlson</v>
      </c>
      <c r="N94">
        <f t="shared" si="5"/>
        <v>47</v>
      </c>
    </row>
    <row r="95" spans="1:14" x14ac:dyDescent="0.25">
      <c r="A95" s="7">
        <v>94</v>
      </c>
      <c r="B95" t="s">
        <v>558</v>
      </c>
      <c r="C95" s="7">
        <v>14</v>
      </c>
      <c r="D95" s="7">
        <v>25</v>
      </c>
      <c r="E95">
        <f t="shared" si="3"/>
        <v>39</v>
      </c>
      <c r="H95" t="s">
        <v>148</v>
      </c>
      <c r="I95">
        <v>39</v>
      </c>
      <c r="K95" s="3" t="s">
        <v>300</v>
      </c>
      <c r="L95" s="3" t="s">
        <v>301</v>
      </c>
      <c r="M95" t="str">
        <f t="shared" si="4"/>
        <v>Dustin Byfuglien</v>
      </c>
      <c r="N95">
        <f t="shared" si="5"/>
        <v>51</v>
      </c>
    </row>
    <row r="96" spans="1:14" x14ac:dyDescent="0.25">
      <c r="A96" s="5">
        <v>95</v>
      </c>
      <c r="B96" t="s">
        <v>559</v>
      </c>
      <c r="C96" s="5">
        <v>15</v>
      </c>
      <c r="D96" s="5">
        <v>38</v>
      </c>
      <c r="E96">
        <f t="shared" si="3"/>
        <v>53</v>
      </c>
      <c r="H96" t="s">
        <v>112</v>
      </c>
      <c r="I96">
        <v>53</v>
      </c>
      <c r="K96" s="4" t="s">
        <v>196</v>
      </c>
      <c r="L96" s="4" t="s">
        <v>309</v>
      </c>
      <c r="M96" t="str">
        <f t="shared" si="4"/>
        <v>Mark Giordano</v>
      </c>
      <c r="N96">
        <f t="shared" si="5"/>
        <v>52</v>
      </c>
    </row>
    <row r="97" spans="1:14" x14ac:dyDescent="0.25">
      <c r="A97" s="7">
        <v>96</v>
      </c>
      <c r="B97" t="s">
        <v>560</v>
      </c>
      <c r="C97" s="7">
        <v>22</v>
      </c>
      <c r="D97" s="7">
        <v>30</v>
      </c>
      <c r="E97">
        <f t="shared" si="3"/>
        <v>52</v>
      </c>
      <c r="H97" t="s">
        <v>118</v>
      </c>
      <c r="I97">
        <v>52</v>
      </c>
      <c r="K97" s="3" t="s">
        <v>162</v>
      </c>
      <c r="L97" s="3" t="s">
        <v>306</v>
      </c>
      <c r="M97" t="str">
        <f t="shared" si="4"/>
        <v>Patrick Sharp</v>
      </c>
      <c r="N97">
        <f t="shared" si="5"/>
        <v>55</v>
      </c>
    </row>
    <row r="98" spans="1:14" x14ac:dyDescent="0.25">
      <c r="A98" s="5">
        <v>97</v>
      </c>
      <c r="B98" t="s">
        <v>561</v>
      </c>
      <c r="C98" s="5">
        <v>21</v>
      </c>
      <c r="D98" s="5">
        <v>22</v>
      </c>
      <c r="E98">
        <f t="shared" si="3"/>
        <v>43</v>
      </c>
      <c r="H98" t="s">
        <v>672</v>
      </c>
      <c r="I98">
        <v>43</v>
      </c>
      <c r="K98" s="4" t="s">
        <v>321</v>
      </c>
      <c r="L98" s="4" t="s">
        <v>322</v>
      </c>
      <c r="M98" t="str">
        <f t="shared" si="4"/>
        <v>Jaromir Jagr</v>
      </c>
      <c r="N98">
        <f t="shared" si="5"/>
        <v>54</v>
      </c>
    </row>
    <row r="99" spans="1:14" x14ac:dyDescent="0.25">
      <c r="A99" s="7">
        <v>98</v>
      </c>
      <c r="B99" t="s">
        <v>562</v>
      </c>
      <c r="C99" s="7">
        <v>14</v>
      </c>
      <c r="D99" s="7">
        <v>27</v>
      </c>
      <c r="E99">
        <f t="shared" si="3"/>
        <v>41</v>
      </c>
      <c r="H99" t="s">
        <v>673</v>
      </c>
      <c r="I99">
        <v>41</v>
      </c>
      <c r="K99" s="3" t="s">
        <v>345</v>
      </c>
      <c r="L99" s="3" t="s">
        <v>346</v>
      </c>
      <c r="M99" t="str">
        <f t="shared" si="4"/>
        <v>Rick Nash</v>
      </c>
      <c r="N99">
        <f t="shared" si="5"/>
        <v>49</v>
      </c>
    </row>
    <row r="100" spans="1:14" x14ac:dyDescent="0.25">
      <c r="A100" s="5">
        <v>99</v>
      </c>
      <c r="B100" t="s">
        <v>563</v>
      </c>
      <c r="C100" s="5">
        <v>22</v>
      </c>
      <c r="D100" s="5">
        <v>23</v>
      </c>
      <c r="E100">
        <f t="shared" si="3"/>
        <v>45</v>
      </c>
      <c r="H100" t="s">
        <v>674</v>
      </c>
      <c r="I100">
        <v>45</v>
      </c>
      <c r="K100" s="4" t="s">
        <v>341</v>
      </c>
      <c r="L100" s="4" t="s">
        <v>342</v>
      </c>
      <c r="M100" t="str">
        <f t="shared" si="4"/>
        <v>Paul Stastny</v>
      </c>
      <c r="N100">
        <f t="shared" si="5"/>
        <v>48</v>
      </c>
    </row>
    <row r="101" spans="1:14" x14ac:dyDescent="0.25">
      <c r="A101" s="7">
        <v>100</v>
      </c>
      <c r="B101" t="s">
        <v>564</v>
      </c>
      <c r="C101" s="7">
        <v>20</v>
      </c>
      <c r="D101" s="7">
        <v>28</v>
      </c>
      <c r="E101">
        <f t="shared" si="3"/>
        <v>48</v>
      </c>
      <c r="H101" t="s">
        <v>124</v>
      </c>
      <c r="I101">
        <v>48</v>
      </c>
      <c r="K101" s="3" t="s">
        <v>351</v>
      </c>
      <c r="L101" s="3" t="s">
        <v>352</v>
      </c>
      <c r="M101" t="str">
        <f t="shared" si="4"/>
        <v>Patric Hornqvist</v>
      </c>
      <c r="N101">
        <f t="shared" si="5"/>
        <v>55</v>
      </c>
    </row>
    <row r="102" spans="1:14" x14ac:dyDescent="0.25">
      <c r="A102" s="5">
        <v>101</v>
      </c>
      <c r="B102" t="s">
        <v>565</v>
      </c>
      <c r="C102" s="5">
        <v>8</v>
      </c>
      <c r="D102" s="5">
        <v>39</v>
      </c>
      <c r="E102">
        <f t="shared" si="3"/>
        <v>47</v>
      </c>
      <c r="H102" t="s">
        <v>113</v>
      </c>
      <c r="I102">
        <v>47</v>
      </c>
      <c r="K102" s="4" t="s">
        <v>360</v>
      </c>
      <c r="L102" s="4" t="s">
        <v>361</v>
      </c>
      <c r="M102" t="str">
        <f t="shared" si="4"/>
        <v>Mikko Koivu</v>
      </c>
      <c r="N102">
        <f t="shared" si="5"/>
        <v>53</v>
      </c>
    </row>
    <row r="103" spans="1:14" x14ac:dyDescent="0.25">
      <c r="A103" s="7">
        <v>102</v>
      </c>
      <c r="B103" t="s">
        <v>566</v>
      </c>
      <c r="C103" s="7">
        <v>25</v>
      </c>
      <c r="D103" s="7">
        <v>22</v>
      </c>
      <c r="E103">
        <f t="shared" si="3"/>
        <v>47</v>
      </c>
      <c r="H103" t="s">
        <v>122</v>
      </c>
      <c r="I103">
        <v>47</v>
      </c>
      <c r="K103" s="3" t="s">
        <v>365</v>
      </c>
      <c r="L103" s="3" t="s">
        <v>366</v>
      </c>
      <c r="M103" t="str">
        <f t="shared" si="4"/>
        <v>Tomas Plekanec</v>
      </c>
      <c r="N103">
        <f t="shared" si="5"/>
        <v>54</v>
      </c>
    </row>
    <row r="104" spans="1:14" x14ac:dyDescent="0.25">
      <c r="A104" s="5">
        <v>103</v>
      </c>
      <c r="B104" t="s">
        <v>567</v>
      </c>
      <c r="C104" s="5">
        <v>9</v>
      </c>
      <c r="D104" s="5">
        <v>37</v>
      </c>
      <c r="E104">
        <f t="shared" si="3"/>
        <v>46</v>
      </c>
      <c r="H104" t="s">
        <v>675</v>
      </c>
      <c r="I104">
        <v>46</v>
      </c>
      <c r="K104" s="4" t="s">
        <v>312</v>
      </c>
      <c r="L104" s="4" t="s">
        <v>313</v>
      </c>
      <c r="M104" t="str">
        <f t="shared" si="4"/>
        <v>Brendan Gallagher</v>
      </c>
      <c r="N104">
        <f t="shared" si="5"/>
        <v>44</v>
      </c>
    </row>
    <row r="105" spans="1:14" x14ac:dyDescent="0.25">
      <c r="A105" s="7">
        <v>104</v>
      </c>
      <c r="B105" t="s">
        <v>568</v>
      </c>
      <c r="C105" s="7">
        <v>8</v>
      </c>
      <c r="D105" s="7">
        <v>33</v>
      </c>
      <c r="E105">
        <f t="shared" si="3"/>
        <v>41</v>
      </c>
      <c r="H105" t="s">
        <v>142</v>
      </c>
      <c r="I105">
        <v>41</v>
      </c>
      <c r="K105" s="3" t="s">
        <v>327</v>
      </c>
      <c r="L105" s="3" t="s">
        <v>328</v>
      </c>
      <c r="M105" t="str">
        <f t="shared" si="4"/>
        <v>Victor Hedman</v>
      </c>
      <c r="N105">
        <f t="shared" si="5"/>
        <v>44</v>
      </c>
    </row>
    <row r="106" spans="1:14" x14ac:dyDescent="0.25">
      <c r="A106" s="5">
        <v>105</v>
      </c>
      <c r="B106" t="s">
        <v>569</v>
      </c>
      <c r="C106" s="5">
        <v>21</v>
      </c>
      <c r="D106" s="5">
        <v>35</v>
      </c>
      <c r="E106">
        <f t="shared" si="3"/>
        <v>56</v>
      </c>
      <c r="H106" t="s">
        <v>75</v>
      </c>
      <c r="I106">
        <v>56</v>
      </c>
      <c r="K106" s="4" t="s">
        <v>331</v>
      </c>
      <c r="L106" s="4" t="s">
        <v>332</v>
      </c>
      <c r="M106" t="str">
        <f t="shared" si="4"/>
        <v>Frans Nielsen</v>
      </c>
      <c r="N106">
        <f t="shared" si="5"/>
        <v>45</v>
      </c>
    </row>
    <row r="107" spans="1:14" x14ac:dyDescent="0.25">
      <c r="A107" s="7">
        <v>106</v>
      </c>
      <c r="B107" t="s">
        <v>570</v>
      </c>
      <c r="C107" s="7">
        <v>18</v>
      </c>
      <c r="D107" s="7">
        <v>29</v>
      </c>
      <c r="E107">
        <f t="shared" si="3"/>
        <v>47</v>
      </c>
      <c r="H107" t="s">
        <v>150</v>
      </c>
      <c r="I107">
        <v>47</v>
      </c>
      <c r="K107" s="3" t="s">
        <v>327</v>
      </c>
      <c r="L107" s="3" t="s">
        <v>362</v>
      </c>
      <c r="M107" t="str">
        <f t="shared" si="4"/>
        <v>Victor Rask</v>
      </c>
      <c r="N107">
        <f t="shared" si="5"/>
        <v>48</v>
      </c>
    </row>
    <row r="108" spans="1:14" x14ac:dyDescent="0.25">
      <c r="A108" s="5">
        <v>107</v>
      </c>
      <c r="B108" t="s">
        <v>571</v>
      </c>
      <c r="C108" s="5">
        <v>17</v>
      </c>
      <c r="D108" s="5">
        <v>27</v>
      </c>
      <c r="E108">
        <f t="shared" si="3"/>
        <v>44</v>
      </c>
      <c r="H108" t="s">
        <v>676</v>
      </c>
      <c r="I108">
        <v>44</v>
      </c>
      <c r="K108" s="4" t="s">
        <v>252</v>
      </c>
      <c r="L108" s="4" t="s">
        <v>364</v>
      </c>
      <c r="M108" t="str">
        <f t="shared" si="4"/>
        <v>Henrik Zetterberg</v>
      </c>
      <c r="N108">
        <f t="shared" si="5"/>
        <v>55</v>
      </c>
    </row>
    <row r="109" spans="1:14" x14ac:dyDescent="0.25">
      <c r="A109" s="7">
        <v>108</v>
      </c>
      <c r="B109" t="s">
        <v>572</v>
      </c>
      <c r="C109" s="7">
        <v>15</v>
      </c>
      <c r="D109" s="7">
        <v>40</v>
      </c>
      <c r="E109">
        <f t="shared" si="3"/>
        <v>55</v>
      </c>
      <c r="H109" t="s">
        <v>41</v>
      </c>
      <c r="I109">
        <v>55</v>
      </c>
      <c r="K109" s="3" t="s">
        <v>358</v>
      </c>
      <c r="L109" s="3" t="s">
        <v>359</v>
      </c>
      <c r="M109" t="str">
        <f t="shared" si="4"/>
        <v>Mikkel Boedker</v>
      </c>
      <c r="N109">
        <f t="shared" si="5"/>
        <v>50</v>
      </c>
    </row>
    <row r="110" spans="1:14" x14ac:dyDescent="0.25">
      <c r="A110" s="5">
        <v>109</v>
      </c>
      <c r="B110" t="s">
        <v>573</v>
      </c>
      <c r="C110" s="5">
        <v>28</v>
      </c>
      <c r="D110" s="5">
        <v>21</v>
      </c>
      <c r="E110">
        <f t="shared" si="3"/>
        <v>49</v>
      </c>
      <c r="H110" t="s">
        <v>99</v>
      </c>
      <c r="I110">
        <v>49</v>
      </c>
      <c r="K110" s="4" t="s">
        <v>325</v>
      </c>
      <c r="L110" s="4" t="s">
        <v>326</v>
      </c>
      <c r="M110" t="str">
        <f t="shared" si="4"/>
        <v>Shea Weber</v>
      </c>
      <c r="N110">
        <f t="shared" si="5"/>
        <v>45</v>
      </c>
    </row>
    <row r="111" spans="1:14" x14ac:dyDescent="0.25">
      <c r="A111" s="7">
        <v>110</v>
      </c>
      <c r="B111" t="s">
        <v>574</v>
      </c>
      <c r="C111" s="7">
        <v>21</v>
      </c>
      <c r="D111" s="7">
        <v>31</v>
      </c>
      <c r="E111">
        <f t="shared" si="3"/>
        <v>52</v>
      </c>
      <c r="H111" t="s">
        <v>677</v>
      </c>
      <c r="I111">
        <v>52</v>
      </c>
      <c r="K111" s="3" t="s">
        <v>343</v>
      </c>
      <c r="L111" s="3" t="s">
        <v>344</v>
      </c>
      <c r="M111" t="str">
        <f t="shared" si="4"/>
        <v>Boone Jenner</v>
      </c>
      <c r="N111">
        <f t="shared" si="5"/>
        <v>47</v>
      </c>
    </row>
    <row r="112" spans="1:14" x14ac:dyDescent="0.25">
      <c r="A112" s="5">
        <v>111</v>
      </c>
      <c r="B112" s="6" t="s">
        <v>575</v>
      </c>
      <c r="C112" s="5">
        <v>27</v>
      </c>
      <c r="D112" s="5">
        <v>31</v>
      </c>
      <c r="E112">
        <f t="shared" si="3"/>
        <v>58</v>
      </c>
      <c r="H112" t="s">
        <v>47</v>
      </c>
      <c r="I112">
        <v>58</v>
      </c>
      <c r="K112" s="4" t="s">
        <v>268</v>
      </c>
      <c r="L112" s="4" t="s">
        <v>269</v>
      </c>
      <c r="M112" t="str">
        <f t="shared" si="4"/>
        <v>Patrik Laine</v>
      </c>
      <c r="N112">
        <f t="shared" si="5"/>
        <v>43</v>
      </c>
    </row>
    <row r="113" spans="1:14" x14ac:dyDescent="0.25">
      <c r="A113" s="7">
        <v>112</v>
      </c>
      <c r="B113" t="s">
        <v>576</v>
      </c>
      <c r="C113" s="7">
        <v>13</v>
      </c>
      <c r="D113" s="7">
        <v>34</v>
      </c>
      <c r="E113">
        <f t="shared" si="3"/>
        <v>47</v>
      </c>
      <c r="H113" t="s">
        <v>102</v>
      </c>
      <c r="I113">
        <v>47</v>
      </c>
      <c r="K113" s="3" t="s">
        <v>347</v>
      </c>
      <c r="L113" s="3" t="s">
        <v>348</v>
      </c>
      <c r="M113" t="str">
        <f t="shared" si="4"/>
        <v>Tyson Barrie</v>
      </c>
      <c r="N113">
        <f t="shared" si="5"/>
        <v>47</v>
      </c>
    </row>
    <row r="114" spans="1:14" x14ac:dyDescent="0.25">
      <c r="A114" s="5">
        <v>113</v>
      </c>
      <c r="B114" t="s">
        <v>577</v>
      </c>
      <c r="C114" s="5">
        <v>11</v>
      </c>
      <c r="D114" s="5">
        <v>30</v>
      </c>
      <c r="E114">
        <f t="shared" si="3"/>
        <v>41</v>
      </c>
      <c r="H114" t="s">
        <v>678</v>
      </c>
      <c r="I114">
        <v>41</v>
      </c>
      <c r="K114" s="4" t="s">
        <v>397</v>
      </c>
      <c r="L114" s="4" t="s">
        <v>398</v>
      </c>
      <c r="M114" t="str">
        <f t="shared" si="4"/>
        <v>Sam Reinhart</v>
      </c>
      <c r="N114">
        <f t="shared" si="5"/>
        <v>46</v>
      </c>
    </row>
    <row r="115" spans="1:14" x14ac:dyDescent="0.25">
      <c r="A115" s="7">
        <v>114</v>
      </c>
      <c r="B115" t="s">
        <v>578</v>
      </c>
      <c r="C115" s="7">
        <v>22</v>
      </c>
      <c r="D115" s="7">
        <v>22</v>
      </c>
      <c r="E115">
        <f t="shared" si="3"/>
        <v>44</v>
      </c>
      <c r="H115" t="s">
        <v>84</v>
      </c>
      <c r="I115">
        <v>44</v>
      </c>
      <c r="K115" s="3" t="s">
        <v>188</v>
      </c>
      <c r="L115" s="3" t="s">
        <v>363</v>
      </c>
      <c r="M115" t="str">
        <f t="shared" si="4"/>
        <v>Ryan Kesler</v>
      </c>
      <c r="N115">
        <f t="shared" si="5"/>
        <v>55</v>
      </c>
    </row>
    <row r="116" spans="1:14" x14ac:dyDescent="0.25">
      <c r="A116" s="5">
        <v>115</v>
      </c>
      <c r="B116" t="s">
        <v>579</v>
      </c>
      <c r="C116" s="5">
        <v>30</v>
      </c>
      <c r="D116" s="5">
        <v>23</v>
      </c>
      <c r="E116">
        <f t="shared" si="3"/>
        <v>53</v>
      </c>
      <c r="H116" t="s">
        <v>77</v>
      </c>
      <c r="I116">
        <v>53</v>
      </c>
      <c r="K116" s="4" t="s">
        <v>365</v>
      </c>
      <c r="L116" s="4" t="s">
        <v>369</v>
      </c>
      <c r="M116" t="str">
        <f t="shared" si="4"/>
        <v>Tomas Hertl</v>
      </c>
      <c r="N116">
        <f t="shared" si="5"/>
        <v>51</v>
      </c>
    </row>
    <row r="117" spans="1:14" x14ac:dyDescent="0.25">
      <c r="A117" s="7">
        <v>116</v>
      </c>
      <c r="B117" t="s">
        <v>580</v>
      </c>
      <c r="C117" s="7">
        <v>21</v>
      </c>
      <c r="D117" s="7">
        <v>33</v>
      </c>
      <c r="E117">
        <f t="shared" si="3"/>
        <v>54</v>
      </c>
      <c r="H117" t="s">
        <v>88</v>
      </c>
      <c r="I117">
        <v>54</v>
      </c>
      <c r="K117" s="3" t="s">
        <v>314</v>
      </c>
      <c r="L117" s="3" t="s">
        <v>315</v>
      </c>
      <c r="M117" t="str">
        <f t="shared" si="4"/>
        <v>Gustav Nyquist</v>
      </c>
      <c r="N117">
        <f t="shared" si="5"/>
        <v>47</v>
      </c>
    </row>
    <row r="118" spans="1:14" x14ac:dyDescent="0.25">
      <c r="A118" s="5">
        <v>117</v>
      </c>
      <c r="B118" t="s">
        <v>581</v>
      </c>
      <c r="C118" s="5">
        <v>28</v>
      </c>
      <c r="D118" s="5">
        <v>26</v>
      </c>
      <c r="E118">
        <f t="shared" si="3"/>
        <v>54</v>
      </c>
      <c r="H118" t="s">
        <v>78</v>
      </c>
      <c r="I118">
        <v>54</v>
      </c>
      <c r="K118" s="4" t="s">
        <v>415</v>
      </c>
      <c r="L118" s="4" t="s">
        <v>416</v>
      </c>
      <c r="M118" t="str">
        <f t="shared" si="4"/>
        <v>Robby Fabbri</v>
      </c>
      <c r="N118">
        <f t="shared" si="5"/>
        <v>49</v>
      </c>
    </row>
    <row r="119" spans="1:14" x14ac:dyDescent="0.25">
      <c r="A119" s="7">
        <v>118</v>
      </c>
      <c r="B119" t="s">
        <v>582</v>
      </c>
      <c r="C119" s="7">
        <v>23</v>
      </c>
      <c r="D119" s="7">
        <v>26</v>
      </c>
      <c r="E119">
        <f t="shared" si="3"/>
        <v>49</v>
      </c>
      <c r="H119" t="s">
        <v>139</v>
      </c>
      <c r="I119">
        <v>49</v>
      </c>
      <c r="K119" s="3" t="s">
        <v>383</v>
      </c>
      <c r="L119" s="3" t="s">
        <v>384</v>
      </c>
      <c r="M119" t="str">
        <f t="shared" si="4"/>
        <v>Nikolaj Ehlers</v>
      </c>
      <c r="N119">
        <f t="shared" si="5"/>
        <v>48</v>
      </c>
    </row>
    <row r="120" spans="1:14" x14ac:dyDescent="0.25">
      <c r="A120" s="5">
        <v>119</v>
      </c>
      <c r="B120" t="s">
        <v>583</v>
      </c>
      <c r="C120" s="5">
        <v>23</v>
      </c>
      <c r="D120" s="5">
        <v>28</v>
      </c>
      <c r="E120">
        <f t="shared" si="3"/>
        <v>51</v>
      </c>
      <c r="H120" t="s">
        <v>115</v>
      </c>
      <c r="I120">
        <v>51</v>
      </c>
      <c r="K120" s="4" t="s">
        <v>397</v>
      </c>
      <c r="L120" s="4" t="s">
        <v>421</v>
      </c>
      <c r="M120" t="str">
        <f t="shared" si="4"/>
        <v>Sam Bennett</v>
      </c>
      <c r="N120">
        <f t="shared" si="5"/>
        <v>48</v>
      </c>
    </row>
    <row r="121" spans="1:14" x14ac:dyDescent="0.25">
      <c r="A121" s="7">
        <v>120</v>
      </c>
      <c r="B121" t="s">
        <v>584</v>
      </c>
      <c r="C121" s="7">
        <v>9</v>
      </c>
      <c r="D121" s="7">
        <v>24</v>
      </c>
      <c r="E121">
        <f t="shared" si="3"/>
        <v>33</v>
      </c>
      <c r="H121" t="s">
        <v>679</v>
      </c>
      <c r="I121">
        <v>33</v>
      </c>
      <c r="K121" s="3" t="s">
        <v>428</v>
      </c>
      <c r="L121" s="3" t="s">
        <v>429</v>
      </c>
      <c r="M121" t="str">
        <f t="shared" si="4"/>
        <v>Reilly Smith</v>
      </c>
      <c r="N121">
        <f t="shared" si="5"/>
        <v>42</v>
      </c>
    </row>
    <row r="122" spans="1:14" x14ac:dyDescent="0.25">
      <c r="A122" s="5">
        <v>121</v>
      </c>
      <c r="B122" t="s">
        <v>585</v>
      </c>
      <c r="C122" s="5">
        <v>10</v>
      </c>
      <c r="D122" s="5">
        <v>27</v>
      </c>
      <c r="E122">
        <f t="shared" si="3"/>
        <v>37</v>
      </c>
      <c r="H122" t="s">
        <v>680</v>
      </c>
      <c r="I122">
        <v>37</v>
      </c>
      <c r="K122" s="4" t="s">
        <v>433</v>
      </c>
      <c r="L122" s="4" t="s">
        <v>434</v>
      </c>
      <c r="M122" t="str">
        <f t="shared" si="4"/>
        <v>Teuvo Teravainen</v>
      </c>
      <c r="N122" t="e">
        <f t="shared" si="5"/>
        <v>#N/A</v>
      </c>
    </row>
    <row r="123" spans="1:14" x14ac:dyDescent="0.25">
      <c r="A123" s="7">
        <v>122</v>
      </c>
      <c r="B123" t="s">
        <v>586</v>
      </c>
      <c r="C123" s="7">
        <v>20</v>
      </c>
      <c r="D123" s="7">
        <v>21</v>
      </c>
      <c r="E123">
        <f t="shared" si="3"/>
        <v>41</v>
      </c>
      <c r="H123" t="s">
        <v>681</v>
      </c>
      <c r="I123">
        <v>41</v>
      </c>
      <c r="K123" s="3" t="s">
        <v>381</v>
      </c>
      <c r="L123" s="3" t="s">
        <v>382</v>
      </c>
      <c r="M123" t="str">
        <f t="shared" si="4"/>
        <v>Jiri Hudler</v>
      </c>
      <c r="N123">
        <f t="shared" si="5"/>
        <v>48</v>
      </c>
    </row>
    <row r="124" spans="1:14" x14ac:dyDescent="0.25">
      <c r="A124" s="5">
        <v>123</v>
      </c>
      <c r="B124" t="s">
        <v>587</v>
      </c>
      <c r="C124" s="5">
        <v>17</v>
      </c>
      <c r="D124" s="5">
        <v>33</v>
      </c>
      <c r="E124">
        <f t="shared" si="3"/>
        <v>50</v>
      </c>
      <c r="H124" t="s">
        <v>93</v>
      </c>
      <c r="I124">
        <v>50</v>
      </c>
      <c r="K124" s="4" t="s">
        <v>349</v>
      </c>
      <c r="L124" s="4" t="s">
        <v>350</v>
      </c>
      <c r="M124" t="str">
        <f t="shared" si="4"/>
        <v>Drew Doughty</v>
      </c>
      <c r="N124">
        <f t="shared" si="5"/>
        <v>46</v>
      </c>
    </row>
    <row r="125" spans="1:14" x14ac:dyDescent="0.25">
      <c r="A125" s="7">
        <v>124</v>
      </c>
      <c r="B125" t="s">
        <v>588</v>
      </c>
      <c r="C125" s="7">
        <v>15</v>
      </c>
      <c r="D125" s="7">
        <v>27</v>
      </c>
      <c r="E125">
        <f t="shared" si="3"/>
        <v>42</v>
      </c>
      <c r="H125" t="s">
        <v>133</v>
      </c>
      <c r="I125">
        <v>42</v>
      </c>
      <c r="K125" s="3" t="s">
        <v>174</v>
      </c>
      <c r="L125" s="3" t="s">
        <v>370</v>
      </c>
      <c r="M125" t="str">
        <f t="shared" si="4"/>
        <v>Alexander Wennberg</v>
      </c>
      <c r="N125" t="e">
        <f t="shared" si="5"/>
        <v>#N/A</v>
      </c>
    </row>
    <row r="126" spans="1:14" x14ac:dyDescent="0.25">
      <c r="A126" s="5">
        <v>125</v>
      </c>
      <c r="B126" t="s">
        <v>589</v>
      </c>
      <c r="C126" s="5">
        <v>19</v>
      </c>
      <c r="D126" s="5">
        <v>23</v>
      </c>
      <c r="E126">
        <f t="shared" si="3"/>
        <v>42</v>
      </c>
      <c r="H126" t="s">
        <v>36</v>
      </c>
      <c r="I126">
        <v>42</v>
      </c>
      <c r="K126" s="4" t="s">
        <v>401</v>
      </c>
      <c r="L126" s="4" t="s">
        <v>402</v>
      </c>
      <c r="M126" t="str">
        <f t="shared" si="4"/>
        <v>Duncan Keith</v>
      </c>
      <c r="N126">
        <f t="shared" si="5"/>
        <v>49</v>
      </c>
    </row>
    <row r="127" spans="1:14" x14ac:dyDescent="0.25">
      <c r="A127" s="7">
        <v>126</v>
      </c>
      <c r="B127" t="s">
        <v>590</v>
      </c>
      <c r="C127" s="7">
        <v>25</v>
      </c>
      <c r="D127" s="7">
        <v>22</v>
      </c>
      <c r="E127">
        <f t="shared" si="3"/>
        <v>47</v>
      </c>
      <c r="H127" t="s">
        <v>153</v>
      </c>
      <c r="I127">
        <v>47</v>
      </c>
      <c r="K127" s="3" t="s">
        <v>333</v>
      </c>
      <c r="L127" s="3" t="s">
        <v>334</v>
      </c>
      <c r="M127" t="str">
        <f t="shared" si="4"/>
        <v>Carl Soderberg</v>
      </c>
      <c r="N127">
        <f t="shared" si="5"/>
        <v>48</v>
      </c>
    </row>
    <row r="128" spans="1:14" x14ac:dyDescent="0.25">
      <c r="A128" s="5">
        <v>127</v>
      </c>
      <c r="B128" t="s">
        <v>591</v>
      </c>
      <c r="C128" s="5">
        <v>18</v>
      </c>
      <c r="D128" s="5">
        <v>34</v>
      </c>
      <c r="E128">
        <f t="shared" si="3"/>
        <v>52</v>
      </c>
      <c r="H128" t="s">
        <v>106</v>
      </c>
      <c r="I128">
        <v>52</v>
      </c>
      <c r="K128" s="4" t="s">
        <v>390</v>
      </c>
      <c r="L128" s="4" t="s">
        <v>391</v>
      </c>
      <c r="M128" t="str">
        <f t="shared" si="4"/>
        <v>Anthony Duclair</v>
      </c>
      <c r="N128">
        <f t="shared" si="5"/>
        <v>47</v>
      </c>
    </row>
    <row r="129" spans="1:14" x14ac:dyDescent="0.25">
      <c r="A129" s="7">
        <v>128</v>
      </c>
      <c r="B129" s="8" t="s">
        <v>592</v>
      </c>
      <c r="C129" s="7">
        <v>22</v>
      </c>
      <c r="D129" s="7">
        <v>37</v>
      </c>
      <c r="E129">
        <f t="shared" si="3"/>
        <v>59</v>
      </c>
      <c r="H129" t="s">
        <v>44</v>
      </c>
      <c r="I129">
        <v>59</v>
      </c>
      <c r="K129" s="3" t="s">
        <v>411</v>
      </c>
      <c r="L129" s="3" t="s">
        <v>412</v>
      </c>
      <c r="M129" t="str">
        <f t="shared" si="4"/>
        <v>Bo Horvat</v>
      </c>
      <c r="N129" t="e">
        <f t="shared" si="5"/>
        <v>#N/A</v>
      </c>
    </row>
    <row r="130" spans="1:14" x14ac:dyDescent="0.25">
      <c r="A130" s="5">
        <v>129</v>
      </c>
      <c r="B130" t="s">
        <v>593</v>
      </c>
      <c r="C130" s="5">
        <v>24</v>
      </c>
      <c r="D130" s="5">
        <v>32</v>
      </c>
      <c r="E130">
        <f t="shared" si="3"/>
        <v>56</v>
      </c>
      <c r="H130" t="s">
        <v>32</v>
      </c>
      <c r="I130">
        <v>56</v>
      </c>
      <c r="K130" s="4" t="s">
        <v>329</v>
      </c>
      <c r="L130" s="4" t="s">
        <v>330</v>
      </c>
      <c r="M130" t="str">
        <f t="shared" si="4"/>
        <v>Cam Atkinson</v>
      </c>
      <c r="N130">
        <f t="shared" si="5"/>
        <v>49</v>
      </c>
    </row>
    <row r="131" spans="1:14" x14ac:dyDescent="0.25">
      <c r="A131" s="7">
        <v>130</v>
      </c>
      <c r="B131" t="s">
        <v>594</v>
      </c>
      <c r="C131" s="7">
        <v>18</v>
      </c>
      <c r="D131" s="7">
        <v>25</v>
      </c>
      <c r="E131">
        <f t="shared" ref="E131:E194" si="6">C131+D131</f>
        <v>43</v>
      </c>
      <c r="H131" t="s">
        <v>135</v>
      </c>
      <c r="I131">
        <v>43</v>
      </c>
      <c r="K131" s="3" t="s">
        <v>335</v>
      </c>
      <c r="L131" s="3" t="s">
        <v>336</v>
      </c>
      <c r="M131" t="str">
        <f t="shared" ref="M131:M176" si="7">K131&amp;" "&amp;L131</f>
        <v>Marcus Johansson</v>
      </c>
      <c r="N131">
        <f t="shared" ref="N131:N176" si="8">VLOOKUP(M131,$H$2:$I$201,2,0)</f>
        <v>45</v>
      </c>
    </row>
    <row r="132" spans="1:14" x14ac:dyDescent="0.25">
      <c r="A132" s="5">
        <v>131</v>
      </c>
      <c r="B132" s="6" t="s">
        <v>595</v>
      </c>
      <c r="C132" s="5">
        <v>26</v>
      </c>
      <c r="D132" s="5">
        <v>25</v>
      </c>
      <c r="E132">
        <f t="shared" si="6"/>
        <v>51</v>
      </c>
      <c r="H132" t="s">
        <v>131</v>
      </c>
      <c r="I132">
        <v>51</v>
      </c>
      <c r="K132" s="4" t="s">
        <v>407</v>
      </c>
      <c r="L132" s="4" t="s">
        <v>408</v>
      </c>
      <c r="M132" t="str">
        <f t="shared" si="7"/>
        <v>Charlie Coyle</v>
      </c>
      <c r="N132" t="e">
        <f t="shared" si="8"/>
        <v>#N/A</v>
      </c>
    </row>
    <row r="133" spans="1:14" x14ac:dyDescent="0.25">
      <c r="A133" s="7">
        <v>132</v>
      </c>
      <c r="B133" t="s">
        <v>596</v>
      </c>
      <c r="C133" s="7">
        <v>9</v>
      </c>
      <c r="D133" s="7">
        <v>22</v>
      </c>
      <c r="E133">
        <f t="shared" si="6"/>
        <v>31</v>
      </c>
      <c r="H133" t="s">
        <v>682</v>
      </c>
      <c r="I133">
        <v>31</v>
      </c>
      <c r="K133" s="3" t="s">
        <v>399</v>
      </c>
      <c r="L133" s="3" t="s">
        <v>400</v>
      </c>
      <c r="M133" t="str">
        <f t="shared" si="7"/>
        <v>Rickard Rakell</v>
      </c>
      <c r="N133">
        <f t="shared" si="8"/>
        <v>51</v>
      </c>
    </row>
    <row r="134" spans="1:14" x14ac:dyDescent="0.25">
      <c r="A134" s="5">
        <v>133</v>
      </c>
      <c r="B134" t="s">
        <v>597</v>
      </c>
      <c r="C134" s="5">
        <v>9</v>
      </c>
      <c r="D134" s="5">
        <v>27</v>
      </c>
      <c r="E134">
        <f t="shared" si="6"/>
        <v>36</v>
      </c>
      <c r="H134" t="s">
        <v>683</v>
      </c>
      <c r="I134">
        <v>36</v>
      </c>
      <c r="K134" s="4" t="s">
        <v>188</v>
      </c>
      <c r="L134" s="4" t="s">
        <v>388</v>
      </c>
      <c r="M134" t="str">
        <f t="shared" si="7"/>
        <v>Ryan Spooner</v>
      </c>
      <c r="N134">
        <f t="shared" si="8"/>
        <v>46</v>
      </c>
    </row>
    <row r="135" spans="1:14" x14ac:dyDescent="0.25">
      <c r="A135" s="7">
        <v>134</v>
      </c>
      <c r="B135" s="8" t="s">
        <v>598</v>
      </c>
      <c r="C135" s="7">
        <v>8</v>
      </c>
      <c r="D135" s="7">
        <v>33</v>
      </c>
      <c r="E135">
        <f t="shared" si="6"/>
        <v>41</v>
      </c>
      <c r="H135" t="s">
        <v>152</v>
      </c>
      <c r="I135">
        <v>41</v>
      </c>
      <c r="K135" s="3" t="s">
        <v>374</v>
      </c>
      <c r="L135" s="3" t="s">
        <v>385</v>
      </c>
      <c r="M135" t="str">
        <f t="shared" si="7"/>
        <v>Justin Williams</v>
      </c>
      <c r="N135">
        <f t="shared" si="8"/>
        <v>48</v>
      </c>
    </row>
    <row r="136" spans="1:14" x14ac:dyDescent="0.25">
      <c r="A136" s="5">
        <v>135</v>
      </c>
      <c r="B136" t="s">
        <v>599</v>
      </c>
      <c r="C136" s="5">
        <v>17</v>
      </c>
      <c r="D136" s="5">
        <v>29</v>
      </c>
      <c r="E136">
        <f t="shared" si="6"/>
        <v>46</v>
      </c>
      <c r="H136" t="s">
        <v>54</v>
      </c>
      <c r="I136">
        <v>46</v>
      </c>
      <c r="K136" s="4" t="s">
        <v>303</v>
      </c>
      <c r="L136" s="4" t="s">
        <v>406</v>
      </c>
      <c r="M136" t="str">
        <f t="shared" si="7"/>
        <v>Brandon Dubinsky</v>
      </c>
      <c r="N136">
        <f t="shared" si="8"/>
        <v>42</v>
      </c>
    </row>
    <row r="137" spans="1:14" x14ac:dyDescent="0.25">
      <c r="A137" s="7">
        <v>136</v>
      </c>
      <c r="B137" t="s">
        <v>600</v>
      </c>
      <c r="C137" s="7">
        <v>8</v>
      </c>
      <c r="D137" s="7">
        <v>28</v>
      </c>
      <c r="E137">
        <f t="shared" si="6"/>
        <v>36</v>
      </c>
      <c r="H137" t="s">
        <v>684</v>
      </c>
      <c r="I137">
        <v>36</v>
      </c>
      <c r="K137" s="3" t="s">
        <v>371</v>
      </c>
      <c r="L137" s="3" t="s">
        <v>372</v>
      </c>
      <c r="M137" t="str">
        <f t="shared" si="7"/>
        <v>Shayne Gostisbehe…</v>
      </c>
      <c r="N137" t="e">
        <f t="shared" si="8"/>
        <v>#N/A</v>
      </c>
    </row>
    <row r="138" spans="1:14" x14ac:dyDescent="0.25">
      <c r="A138" s="5">
        <v>137</v>
      </c>
      <c r="B138" t="s">
        <v>601</v>
      </c>
      <c r="C138" s="5">
        <v>23</v>
      </c>
      <c r="D138" s="5">
        <v>29</v>
      </c>
      <c r="E138">
        <f t="shared" si="6"/>
        <v>52</v>
      </c>
      <c r="H138" t="s">
        <v>123</v>
      </c>
      <c r="I138">
        <v>52</v>
      </c>
      <c r="K138" s="4" t="s">
        <v>374</v>
      </c>
      <c r="L138" s="4" t="s">
        <v>375</v>
      </c>
      <c r="M138" t="str">
        <f t="shared" si="7"/>
        <v>Justin Faulk</v>
      </c>
      <c r="N138">
        <f t="shared" si="8"/>
        <v>47</v>
      </c>
    </row>
    <row r="139" spans="1:14" x14ac:dyDescent="0.25">
      <c r="A139" s="7">
        <v>138</v>
      </c>
      <c r="B139" t="s">
        <v>602</v>
      </c>
      <c r="C139" s="7">
        <v>8</v>
      </c>
      <c r="D139" s="7">
        <v>27</v>
      </c>
      <c r="E139">
        <f t="shared" si="6"/>
        <v>35</v>
      </c>
      <c r="H139" t="s">
        <v>685</v>
      </c>
      <c r="I139">
        <v>35</v>
      </c>
      <c r="K139" s="3" t="s">
        <v>426</v>
      </c>
      <c r="L139" s="3" t="s">
        <v>427</v>
      </c>
      <c r="M139" t="str">
        <f t="shared" si="7"/>
        <v>Kevin Shattenkirk</v>
      </c>
      <c r="N139">
        <f t="shared" si="8"/>
        <v>38</v>
      </c>
    </row>
    <row r="140" spans="1:14" x14ac:dyDescent="0.25">
      <c r="A140" s="5">
        <v>139</v>
      </c>
      <c r="B140" t="s">
        <v>603</v>
      </c>
      <c r="C140" s="5">
        <v>20</v>
      </c>
      <c r="D140" s="5">
        <v>28</v>
      </c>
      <c r="E140">
        <f t="shared" si="6"/>
        <v>48</v>
      </c>
      <c r="H140" t="s">
        <v>125</v>
      </c>
      <c r="I140">
        <v>48</v>
      </c>
      <c r="K140" s="4" t="s">
        <v>438</v>
      </c>
      <c r="L140" s="4" t="s">
        <v>439</v>
      </c>
      <c r="M140" t="str">
        <f t="shared" si="7"/>
        <v>Nino Niederreiter</v>
      </c>
      <c r="N140">
        <f t="shared" si="8"/>
        <v>39</v>
      </c>
    </row>
    <row r="141" spans="1:14" x14ac:dyDescent="0.25">
      <c r="A141" s="7">
        <v>140</v>
      </c>
      <c r="B141" t="s">
        <v>604</v>
      </c>
      <c r="C141" s="7">
        <v>19</v>
      </c>
      <c r="D141" s="7">
        <v>28</v>
      </c>
      <c r="E141">
        <f t="shared" si="6"/>
        <v>47</v>
      </c>
      <c r="H141" t="s">
        <v>117</v>
      </c>
      <c r="I141">
        <v>47</v>
      </c>
      <c r="K141" s="3" t="s">
        <v>210</v>
      </c>
      <c r="L141" s="3" t="s">
        <v>403</v>
      </c>
      <c r="M141" t="str">
        <f t="shared" si="7"/>
        <v>Sean Couturier</v>
      </c>
      <c r="N141">
        <f t="shared" si="8"/>
        <v>39</v>
      </c>
    </row>
    <row r="142" spans="1:14" x14ac:dyDescent="0.25">
      <c r="A142" s="5">
        <v>141</v>
      </c>
      <c r="B142" t="s">
        <v>605</v>
      </c>
      <c r="C142" s="5">
        <v>22</v>
      </c>
      <c r="D142" s="5">
        <v>25</v>
      </c>
      <c r="E142">
        <f t="shared" si="6"/>
        <v>47</v>
      </c>
      <c r="H142" t="s">
        <v>120</v>
      </c>
      <c r="I142">
        <v>47</v>
      </c>
      <c r="K142" s="4" t="s">
        <v>404</v>
      </c>
      <c r="L142" s="4" t="s">
        <v>405</v>
      </c>
      <c r="M142" t="str">
        <f t="shared" si="7"/>
        <v>Nazem Kadri</v>
      </c>
      <c r="N142">
        <f t="shared" si="8"/>
        <v>47</v>
      </c>
    </row>
    <row r="143" spans="1:14" x14ac:dyDescent="0.25">
      <c r="A143" s="7">
        <v>142</v>
      </c>
      <c r="B143" t="s">
        <v>606</v>
      </c>
      <c r="C143" s="7">
        <v>13</v>
      </c>
      <c r="D143" s="7">
        <v>31</v>
      </c>
      <c r="E143">
        <f t="shared" si="6"/>
        <v>44</v>
      </c>
      <c r="H143" t="s">
        <v>686</v>
      </c>
      <c r="I143">
        <v>44</v>
      </c>
      <c r="K143" s="3" t="s">
        <v>419</v>
      </c>
      <c r="L143" s="3" t="s">
        <v>420</v>
      </c>
      <c r="M143" t="str">
        <f t="shared" si="7"/>
        <v>Chris Kreider</v>
      </c>
      <c r="N143">
        <f t="shared" si="8"/>
        <v>45</v>
      </c>
    </row>
    <row r="144" spans="1:14" x14ac:dyDescent="0.25">
      <c r="A144" s="5">
        <v>143</v>
      </c>
      <c r="B144" t="s">
        <v>607</v>
      </c>
      <c r="C144" s="5">
        <v>20</v>
      </c>
      <c r="D144" s="5">
        <v>30</v>
      </c>
      <c r="E144">
        <f t="shared" si="6"/>
        <v>50</v>
      </c>
      <c r="H144" t="s">
        <v>59</v>
      </c>
      <c r="I144">
        <v>50</v>
      </c>
      <c r="K144" s="4" t="s">
        <v>378</v>
      </c>
      <c r="L144" s="4" t="s">
        <v>373</v>
      </c>
      <c r="M144" t="str">
        <f t="shared" si="7"/>
        <v>Eric Staal</v>
      </c>
      <c r="N144">
        <f t="shared" si="8"/>
        <v>52</v>
      </c>
    </row>
    <row r="145" spans="1:14" x14ac:dyDescent="0.25">
      <c r="A145" s="7">
        <v>144</v>
      </c>
      <c r="B145" t="s">
        <v>608</v>
      </c>
      <c r="C145" s="7">
        <v>18</v>
      </c>
      <c r="D145" s="7">
        <v>32</v>
      </c>
      <c r="E145">
        <f t="shared" si="6"/>
        <v>50</v>
      </c>
      <c r="H145" t="s">
        <v>109</v>
      </c>
      <c r="I145">
        <v>50</v>
      </c>
      <c r="K145" s="3" t="s">
        <v>365</v>
      </c>
      <c r="L145" s="3" t="s">
        <v>417</v>
      </c>
      <c r="M145" t="str">
        <f t="shared" si="7"/>
        <v>Tomas Tatar</v>
      </c>
      <c r="N145">
        <f t="shared" si="8"/>
        <v>49</v>
      </c>
    </row>
    <row r="146" spans="1:14" x14ac:dyDescent="0.25">
      <c r="A146" s="5">
        <v>145</v>
      </c>
      <c r="B146" t="s">
        <v>609</v>
      </c>
      <c r="C146" s="5">
        <v>23</v>
      </c>
      <c r="D146" s="5">
        <v>27</v>
      </c>
      <c r="E146">
        <f t="shared" si="6"/>
        <v>50</v>
      </c>
      <c r="H146" t="s">
        <v>144</v>
      </c>
      <c r="I146">
        <v>50</v>
      </c>
      <c r="K146" s="4" t="s">
        <v>290</v>
      </c>
      <c r="L146" s="4" t="s">
        <v>435</v>
      </c>
      <c r="M146" t="str">
        <f t="shared" si="7"/>
        <v>Mike Ribeiro</v>
      </c>
      <c r="N146">
        <f t="shared" si="8"/>
        <v>48</v>
      </c>
    </row>
    <row r="147" spans="1:14" x14ac:dyDescent="0.25">
      <c r="A147" s="7">
        <v>146</v>
      </c>
      <c r="B147" t="s">
        <v>610</v>
      </c>
      <c r="C147" s="7">
        <v>26</v>
      </c>
      <c r="D147" s="7">
        <v>21</v>
      </c>
      <c r="E147">
        <f t="shared" si="6"/>
        <v>47</v>
      </c>
      <c r="H147" t="s">
        <v>97</v>
      </c>
      <c r="I147">
        <v>47</v>
      </c>
      <c r="K147" s="3" t="s">
        <v>286</v>
      </c>
      <c r="L147" s="3" t="s">
        <v>395</v>
      </c>
      <c r="M147" t="str">
        <f t="shared" si="7"/>
        <v>Dylan Strome</v>
      </c>
      <c r="N147">
        <f t="shared" si="8"/>
        <v>43</v>
      </c>
    </row>
    <row r="148" spans="1:14" x14ac:dyDescent="0.25">
      <c r="A148" s="5">
        <v>147</v>
      </c>
      <c r="B148" t="s">
        <v>611</v>
      </c>
      <c r="C148" s="5">
        <v>21</v>
      </c>
      <c r="D148" s="5">
        <v>35</v>
      </c>
      <c r="E148">
        <f t="shared" si="6"/>
        <v>56</v>
      </c>
      <c r="H148" t="s">
        <v>101</v>
      </c>
      <c r="I148">
        <v>56</v>
      </c>
      <c r="K148" s="4" t="s">
        <v>226</v>
      </c>
      <c r="L148" s="4" t="s">
        <v>373</v>
      </c>
      <c r="M148" t="str">
        <f t="shared" si="7"/>
        <v>Jordan Staal</v>
      </c>
      <c r="N148">
        <f t="shared" si="8"/>
        <v>47</v>
      </c>
    </row>
    <row r="149" spans="1:14" x14ac:dyDescent="0.25">
      <c r="A149" s="7">
        <v>148</v>
      </c>
      <c r="B149" t="s">
        <v>612</v>
      </c>
      <c r="C149" s="7">
        <v>13</v>
      </c>
      <c r="D149" s="7">
        <v>35</v>
      </c>
      <c r="E149">
        <f t="shared" si="6"/>
        <v>48</v>
      </c>
      <c r="H149" t="s">
        <v>104</v>
      </c>
      <c r="I149">
        <v>48</v>
      </c>
      <c r="K149" s="3" t="s">
        <v>188</v>
      </c>
      <c r="L149" s="3" t="s">
        <v>389</v>
      </c>
      <c r="M149" t="str">
        <f t="shared" si="7"/>
        <v>Ryan Suter</v>
      </c>
      <c r="N149">
        <f t="shared" si="8"/>
        <v>43</v>
      </c>
    </row>
    <row r="150" spans="1:14" x14ac:dyDescent="0.25">
      <c r="A150" s="5">
        <v>149</v>
      </c>
      <c r="B150" t="s">
        <v>613</v>
      </c>
      <c r="C150" s="5">
        <v>20</v>
      </c>
      <c r="D150" s="5">
        <v>31</v>
      </c>
      <c r="E150">
        <f t="shared" si="6"/>
        <v>51</v>
      </c>
      <c r="H150" t="s">
        <v>65</v>
      </c>
      <c r="I150">
        <v>51</v>
      </c>
      <c r="K150" s="4" t="s">
        <v>386</v>
      </c>
      <c r="L150" s="4" t="s">
        <v>387</v>
      </c>
      <c r="M150" t="str">
        <f t="shared" si="7"/>
        <v>Mikael Granlund</v>
      </c>
      <c r="N150" t="e">
        <f t="shared" si="8"/>
        <v>#N/A</v>
      </c>
    </row>
    <row r="151" spans="1:14" x14ac:dyDescent="0.25">
      <c r="A151" s="7">
        <v>150</v>
      </c>
      <c r="B151" t="s">
        <v>614</v>
      </c>
      <c r="C151" s="7">
        <v>14</v>
      </c>
      <c r="D151" s="7">
        <v>34</v>
      </c>
      <c r="E151">
        <f t="shared" si="6"/>
        <v>48</v>
      </c>
      <c r="H151" t="s">
        <v>94</v>
      </c>
      <c r="I151">
        <v>48</v>
      </c>
      <c r="K151" s="3" t="s">
        <v>367</v>
      </c>
      <c r="L151" s="3" t="s">
        <v>368</v>
      </c>
      <c r="M151" t="str">
        <f t="shared" si="7"/>
        <v>Martin Hanzal</v>
      </c>
      <c r="N151">
        <f t="shared" si="8"/>
        <v>41</v>
      </c>
    </row>
    <row r="152" spans="1:14" x14ac:dyDescent="0.25">
      <c r="A152" s="5">
        <v>151</v>
      </c>
      <c r="B152" t="s">
        <v>615</v>
      </c>
      <c r="C152" s="5">
        <v>24</v>
      </c>
      <c r="D152" s="5">
        <v>23</v>
      </c>
      <c r="E152">
        <f t="shared" si="6"/>
        <v>47</v>
      </c>
      <c r="H152" t="s">
        <v>83</v>
      </c>
      <c r="I152">
        <v>47</v>
      </c>
      <c r="K152" s="4" t="s">
        <v>243</v>
      </c>
      <c r="L152" s="4" t="s">
        <v>444</v>
      </c>
      <c r="M152" t="str">
        <f t="shared" si="7"/>
        <v>Jason Pominville</v>
      </c>
      <c r="N152">
        <f t="shared" si="8"/>
        <v>46</v>
      </c>
    </row>
    <row r="153" spans="1:14" x14ac:dyDescent="0.25">
      <c r="A153" s="7">
        <v>152</v>
      </c>
      <c r="B153" t="s">
        <v>616</v>
      </c>
      <c r="C153" s="7">
        <v>20</v>
      </c>
      <c r="D153" s="7">
        <v>23</v>
      </c>
      <c r="E153">
        <f t="shared" si="6"/>
        <v>43</v>
      </c>
      <c r="H153" t="s">
        <v>147</v>
      </c>
      <c r="I153">
        <v>43</v>
      </c>
      <c r="K153" s="3" t="s">
        <v>442</v>
      </c>
      <c r="L153" s="3" t="s">
        <v>443</v>
      </c>
      <c r="M153" t="str">
        <f t="shared" si="7"/>
        <v>Jakob Silfverberg</v>
      </c>
      <c r="N153">
        <f t="shared" si="8"/>
        <v>43</v>
      </c>
    </row>
    <row r="154" spans="1:14" x14ac:dyDescent="0.25">
      <c r="A154" s="5">
        <v>153</v>
      </c>
      <c r="B154" t="s">
        <v>617</v>
      </c>
      <c r="C154" s="5">
        <v>21</v>
      </c>
      <c r="D154" s="5">
        <v>25</v>
      </c>
      <c r="E154">
        <f t="shared" si="6"/>
        <v>46</v>
      </c>
      <c r="H154" t="s">
        <v>687</v>
      </c>
      <c r="I154">
        <v>46</v>
      </c>
      <c r="K154" s="4" t="s">
        <v>453</v>
      </c>
      <c r="L154" s="4" t="s">
        <v>454</v>
      </c>
      <c r="M154" t="str">
        <f t="shared" si="7"/>
        <v>Rasmus Ristolainen</v>
      </c>
      <c r="N154">
        <f t="shared" si="8"/>
        <v>41</v>
      </c>
    </row>
    <row r="155" spans="1:14" x14ac:dyDescent="0.25">
      <c r="A155" s="7">
        <v>154</v>
      </c>
      <c r="B155" t="s">
        <v>618</v>
      </c>
      <c r="C155" s="7">
        <v>10</v>
      </c>
      <c r="D155" s="7">
        <v>38</v>
      </c>
      <c r="E155">
        <f t="shared" si="6"/>
        <v>48</v>
      </c>
      <c r="H155" t="s">
        <v>145</v>
      </c>
      <c r="I155">
        <v>48</v>
      </c>
      <c r="K155" s="3" t="s">
        <v>379</v>
      </c>
      <c r="L155" s="3" t="s">
        <v>380</v>
      </c>
      <c r="M155" t="str">
        <f t="shared" si="7"/>
        <v>Jesse Puljujarvi</v>
      </c>
      <c r="N155" t="e">
        <f t="shared" si="8"/>
        <v>#N/A</v>
      </c>
    </row>
    <row r="156" spans="1:14" x14ac:dyDescent="0.25">
      <c r="A156" s="5">
        <v>155</v>
      </c>
      <c r="B156" t="s">
        <v>619</v>
      </c>
      <c r="C156" s="5">
        <v>17</v>
      </c>
      <c r="D156" s="5">
        <v>25</v>
      </c>
      <c r="E156">
        <f t="shared" si="6"/>
        <v>42</v>
      </c>
      <c r="H156" t="s">
        <v>143</v>
      </c>
      <c r="I156">
        <v>42</v>
      </c>
      <c r="K156" s="4" t="s">
        <v>409</v>
      </c>
      <c r="L156" s="4" t="s">
        <v>410</v>
      </c>
      <c r="M156" t="str">
        <f t="shared" si="7"/>
        <v>Brock Nelson</v>
      </c>
      <c r="N156" t="e">
        <f t="shared" si="8"/>
        <v>#N/A</v>
      </c>
    </row>
    <row r="157" spans="1:14" x14ac:dyDescent="0.25">
      <c r="A157" s="7">
        <v>156</v>
      </c>
      <c r="B157" t="s">
        <v>620</v>
      </c>
      <c r="C157" s="7">
        <v>16</v>
      </c>
      <c r="D157" s="7">
        <v>30</v>
      </c>
      <c r="E157">
        <f t="shared" si="6"/>
        <v>46</v>
      </c>
      <c r="H157" t="s">
        <v>149</v>
      </c>
      <c r="I157">
        <v>46</v>
      </c>
      <c r="K157" s="3" t="s">
        <v>457</v>
      </c>
      <c r="L157" s="3" t="s">
        <v>458</v>
      </c>
      <c r="M157" t="str">
        <f t="shared" si="7"/>
        <v>Michael Cammalleri</v>
      </c>
      <c r="N157">
        <f t="shared" si="8"/>
        <v>47</v>
      </c>
    </row>
    <row r="158" spans="1:14" x14ac:dyDescent="0.25">
      <c r="A158" s="5">
        <v>157</v>
      </c>
      <c r="B158" t="s">
        <v>621</v>
      </c>
      <c r="C158" s="5">
        <v>17</v>
      </c>
      <c r="D158" s="5">
        <v>28</v>
      </c>
      <c r="E158">
        <f t="shared" si="6"/>
        <v>45</v>
      </c>
      <c r="H158" t="s">
        <v>89</v>
      </c>
      <c r="I158">
        <v>45</v>
      </c>
      <c r="K158" s="4" t="s">
        <v>162</v>
      </c>
      <c r="L158" s="4" t="s">
        <v>394</v>
      </c>
      <c r="M158" t="str">
        <f t="shared" si="7"/>
        <v>Patrick Marleau</v>
      </c>
      <c r="N158">
        <f t="shared" si="8"/>
        <v>52</v>
      </c>
    </row>
    <row r="159" spans="1:14" x14ac:dyDescent="0.25">
      <c r="A159" s="7">
        <v>158</v>
      </c>
      <c r="B159" t="s">
        <v>622</v>
      </c>
      <c r="C159" s="7">
        <v>22</v>
      </c>
      <c r="D159" s="7">
        <v>26</v>
      </c>
      <c r="E159">
        <f t="shared" si="6"/>
        <v>48</v>
      </c>
      <c r="H159" t="s">
        <v>37</v>
      </c>
      <c r="I159">
        <v>48</v>
      </c>
      <c r="K159" s="3" t="s">
        <v>233</v>
      </c>
      <c r="L159" s="3" t="s">
        <v>418</v>
      </c>
      <c r="M159" t="str">
        <f t="shared" si="7"/>
        <v>Alex Pietrangelo</v>
      </c>
      <c r="N159">
        <f t="shared" si="8"/>
        <v>41</v>
      </c>
    </row>
    <row r="160" spans="1:14" x14ac:dyDescent="0.25">
      <c r="A160" s="5">
        <v>159</v>
      </c>
      <c r="B160" t="s">
        <v>623</v>
      </c>
      <c r="C160" s="5">
        <v>7</v>
      </c>
      <c r="D160" s="5">
        <v>40</v>
      </c>
      <c r="E160">
        <f t="shared" si="6"/>
        <v>47</v>
      </c>
      <c r="H160" t="s">
        <v>688</v>
      </c>
      <c r="I160">
        <v>47</v>
      </c>
      <c r="K160" s="4" t="s">
        <v>424</v>
      </c>
      <c r="L160" s="4" t="s">
        <v>425</v>
      </c>
      <c r="M160" t="str">
        <f t="shared" si="7"/>
        <v>Travis Zajac</v>
      </c>
      <c r="N160" t="e">
        <f t="shared" si="8"/>
        <v>#N/A</v>
      </c>
    </row>
    <row r="161" spans="1:14" x14ac:dyDescent="0.25">
      <c r="A161" s="7">
        <v>160</v>
      </c>
      <c r="B161" t="s">
        <v>624</v>
      </c>
      <c r="C161" s="7">
        <v>24</v>
      </c>
      <c r="D161" s="7">
        <v>25</v>
      </c>
      <c r="E161">
        <f t="shared" si="6"/>
        <v>49</v>
      </c>
      <c r="H161" t="s">
        <v>137</v>
      </c>
      <c r="I161">
        <v>49</v>
      </c>
      <c r="K161" s="3" t="s">
        <v>392</v>
      </c>
      <c r="L161" s="3" t="s">
        <v>393</v>
      </c>
      <c r="M161" t="str">
        <f t="shared" si="7"/>
        <v>Scott Hartnell</v>
      </c>
      <c r="N161">
        <f t="shared" si="8"/>
        <v>51</v>
      </c>
    </row>
    <row r="162" spans="1:14" x14ac:dyDescent="0.25">
      <c r="A162" s="5">
        <v>161</v>
      </c>
      <c r="B162" t="s">
        <v>625</v>
      </c>
      <c r="C162" s="5">
        <v>7</v>
      </c>
      <c r="D162" s="5">
        <v>34</v>
      </c>
      <c r="E162">
        <f t="shared" si="6"/>
        <v>41</v>
      </c>
      <c r="H162" t="s">
        <v>689</v>
      </c>
      <c r="I162">
        <v>41</v>
      </c>
      <c r="K162" s="4" t="s">
        <v>422</v>
      </c>
      <c r="L162" s="4" t="s">
        <v>423</v>
      </c>
      <c r="M162" t="str">
        <f t="shared" si="7"/>
        <v>Pierre-A Parenteau</v>
      </c>
      <c r="N162" t="e">
        <f t="shared" si="8"/>
        <v>#N/A</v>
      </c>
    </row>
    <row r="163" spans="1:14" x14ac:dyDescent="0.25">
      <c r="A163" s="7">
        <v>162</v>
      </c>
      <c r="B163" t="s">
        <v>626</v>
      </c>
      <c r="C163" s="7">
        <v>8</v>
      </c>
      <c r="D163" s="7">
        <v>29</v>
      </c>
      <c r="E163">
        <f t="shared" si="6"/>
        <v>37</v>
      </c>
      <c r="H163" t="s">
        <v>690</v>
      </c>
      <c r="I163">
        <v>37</v>
      </c>
      <c r="K163" s="3" t="s">
        <v>436</v>
      </c>
      <c r="L163" s="3" t="s">
        <v>437</v>
      </c>
      <c r="M163" t="str">
        <f t="shared" si="7"/>
        <v>Aaron Ekblad</v>
      </c>
      <c r="N163">
        <f t="shared" si="8"/>
        <v>39</v>
      </c>
    </row>
    <row r="164" spans="1:14" x14ac:dyDescent="0.25">
      <c r="A164" s="5">
        <v>163</v>
      </c>
      <c r="B164" t="s">
        <v>627</v>
      </c>
      <c r="C164" s="5">
        <v>19</v>
      </c>
      <c r="D164" s="5">
        <v>24</v>
      </c>
      <c r="E164">
        <f t="shared" si="6"/>
        <v>43</v>
      </c>
      <c r="H164" t="s">
        <v>72</v>
      </c>
      <c r="I164">
        <v>43</v>
      </c>
      <c r="K164" s="4" t="s">
        <v>386</v>
      </c>
      <c r="L164" s="4" t="s">
        <v>430</v>
      </c>
      <c r="M164" t="str">
        <f t="shared" si="7"/>
        <v>Mikael Backlund</v>
      </c>
      <c r="N164">
        <f t="shared" si="8"/>
        <v>50</v>
      </c>
    </row>
    <row r="165" spans="1:14" x14ac:dyDescent="0.25">
      <c r="A165" s="7">
        <v>164</v>
      </c>
      <c r="B165" t="s">
        <v>628</v>
      </c>
      <c r="C165" s="7">
        <v>23</v>
      </c>
      <c r="D165" s="7">
        <v>25</v>
      </c>
      <c r="E165">
        <f t="shared" si="6"/>
        <v>48</v>
      </c>
      <c r="H165" t="s">
        <v>107</v>
      </c>
      <c r="I165">
        <v>48</v>
      </c>
      <c r="K165" s="3" t="s">
        <v>168</v>
      </c>
      <c r="L165" s="3" t="s">
        <v>452</v>
      </c>
      <c r="M165" t="str">
        <f t="shared" si="7"/>
        <v>Joe Colborne</v>
      </c>
      <c r="N165" t="e">
        <f t="shared" si="8"/>
        <v>#N/A</v>
      </c>
    </row>
    <row r="166" spans="1:14" x14ac:dyDescent="0.25">
      <c r="A166" s="5">
        <v>165</v>
      </c>
      <c r="B166" t="s">
        <v>629</v>
      </c>
      <c r="C166" s="5">
        <v>10</v>
      </c>
      <c r="D166" s="5">
        <v>33</v>
      </c>
      <c r="E166">
        <f t="shared" si="6"/>
        <v>43</v>
      </c>
      <c r="H166" t="s">
        <v>691</v>
      </c>
      <c r="I166">
        <v>43</v>
      </c>
      <c r="K166" s="4" t="s">
        <v>413</v>
      </c>
      <c r="L166" s="4" t="s">
        <v>414</v>
      </c>
      <c r="M166" t="str">
        <f t="shared" si="7"/>
        <v>J.T. Miller</v>
      </c>
      <c r="N166">
        <f t="shared" si="8"/>
        <v>45</v>
      </c>
    </row>
    <row r="167" spans="1:14" x14ac:dyDescent="0.25">
      <c r="A167" s="7">
        <v>166</v>
      </c>
      <c r="B167" t="s">
        <v>630</v>
      </c>
      <c r="C167" s="7">
        <v>23</v>
      </c>
      <c r="D167" s="7">
        <v>25</v>
      </c>
      <c r="E167">
        <f t="shared" si="6"/>
        <v>48</v>
      </c>
      <c r="H167" t="s">
        <v>140</v>
      </c>
      <c r="I167">
        <v>48</v>
      </c>
      <c r="K167" s="3" t="s">
        <v>445</v>
      </c>
      <c r="L167" s="3" t="s">
        <v>446</v>
      </c>
      <c r="M167" t="str">
        <f t="shared" si="7"/>
        <v>Teddy Purcell</v>
      </c>
      <c r="N167" t="e">
        <f t="shared" si="8"/>
        <v>#N/A</v>
      </c>
    </row>
    <row r="168" spans="1:14" x14ac:dyDescent="0.25">
      <c r="A168" s="5">
        <v>167</v>
      </c>
      <c r="B168" t="s">
        <v>631</v>
      </c>
      <c r="C168" s="5">
        <v>12</v>
      </c>
      <c r="D168" s="5">
        <v>28</v>
      </c>
      <c r="E168">
        <f t="shared" si="6"/>
        <v>40</v>
      </c>
      <c r="H168" t="s">
        <v>692</v>
      </c>
      <c r="I168">
        <v>40</v>
      </c>
      <c r="K168" s="4" t="s">
        <v>431</v>
      </c>
      <c r="L168" s="4" t="s">
        <v>448</v>
      </c>
      <c r="M168" t="str">
        <f t="shared" si="7"/>
        <v>Nick Foligno</v>
      </c>
      <c r="N168">
        <f t="shared" si="8"/>
        <v>47</v>
      </c>
    </row>
    <row r="169" spans="1:14" x14ac:dyDescent="0.25">
      <c r="A169" s="7">
        <v>168</v>
      </c>
      <c r="B169" t="s">
        <v>632</v>
      </c>
      <c r="C169" s="7">
        <v>24</v>
      </c>
      <c r="D169" s="7">
        <v>25</v>
      </c>
      <c r="E169">
        <f t="shared" si="6"/>
        <v>49</v>
      </c>
      <c r="H169" t="s">
        <v>86</v>
      </c>
      <c r="I169">
        <v>49</v>
      </c>
      <c r="K169" s="3" t="s">
        <v>231</v>
      </c>
      <c r="L169" s="3" t="s">
        <v>447</v>
      </c>
      <c r="M169" t="str">
        <f t="shared" si="7"/>
        <v>David Perron</v>
      </c>
      <c r="N169" t="e">
        <f t="shared" si="8"/>
        <v>#N/A</v>
      </c>
    </row>
    <row r="170" spans="1:14" x14ac:dyDescent="0.25">
      <c r="A170" s="5">
        <v>169</v>
      </c>
      <c r="B170" t="s">
        <v>633</v>
      </c>
      <c r="C170" s="5">
        <v>22</v>
      </c>
      <c r="D170" s="5">
        <v>26</v>
      </c>
      <c r="E170">
        <f t="shared" si="6"/>
        <v>48</v>
      </c>
      <c r="H170" t="s">
        <v>119</v>
      </c>
      <c r="I170">
        <v>48</v>
      </c>
      <c r="K170" s="4" t="s">
        <v>376</v>
      </c>
      <c r="L170" s="4" t="s">
        <v>377</v>
      </c>
      <c r="M170" t="str">
        <f t="shared" si="7"/>
        <v>Thomas Vanek</v>
      </c>
      <c r="N170">
        <f t="shared" si="8"/>
        <v>44</v>
      </c>
    </row>
    <row r="171" spans="1:14" x14ac:dyDescent="0.25">
      <c r="A171" s="7">
        <v>170</v>
      </c>
      <c r="B171" t="s">
        <v>634</v>
      </c>
      <c r="C171" s="7">
        <v>18</v>
      </c>
      <c r="D171" s="7">
        <v>29</v>
      </c>
      <c r="E171">
        <f t="shared" si="6"/>
        <v>47</v>
      </c>
      <c r="H171" t="s">
        <v>132</v>
      </c>
      <c r="I171">
        <v>47</v>
      </c>
      <c r="K171" s="3" t="s">
        <v>455</v>
      </c>
      <c r="L171" s="3" t="s">
        <v>456</v>
      </c>
      <c r="M171" t="str">
        <f t="shared" si="7"/>
        <v>Artem Anisimov</v>
      </c>
      <c r="N171" t="e">
        <f t="shared" si="8"/>
        <v>#N/A</v>
      </c>
    </row>
    <row r="172" spans="1:14" x14ac:dyDescent="0.25">
      <c r="A172" s="5">
        <v>171</v>
      </c>
      <c r="B172" t="s">
        <v>635</v>
      </c>
      <c r="C172" s="5">
        <v>18</v>
      </c>
      <c r="D172" s="5">
        <v>30</v>
      </c>
      <c r="E172">
        <f t="shared" si="6"/>
        <v>48</v>
      </c>
      <c r="H172" t="s">
        <v>693</v>
      </c>
      <c r="I172">
        <v>48</v>
      </c>
      <c r="K172" s="4" t="s">
        <v>449</v>
      </c>
      <c r="L172" s="4" t="s">
        <v>450</v>
      </c>
      <c r="M172" t="str">
        <f t="shared" si="7"/>
        <v>Jarome Iginla</v>
      </c>
      <c r="N172">
        <f t="shared" si="8"/>
        <v>43</v>
      </c>
    </row>
    <row r="173" spans="1:14" x14ac:dyDescent="0.25">
      <c r="A173" s="7">
        <v>172</v>
      </c>
      <c r="B173" t="s">
        <v>636</v>
      </c>
      <c r="C173" s="7">
        <v>20</v>
      </c>
      <c r="D173" s="7">
        <v>28</v>
      </c>
      <c r="E173">
        <f t="shared" si="6"/>
        <v>48</v>
      </c>
      <c r="H173" t="s">
        <v>68</v>
      </c>
      <c r="I173">
        <v>48</v>
      </c>
      <c r="K173" s="3" t="s">
        <v>431</v>
      </c>
      <c r="L173" s="3" t="s">
        <v>432</v>
      </c>
      <c r="M173" t="str">
        <f t="shared" si="7"/>
        <v>Nick Bjugstad</v>
      </c>
      <c r="N173" t="e">
        <f t="shared" si="8"/>
        <v>#N/A</v>
      </c>
    </row>
    <row r="174" spans="1:14" x14ac:dyDescent="0.25">
      <c r="A174" s="5">
        <v>173</v>
      </c>
      <c r="B174" t="s">
        <v>637</v>
      </c>
      <c r="C174" s="5">
        <v>15</v>
      </c>
      <c r="D174" s="5">
        <v>31</v>
      </c>
      <c r="E174">
        <f t="shared" si="6"/>
        <v>46</v>
      </c>
      <c r="H174" t="s">
        <v>127</v>
      </c>
      <c r="I174">
        <v>46</v>
      </c>
      <c r="K174" s="4" t="s">
        <v>426</v>
      </c>
      <c r="L174" s="4" t="s">
        <v>451</v>
      </c>
      <c r="M174" t="str">
        <f t="shared" si="7"/>
        <v>Kevin Hayes</v>
      </c>
      <c r="N174" t="e">
        <f t="shared" si="8"/>
        <v>#N/A</v>
      </c>
    </row>
    <row r="175" spans="1:14" x14ac:dyDescent="0.25">
      <c r="A175" s="7">
        <v>174</v>
      </c>
      <c r="B175" t="s">
        <v>638</v>
      </c>
      <c r="C175" s="7">
        <v>17</v>
      </c>
      <c r="D175" s="7">
        <v>15</v>
      </c>
      <c r="E175">
        <f t="shared" si="6"/>
        <v>32</v>
      </c>
      <c r="H175" t="s">
        <v>462</v>
      </c>
      <c r="I175">
        <v>32</v>
      </c>
      <c r="K175" s="3" t="s">
        <v>459</v>
      </c>
      <c r="L175" s="3" t="s">
        <v>460</v>
      </c>
      <c r="M175" t="str">
        <f t="shared" si="7"/>
        <v>Vladislav Namestn…</v>
      </c>
      <c r="N175" t="e">
        <f t="shared" si="8"/>
        <v>#N/A</v>
      </c>
    </row>
    <row r="176" spans="1:14" x14ac:dyDescent="0.25">
      <c r="A176" s="5">
        <v>175</v>
      </c>
      <c r="B176" t="s">
        <v>639</v>
      </c>
      <c r="C176" s="5">
        <v>21</v>
      </c>
      <c r="D176" s="5">
        <v>22</v>
      </c>
      <c r="E176">
        <f t="shared" si="6"/>
        <v>43</v>
      </c>
      <c r="H176" t="s">
        <v>55</v>
      </c>
      <c r="I176">
        <v>43</v>
      </c>
      <c r="K176" s="4" t="s">
        <v>440</v>
      </c>
      <c r="L176" s="4" t="s">
        <v>441</v>
      </c>
      <c r="M176" t="str">
        <f t="shared" si="7"/>
        <v>Pavel Zacha</v>
      </c>
      <c r="N176" t="e">
        <f t="shared" si="8"/>
        <v>#N/A</v>
      </c>
    </row>
    <row r="177" spans="1:14" x14ac:dyDescent="0.25">
      <c r="A177" s="7">
        <v>176</v>
      </c>
      <c r="B177" t="s">
        <v>640</v>
      </c>
      <c r="C177" s="7">
        <v>19</v>
      </c>
      <c r="D177" s="7">
        <v>28</v>
      </c>
      <c r="E177">
        <f t="shared" si="6"/>
        <v>47</v>
      </c>
      <c r="H177" t="s">
        <v>694</v>
      </c>
      <c r="I177">
        <v>47</v>
      </c>
      <c r="K177" t="s">
        <v>1348</v>
      </c>
      <c r="L177" t="s">
        <v>1349</v>
      </c>
      <c r="M177" t="str">
        <f t="shared" ref="M177:M202" si="9">K177&amp;" "&amp;L177</f>
        <v>Marian Hossa</v>
      </c>
      <c r="N177">
        <f t="shared" ref="N177:N202" si="10">VLOOKUP(M177,$H$2:$I$201,2,0)</f>
        <v>44</v>
      </c>
    </row>
    <row r="178" spans="1:14" x14ac:dyDescent="0.25">
      <c r="A178" s="5">
        <v>177</v>
      </c>
      <c r="B178" t="s">
        <v>641</v>
      </c>
      <c r="C178" s="5">
        <v>4</v>
      </c>
      <c r="D178" s="5">
        <v>27</v>
      </c>
      <c r="E178">
        <f t="shared" si="6"/>
        <v>31</v>
      </c>
      <c r="H178" t="s">
        <v>709</v>
      </c>
      <c r="I178">
        <v>31</v>
      </c>
      <c r="K178" t="s">
        <v>1688</v>
      </c>
      <c r="L178" t="s">
        <v>1686</v>
      </c>
      <c r="M178" t="str">
        <f t="shared" si="9"/>
        <v>Tobias Rieder</v>
      </c>
      <c r="N178" t="e">
        <f t="shared" si="10"/>
        <v>#N/A</v>
      </c>
    </row>
    <row r="179" spans="1:14" x14ac:dyDescent="0.25">
      <c r="A179" s="7">
        <v>178</v>
      </c>
      <c r="B179" t="s">
        <v>642</v>
      </c>
      <c r="C179" s="7">
        <v>13</v>
      </c>
      <c r="D179" s="7">
        <v>26</v>
      </c>
      <c r="E179">
        <f t="shared" si="6"/>
        <v>39</v>
      </c>
      <c r="H179" t="s">
        <v>134</v>
      </c>
      <c r="I179">
        <v>39</v>
      </c>
      <c r="K179" t="s">
        <v>1373</v>
      </c>
      <c r="L179" t="s">
        <v>1374</v>
      </c>
      <c r="M179" t="str">
        <f t="shared" si="9"/>
        <v>Troy Brouwer</v>
      </c>
      <c r="N179" t="e">
        <f t="shared" si="10"/>
        <v>#N/A</v>
      </c>
    </row>
    <row r="180" spans="1:14" x14ac:dyDescent="0.25">
      <c r="A180" s="5">
        <v>179</v>
      </c>
      <c r="B180" t="s">
        <v>643</v>
      </c>
      <c r="C180" s="5">
        <v>19</v>
      </c>
      <c r="D180" s="5">
        <v>24</v>
      </c>
      <c r="E180">
        <f t="shared" si="6"/>
        <v>43</v>
      </c>
      <c r="H180" t="s">
        <v>126</v>
      </c>
      <c r="I180">
        <v>43</v>
      </c>
      <c r="K180" t="s">
        <v>1264</v>
      </c>
      <c r="L180" t="s">
        <v>1265</v>
      </c>
      <c r="M180" t="str">
        <f t="shared" si="9"/>
        <v>Jori Lehtera</v>
      </c>
      <c r="N180">
        <f t="shared" si="10"/>
        <v>40</v>
      </c>
    </row>
    <row r="181" spans="1:14" x14ac:dyDescent="0.25">
      <c r="A181" s="7">
        <v>180</v>
      </c>
      <c r="B181" t="s">
        <v>644</v>
      </c>
      <c r="C181" s="7">
        <v>4</v>
      </c>
      <c r="D181" s="7">
        <v>27</v>
      </c>
      <c r="E181">
        <f t="shared" si="6"/>
        <v>31</v>
      </c>
      <c r="H181" t="s">
        <v>695</v>
      </c>
      <c r="I181">
        <v>31</v>
      </c>
      <c r="K181" t="s">
        <v>1242</v>
      </c>
      <c r="L181" t="s">
        <v>1243</v>
      </c>
      <c r="M181" t="str">
        <f t="shared" si="9"/>
        <v>William Nylander</v>
      </c>
      <c r="N181">
        <f t="shared" si="10"/>
        <v>47</v>
      </c>
    </row>
    <row r="182" spans="1:14" x14ac:dyDescent="0.25">
      <c r="A182" s="5">
        <v>181</v>
      </c>
      <c r="B182" t="s">
        <v>645</v>
      </c>
      <c r="C182" s="5">
        <v>6</v>
      </c>
      <c r="D182" s="5">
        <v>25</v>
      </c>
      <c r="E182">
        <f t="shared" si="6"/>
        <v>31</v>
      </c>
      <c r="H182" t="s">
        <v>696</v>
      </c>
      <c r="I182">
        <v>31</v>
      </c>
      <c r="K182" t="s">
        <v>349</v>
      </c>
      <c r="L182" t="s">
        <v>1370</v>
      </c>
      <c r="M182" t="str">
        <f t="shared" si="9"/>
        <v>Drew Stafford</v>
      </c>
      <c r="N182" t="e">
        <f t="shared" si="10"/>
        <v>#N/A</v>
      </c>
    </row>
    <row r="183" spans="1:14" x14ac:dyDescent="0.25">
      <c r="A183" s="7">
        <v>182</v>
      </c>
      <c r="B183" t="s">
        <v>646</v>
      </c>
      <c r="C183" s="7">
        <v>8</v>
      </c>
      <c r="D183" s="7">
        <v>31</v>
      </c>
      <c r="E183">
        <f t="shared" si="6"/>
        <v>39</v>
      </c>
      <c r="H183" t="s">
        <v>697</v>
      </c>
      <c r="I183">
        <v>39</v>
      </c>
      <c r="K183" t="s">
        <v>1410</v>
      </c>
      <c r="L183" t="s">
        <v>1526</v>
      </c>
      <c r="M183" t="str">
        <f t="shared" si="9"/>
        <v>Jake Muzzin</v>
      </c>
      <c r="N183">
        <f t="shared" si="10"/>
        <v>39</v>
      </c>
    </row>
    <row r="184" spans="1:14" x14ac:dyDescent="0.25">
      <c r="A184" s="5">
        <v>183</v>
      </c>
      <c r="B184" t="s">
        <v>647</v>
      </c>
      <c r="C184" s="5">
        <v>15</v>
      </c>
      <c r="D184" s="5">
        <v>26</v>
      </c>
      <c r="E184">
        <f t="shared" si="6"/>
        <v>41</v>
      </c>
      <c r="H184" t="s">
        <v>110</v>
      </c>
      <c r="I184">
        <v>41</v>
      </c>
      <c r="K184" t="s">
        <v>222</v>
      </c>
      <c r="L184" t="s">
        <v>1517</v>
      </c>
      <c r="M184" t="str">
        <f t="shared" si="9"/>
        <v>Brent Seabrook</v>
      </c>
      <c r="N184">
        <f t="shared" si="10"/>
        <v>37</v>
      </c>
    </row>
    <row r="185" spans="1:14" x14ac:dyDescent="0.25">
      <c r="A185" s="7">
        <v>184</v>
      </c>
      <c r="B185" t="s">
        <v>648</v>
      </c>
      <c r="C185" s="7">
        <v>23</v>
      </c>
      <c r="D185" s="7">
        <v>20</v>
      </c>
      <c r="E185">
        <f t="shared" si="6"/>
        <v>43</v>
      </c>
      <c r="H185" t="s">
        <v>463</v>
      </c>
      <c r="I185">
        <v>43</v>
      </c>
      <c r="K185" t="s">
        <v>233</v>
      </c>
      <c r="L185" t="s">
        <v>1436</v>
      </c>
      <c r="M185" t="str">
        <f t="shared" si="9"/>
        <v>Alex Killorn</v>
      </c>
      <c r="N185">
        <f t="shared" si="10"/>
        <v>39</v>
      </c>
    </row>
    <row r="186" spans="1:14" x14ac:dyDescent="0.25">
      <c r="A186" s="5">
        <v>185</v>
      </c>
      <c r="B186" t="s">
        <v>649</v>
      </c>
      <c r="C186" s="5">
        <v>6</v>
      </c>
      <c r="D186" s="5">
        <v>29</v>
      </c>
      <c r="E186">
        <f t="shared" si="6"/>
        <v>35</v>
      </c>
      <c r="H186" t="s">
        <v>698</v>
      </c>
      <c r="I186">
        <v>35</v>
      </c>
      <c r="K186" t="s">
        <v>333</v>
      </c>
      <c r="L186" t="s">
        <v>1434</v>
      </c>
      <c r="M186" t="str">
        <f t="shared" si="9"/>
        <v>Carl Hagelin</v>
      </c>
      <c r="N186">
        <f t="shared" si="10"/>
        <v>46</v>
      </c>
    </row>
    <row r="187" spans="1:14" x14ac:dyDescent="0.25">
      <c r="A187" s="7">
        <v>186</v>
      </c>
      <c r="B187" t="s">
        <v>650</v>
      </c>
      <c r="C187" s="7">
        <v>16</v>
      </c>
      <c r="D187" s="7">
        <v>18</v>
      </c>
      <c r="E187">
        <f t="shared" si="6"/>
        <v>34</v>
      </c>
      <c r="H187" t="s">
        <v>699</v>
      </c>
      <c r="I187">
        <v>34</v>
      </c>
      <c r="K187" t="s">
        <v>1371</v>
      </c>
      <c r="L187" t="s">
        <v>1372</v>
      </c>
      <c r="M187" t="str">
        <f t="shared" si="9"/>
        <v>Joonas Donskoi</v>
      </c>
      <c r="N187" t="e">
        <f t="shared" si="10"/>
        <v>#N/A</v>
      </c>
    </row>
    <row r="188" spans="1:14" x14ac:dyDescent="0.25">
      <c r="A188" s="5">
        <v>187</v>
      </c>
      <c r="B188" t="s">
        <v>651</v>
      </c>
      <c r="C188" s="5">
        <v>20</v>
      </c>
      <c r="D188" s="5">
        <v>23</v>
      </c>
      <c r="E188">
        <f t="shared" si="6"/>
        <v>43</v>
      </c>
      <c r="H188" t="s">
        <v>151</v>
      </c>
      <c r="I188">
        <v>43</v>
      </c>
      <c r="K188" t="s">
        <v>1231</v>
      </c>
      <c r="L188" t="s">
        <v>1232</v>
      </c>
      <c r="M188" t="str">
        <f t="shared" si="9"/>
        <v>Antoine Vermette</v>
      </c>
      <c r="N188" t="e">
        <f t="shared" si="10"/>
        <v>#N/A</v>
      </c>
    </row>
    <row r="189" spans="1:14" x14ac:dyDescent="0.25">
      <c r="A189" s="7">
        <v>188</v>
      </c>
      <c r="B189" t="s">
        <v>652</v>
      </c>
      <c r="C189" s="7">
        <v>8</v>
      </c>
      <c r="D189" s="7">
        <v>18</v>
      </c>
      <c r="E189">
        <f t="shared" si="6"/>
        <v>26</v>
      </c>
      <c r="H189" t="s">
        <v>700</v>
      </c>
      <c r="I189">
        <v>26</v>
      </c>
      <c r="K189" t="s">
        <v>1453</v>
      </c>
      <c r="L189" t="s">
        <v>1454</v>
      </c>
      <c r="M189" t="str">
        <f t="shared" si="9"/>
        <v>Andre Burakovsky</v>
      </c>
      <c r="N189" t="e">
        <f t="shared" si="10"/>
        <v>#N/A</v>
      </c>
    </row>
    <row r="190" spans="1:14" x14ac:dyDescent="0.25">
      <c r="A190" s="5">
        <v>189</v>
      </c>
      <c r="B190" t="s">
        <v>653</v>
      </c>
      <c r="C190" s="5">
        <v>9</v>
      </c>
      <c r="D190" s="5">
        <v>25</v>
      </c>
      <c r="E190">
        <f t="shared" si="6"/>
        <v>34</v>
      </c>
      <c r="H190" t="s">
        <v>701</v>
      </c>
      <c r="I190">
        <v>34</v>
      </c>
      <c r="K190" t="s">
        <v>1353</v>
      </c>
      <c r="L190" t="s">
        <v>1354</v>
      </c>
      <c r="M190" t="str">
        <f t="shared" si="9"/>
        <v>Shane Doan</v>
      </c>
      <c r="N190">
        <f t="shared" si="10"/>
        <v>41</v>
      </c>
    </row>
    <row r="191" spans="1:14" x14ac:dyDescent="0.25">
      <c r="A191" s="7">
        <v>190</v>
      </c>
      <c r="B191" t="s">
        <v>654</v>
      </c>
      <c r="C191" s="7">
        <v>23</v>
      </c>
      <c r="D191" s="7">
        <v>16</v>
      </c>
      <c r="E191">
        <f t="shared" si="6"/>
        <v>39</v>
      </c>
      <c r="H191" t="s">
        <v>702</v>
      </c>
      <c r="I191">
        <v>39</v>
      </c>
      <c r="K191" t="s">
        <v>166</v>
      </c>
      <c r="L191" t="s">
        <v>1261</v>
      </c>
      <c r="M191" t="str">
        <f t="shared" si="9"/>
        <v>Tyler Ennis</v>
      </c>
      <c r="N191" t="e">
        <f t="shared" si="10"/>
        <v>#N/A</v>
      </c>
    </row>
    <row r="192" spans="1:14" x14ac:dyDescent="0.25">
      <c r="A192" s="5">
        <v>191</v>
      </c>
      <c r="B192" t="s">
        <v>655</v>
      </c>
      <c r="C192" s="5">
        <v>8</v>
      </c>
      <c r="D192" s="5">
        <v>19</v>
      </c>
      <c r="E192">
        <f t="shared" si="6"/>
        <v>27</v>
      </c>
      <c r="H192" t="s">
        <v>703</v>
      </c>
      <c r="I192">
        <v>27</v>
      </c>
      <c r="K192" t="s">
        <v>442</v>
      </c>
      <c r="L192" t="s">
        <v>1687</v>
      </c>
      <c r="M192" t="str">
        <f t="shared" si="9"/>
        <v>Jakob Sifverberg</v>
      </c>
      <c r="N192" t="e">
        <f t="shared" si="10"/>
        <v>#N/A</v>
      </c>
    </row>
    <row r="193" spans="1:14" x14ac:dyDescent="0.25">
      <c r="A193" s="7">
        <v>192</v>
      </c>
      <c r="B193" t="s">
        <v>656</v>
      </c>
      <c r="C193" s="7">
        <v>21</v>
      </c>
      <c r="D193" s="7">
        <v>23</v>
      </c>
      <c r="E193">
        <f t="shared" si="6"/>
        <v>44</v>
      </c>
      <c r="H193" t="s">
        <v>116</v>
      </c>
      <c r="I193">
        <v>44</v>
      </c>
      <c r="K193" t="s">
        <v>402</v>
      </c>
      <c r="L193" t="s">
        <v>1550</v>
      </c>
      <c r="M193" t="str">
        <f t="shared" si="9"/>
        <v>Keith Yandle</v>
      </c>
      <c r="N193">
        <f t="shared" si="10"/>
        <v>46</v>
      </c>
    </row>
    <row r="194" spans="1:14" x14ac:dyDescent="0.25">
      <c r="A194" s="5">
        <v>193</v>
      </c>
      <c r="B194" t="s">
        <v>657</v>
      </c>
      <c r="C194" s="5">
        <v>21</v>
      </c>
      <c r="D194" s="5">
        <v>18</v>
      </c>
      <c r="E194">
        <f t="shared" si="6"/>
        <v>39</v>
      </c>
      <c r="H194" t="s">
        <v>146</v>
      </c>
      <c r="I194">
        <v>39</v>
      </c>
      <c r="K194" t="s">
        <v>431</v>
      </c>
      <c r="L194" t="s">
        <v>1553</v>
      </c>
      <c r="M194" t="str">
        <f t="shared" si="9"/>
        <v>Nick Leddy</v>
      </c>
      <c r="N194">
        <f t="shared" si="10"/>
        <v>35</v>
      </c>
    </row>
    <row r="195" spans="1:14" x14ac:dyDescent="0.25">
      <c r="A195" s="7">
        <v>194</v>
      </c>
      <c r="B195" t="s">
        <v>658</v>
      </c>
      <c r="C195" s="7">
        <v>23</v>
      </c>
      <c r="D195" s="7">
        <v>20</v>
      </c>
      <c r="E195">
        <f t="shared" ref="E195:E201" si="11">C195+D195</f>
        <v>43</v>
      </c>
      <c r="H195" t="s">
        <v>704</v>
      </c>
      <c r="I195">
        <v>43</v>
      </c>
      <c r="K195" t="s">
        <v>1536</v>
      </c>
      <c r="L195" t="s">
        <v>1537</v>
      </c>
      <c r="M195" t="str">
        <f t="shared" si="9"/>
        <v>Dougie Hamilton</v>
      </c>
      <c r="N195">
        <f t="shared" si="10"/>
        <v>44</v>
      </c>
    </row>
    <row r="196" spans="1:14" x14ac:dyDescent="0.25">
      <c r="A196" s="5">
        <v>195</v>
      </c>
      <c r="B196" t="s">
        <v>659</v>
      </c>
      <c r="C196" s="5">
        <v>6</v>
      </c>
      <c r="D196" s="5">
        <v>29</v>
      </c>
      <c r="E196">
        <f t="shared" si="11"/>
        <v>35</v>
      </c>
      <c r="H196" t="s">
        <v>705</v>
      </c>
      <c r="I196">
        <v>35</v>
      </c>
      <c r="K196" t="s">
        <v>1455</v>
      </c>
      <c r="L196" t="s">
        <v>1456</v>
      </c>
      <c r="M196" t="str">
        <f t="shared" si="9"/>
        <v>Tanner Pearson</v>
      </c>
      <c r="N196" t="e">
        <f t="shared" si="10"/>
        <v>#N/A</v>
      </c>
    </row>
    <row r="197" spans="1:14" x14ac:dyDescent="0.25">
      <c r="A197" s="7">
        <v>196</v>
      </c>
      <c r="B197" t="s">
        <v>660</v>
      </c>
      <c r="C197" s="7">
        <v>15</v>
      </c>
      <c r="D197" s="7">
        <v>24</v>
      </c>
      <c r="E197">
        <f t="shared" si="11"/>
        <v>39</v>
      </c>
      <c r="H197" t="s">
        <v>706</v>
      </c>
      <c r="I197">
        <v>39</v>
      </c>
      <c r="K197" t="s">
        <v>166</v>
      </c>
      <c r="L197" t="s">
        <v>1251</v>
      </c>
      <c r="M197" t="str">
        <f t="shared" si="9"/>
        <v>Tyler Bozak</v>
      </c>
      <c r="N197" t="e">
        <f t="shared" si="10"/>
        <v>#N/A</v>
      </c>
    </row>
    <row r="198" spans="1:14" x14ac:dyDescent="0.25">
      <c r="A198" s="5">
        <v>197</v>
      </c>
      <c r="B198" t="s">
        <v>661</v>
      </c>
      <c r="C198" s="5">
        <v>22</v>
      </c>
      <c r="D198" s="5">
        <v>23</v>
      </c>
      <c r="E198">
        <f t="shared" si="11"/>
        <v>45</v>
      </c>
      <c r="H198" t="s">
        <v>129</v>
      </c>
      <c r="I198">
        <v>45</v>
      </c>
      <c r="K198" t="s">
        <v>1566</v>
      </c>
      <c r="L198" t="s">
        <v>1567</v>
      </c>
      <c r="M198" t="str">
        <f t="shared" si="9"/>
        <v>Morgan Rielly</v>
      </c>
      <c r="N198" t="e">
        <f t="shared" si="10"/>
        <v>#N/A</v>
      </c>
    </row>
    <row r="199" spans="1:14" x14ac:dyDescent="0.25">
      <c r="A199" s="7">
        <v>198</v>
      </c>
      <c r="B199" t="s">
        <v>662</v>
      </c>
      <c r="C199" s="7">
        <v>22</v>
      </c>
      <c r="D199" s="7">
        <v>24</v>
      </c>
      <c r="E199">
        <f t="shared" si="11"/>
        <v>46</v>
      </c>
      <c r="H199" t="s">
        <v>130</v>
      </c>
      <c r="I199">
        <v>46</v>
      </c>
      <c r="K199" t="s">
        <v>1236</v>
      </c>
      <c r="L199" t="s">
        <v>1237</v>
      </c>
      <c r="M199" t="str">
        <f t="shared" si="9"/>
        <v>Mathieu Perreault</v>
      </c>
      <c r="N199" t="e">
        <f t="shared" si="10"/>
        <v>#N/A</v>
      </c>
    </row>
    <row r="200" spans="1:14" x14ac:dyDescent="0.25">
      <c r="A200" s="5">
        <v>199</v>
      </c>
      <c r="B200" t="s">
        <v>663</v>
      </c>
      <c r="C200" s="5">
        <v>15</v>
      </c>
      <c r="D200" s="5">
        <v>30</v>
      </c>
      <c r="E200">
        <f t="shared" si="11"/>
        <v>45</v>
      </c>
      <c r="H200" t="s">
        <v>87</v>
      </c>
      <c r="I200">
        <v>45</v>
      </c>
      <c r="K200" t="s">
        <v>231</v>
      </c>
      <c r="L200" t="s">
        <v>1351</v>
      </c>
      <c r="M200" t="str">
        <f t="shared" si="9"/>
        <v>David Backes</v>
      </c>
      <c r="N200">
        <f t="shared" si="10"/>
        <v>52</v>
      </c>
    </row>
    <row r="201" spans="1:14" x14ac:dyDescent="0.25">
      <c r="A201" s="7">
        <v>200</v>
      </c>
      <c r="B201" t="s">
        <v>664</v>
      </c>
      <c r="C201" s="7">
        <v>17</v>
      </c>
      <c r="D201" s="7">
        <v>17</v>
      </c>
      <c r="E201">
        <f t="shared" si="11"/>
        <v>34</v>
      </c>
      <c r="H201" t="s">
        <v>707</v>
      </c>
      <c r="I201">
        <v>34</v>
      </c>
      <c r="K201" t="s">
        <v>1388</v>
      </c>
      <c r="L201" t="s">
        <v>1389</v>
      </c>
      <c r="M201" t="str">
        <f t="shared" si="9"/>
        <v>Elias Lindholm</v>
      </c>
      <c r="N201" t="e">
        <f t="shared" si="10"/>
        <v>#N/A</v>
      </c>
    </row>
    <row r="202" spans="1:14" x14ac:dyDescent="0.25">
      <c r="K202" t="s">
        <v>1239</v>
      </c>
      <c r="L202" t="s">
        <v>1240</v>
      </c>
      <c r="M202" t="str">
        <f t="shared" si="9"/>
        <v>Jean-Gabriel Pageau</v>
      </c>
      <c r="N202" t="e">
        <f t="shared" si="10"/>
        <v>#N/A</v>
      </c>
    </row>
    <row r="203" spans="1:14" x14ac:dyDescent="0.25">
      <c r="K203" t="s">
        <v>1249</v>
      </c>
      <c r="L203" t="s">
        <v>1597</v>
      </c>
      <c r="M203" t="str">
        <f t="shared" ref="M203:M205" si="12">K203&amp;" "&amp;L203</f>
        <v>Seth Jones</v>
      </c>
      <c r="N203">
        <f t="shared" ref="N203:N206" si="13">VLOOKUP(M203,$H$2:$I$201,2,0)</f>
        <v>41</v>
      </c>
    </row>
    <row r="204" spans="1:14" x14ac:dyDescent="0.25">
      <c r="K204" t="s">
        <v>231</v>
      </c>
      <c r="L204" t="s">
        <v>1356</v>
      </c>
      <c r="M204" t="str">
        <f t="shared" si="12"/>
        <v>David Pastrnak</v>
      </c>
      <c r="N204">
        <f t="shared" si="13"/>
        <v>43</v>
      </c>
    </row>
    <row r="205" spans="1:14" x14ac:dyDescent="0.25">
      <c r="K205" t="s">
        <v>1692</v>
      </c>
      <c r="L205" t="s">
        <v>1554</v>
      </c>
      <c r="M205" t="str">
        <f t="shared" si="12"/>
        <v>TJ Brodie</v>
      </c>
      <c r="N205" t="e">
        <f t="shared" si="13"/>
        <v>#N/A</v>
      </c>
    </row>
    <row r="206" spans="1:14" x14ac:dyDescent="0.25">
      <c r="K206" t="s">
        <v>1288</v>
      </c>
      <c r="L206" t="s">
        <v>1289</v>
      </c>
      <c r="M206" t="str">
        <f>K206&amp;" "&amp;L206</f>
        <v>Mitchell Marner</v>
      </c>
      <c r="N206" t="e">
        <f t="shared" si="13"/>
        <v>#N/A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1"/>
  <sheetViews>
    <sheetView topLeftCell="E192" workbookViewId="0">
      <selection activeCell="F207" sqref="F207"/>
    </sheetView>
  </sheetViews>
  <sheetFormatPr baseColWidth="10" defaultColWidth="11.375" defaultRowHeight="15" x14ac:dyDescent="0.25"/>
  <cols>
    <col min="20" max="20" width="17" bestFit="1" customWidth="1"/>
  </cols>
  <sheetData>
    <row r="1" spans="1:22" ht="30.75" thickTop="1" x14ac:dyDescent="0.25">
      <c r="A1" s="15" t="s">
        <v>718</v>
      </c>
      <c r="B1" s="16">
        <v>78</v>
      </c>
      <c r="C1" s="16">
        <v>40</v>
      </c>
      <c r="D1" s="16">
        <v>49</v>
      </c>
      <c r="E1" s="16">
        <v>90</v>
      </c>
      <c r="F1" s="16">
        <v>39</v>
      </c>
      <c r="G1" s="16">
        <v>20</v>
      </c>
      <c r="H1" s="16">
        <v>0</v>
      </c>
      <c r="I1" s="16">
        <v>107</v>
      </c>
      <c r="J1" s="16">
        <v>384</v>
      </c>
      <c r="M1" t="s">
        <v>202</v>
      </c>
      <c r="N1" t="s">
        <v>203</v>
      </c>
      <c r="O1" t="str">
        <f>M1&amp;" "&amp;N1</f>
        <v>Evgeni Malkin</v>
      </c>
      <c r="P1" s="16">
        <v>90</v>
      </c>
      <c r="R1" s="4" t="s">
        <v>433</v>
      </c>
      <c r="S1" s="4" t="s">
        <v>434</v>
      </c>
      <c r="T1" t="str">
        <f>R1&amp;" "&amp;S1</f>
        <v>Teuvo Teravainen</v>
      </c>
      <c r="U1">
        <f>VLOOKUP(T1,$O$1:$P$511,2,0)</f>
        <v>29</v>
      </c>
      <c r="V1">
        <v>29</v>
      </c>
    </row>
    <row r="2" spans="1:22" ht="30" x14ac:dyDescent="0.25">
      <c r="A2" s="17" t="s">
        <v>719</v>
      </c>
      <c r="B2" s="18">
        <v>78</v>
      </c>
      <c r="C2" s="18">
        <v>36</v>
      </c>
      <c r="D2" s="18">
        <v>53</v>
      </c>
      <c r="E2" s="18">
        <v>89</v>
      </c>
      <c r="F2" s="18">
        <v>38</v>
      </c>
      <c r="G2" s="18">
        <v>16</v>
      </c>
      <c r="H2" s="18">
        <v>0</v>
      </c>
      <c r="I2" s="18">
        <v>45</v>
      </c>
      <c r="J2" s="18">
        <v>356</v>
      </c>
      <c r="M2" t="s">
        <v>164</v>
      </c>
      <c r="N2" t="s">
        <v>165</v>
      </c>
      <c r="O2" t="str">
        <f t="shared" ref="O2:O65" si="0">M2&amp;" "&amp;N2</f>
        <v>Sidney Crosby</v>
      </c>
      <c r="P2" s="18">
        <v>89</v>
      </c>
      <c r="R2" s="3" t="s">
        <v>174</v>
      </c>
      <c r="S2" s="3" t="s">
        <v>370</v>
      </c>
      <c r="T2" t="str">
        <f t="shared" ref="T2:T65" si="1">R2&amp;" "&amp;S2</f>
        <v>Alexander Wennberg</v>
      </c>
      <c r="U2">
        <f t="shared" ref="U2:U65" si="2">VLOOKUP(T2,$O$1:$P$511,2,0)</f>
        <v>49</v>
      </c>
      <c r="V2">
        <v>49</v>
      </c>
    </row>
    <row r="3" spans="1:22" ht="30" x14ac:dyDescent="0.25">
      <c r="A3" s="19" t="s">
        <v>720</v>
      </c>
      <c r="B3" s="20">
        <v>78</v>
      </c>
      <c r="C3" s="20">
        <v>37</v>
      </c>
      <c r="D3" s="20">
        <v>44</v>
      </c>
      <c r="E3" s="20">
        <v>82</v>
      </c>
      <c r="F3" s="20">
        <v>29</v>
      </c>
      <c r="G3" s="20">
        <v>15</v>
      </c>
      <c r="H3" s="20">
        <v>0</v>
      </c>
      <c r="I3" s="20">
        <v>21</v>
      </c>
      <c r="J3" s="20">
        <v>337</v>
      </c>
      <c r="M3" t="s">
        <v>166</v>
      </c>
      <c r="N3" t="s">
        <v>167</v>
      </c>
      <c r="O3" t="str">
        <f t="shared" si="0"/>
        <v>Tyler Seguin</v>
      </c>
      <c r="P3" s="20">
        <v>82</v>
      </c>
      <c r="R3" s="4" t="s">
        <v>411</v>
      </c>
      <c r="S3" s="4" t="s">
        <v>412</v>
      </c>
      <c r="T3" t="str">
        <f t="shared" si="1"/>
        <v>Bo Horvat</v>
      </c>
      <c r="U3">
        <f t="shared" si="2"/>
        <v>44</v>
      </c>
      <c r="V3">
        <v>44</v>
      </c>
    </row>
    <row r="4" spans="1:22" ht="30" x14ac:dyDescent="0.25">
      <c r="A4" s="17" t="s">
        <v>721</v>
      </c>
      <c r="B4" s="18">
        <v>78</v>
      </c>
      <c r="C4" s="18">
        <v>43</v>
      </c>
      <c r="D4" s="18">
        <v>34</v>
      </c>
      <c r="E4" s="18">
        <v>78</v>
      </c>
      <c r="F4" s="18">
        <v>17</v>
      </c>
      <c r="G4" s="18">
        <v>16</v>
      </c>
      <c r="H4" s="18">
        <v>1</v>
      </c>
      <c r="I4" s="18">
        <v>43</v>
      </c>
      <c r="J4" s="18">
        <v>311</v>
      </c>
      <c r="M4" t="s">
        <v>186</v>
      </c>
      <c r="N4" t="s">
        <v>187</v>
      </c>
      <c r="O4" t="str">
        <f t="shared" si="0"/>
        <v>Steven Stamkos</v>
      </c>
      <c r="P4" s="18">
        <v>78</v>
      </c>
      <c r="R4" s="3" t="s">
        <v>407</v>
      </c>
      <c r="S4" s="3" t="s">
        <v>408</v>
      </c>
      <c r="T4" t="str">
        <f t="shared" si="1"/>
        <v>Charlie Coyle</v>
      </c>
      <c r="U4">
        <f t="shared" si="2"/>
        <v>40</v>
      </c>
      <c r="V4">
        <v>40</v>
      </c>
    </row>
    <row r="5" spans="1:22" ht="45" x14ac:dyDescent="0.25">
      <c r="A5" s="19" t="s">
        <v>722</v>
      </c>
      <c r="B5" s="20">
        <v>78</v>
      </c>
      <c r="C5" s="20">
        <v>35</v>
      </c>
      <c r="D5" s="20">
        <v>36</v>
      </c>
      <c r="E5" s="20">
        <v>71</v>
      </c>
      <c r="F5" s="20">
        <v>23</v>
      </c>
      <c r="G5" s="20">
        <v>14</v>
      </c>
      <c r="H5" s="20">
        <v>1</v>
      </c>
      <c r="I5" s="20">
        <v>46</v>
      </c>
      <c r="J5" s="20">
        <v>307</v>
      </c>
      <c r="M5" t="s">
        <v>237</v>
      </c>
      <c r="N5" t="s">
        <v>238</v>
      </c>
      <c r="O5" t="str">
        <f t="shared" si="0"/>
        <v>Patrice Bergeron</v>
      </c>
      <c r="P5" s="20">
        <v>71</v>
      </c>
      <c r="R5" s="4" t="s">
        <v>371</v>
      </c>
      <c r="S5" s="4" t="s">
        <v>372</v>
      </c>
      <c r="T5" t="str">
        <f t="shared" si="1"/>
        <v>Shayne Gostisbehe…</v>
      </c>
      <c r="U5" t="e">
        <f t="shared" si="2"/>
        <v>#N/A</v>
      </c>
      <c r="V5" t="e">
        <v>#N/A</v>
      </c>
    </row>
    <row r="6" spans="1:22" ht="30" x14ac:dyDescent="0.25">
      <c r="A6" s="17" t="s">
        <v>723</v>
      </c>
      <c r="B6" s="18">
        <v>78</v>
      </c>
      <c r="C6" s="18">
        <v>42</v>
      </c>
      <c r="D6" s="18">
        <v>35</v>
      </c>
      <c r="E6" s="18">
        <v>78</v>
      </c>
      <c r="F6" s="18">
        <v>19</v>
      </c>
      <c r="G6" s="18">
        <v>13</v>
      </c>
      <c r="H6" s="18">
        <v>0</v>
      </c>
      <c r="I6" s="18">
        <v>28</v>
      </c>
      <c r="J6" s="18">
        <v>307</v>
      </c>
      <c r="M6" t="s">
        <v>168</v>
      </c>
      <c r="N6" t="s">
        <v>169</v>
      </c>
      <c r="O6" t="str">
        <f t="shared" si="0"/>
        <v>Joe Pavelski</v>
      </c>
      <c r="P6" s="18">
        <v>78</v>
      </c>
      <c r="R6" s="3" t="s">
        <v>386</v>
      </c>
      <c r="S6" s="3" t="s">
        <v>387</v>
      </c>
      <c r="T6" t="str">
        <f t="shared" si="1"/>
        <v>Mikael Granlund</v>
      </c>
      <c r="U6">
        <f t="shared" si="2"/>
        <v>42</v>
      </c>
      <c r="V6">
        <v>42</v>
      </c>
    </row>
    <row r="7" spans="1:22" ht="30" x14ac:dyDescent="0.25">
      <c r="A7" s="19" t="s">
        <v>724</v>
      </c>
      <c r="B7" s="20">
        <v>78</v>
      </c>
      <c r="C7" s="20">
        <v>35</v>
      </c>
      <c r="D7" s="20">
        <v>37</v>
      </c>
      <c r="E7" s="20">
        <v>72</v>
      </c>
      <c r="F7" s="20">
        <v>29</v>
      </c>
      <c r="G7" s="20">
        <v>16</v>
      </c>
      <c r="H7" s="20">
        <v>0</v>
      </c>
      <c r="I7" s="20">
        <v>26</v>
      </c>
      <c r="J7" s="20">
        <v>297</v>
      </c>
      <c r="M7" t="s">
        <v>243</v>
      </c>
      <c r="N7" t="s">
        <v>244</v>
      </c>
      <c r="O7" t="str">
        <f t="shared" si="0"/>
        <v>Jason Spezza</v>
      </c>
      <c r="P7" s="20">
        <v>72</v>
      </c>
      <c r="R7" s="4" t="s">
        <v>379</v>
      </c>
      <c r="S7" s="4" t="s">
        <v>380</v>
      </c>
      <c r="T7" t="str">
        <f t="shared" si="1"/>
        <v>Jesse Puljujarvi</v>
      </c>
      <c r="U7">
        <f t="shared" si="2"/>
        <v>34</v>
      </c>
      <c r="V7">
        <v>34</v>
      </c>
    </row>
    <row r="8" spans="1:22" ht="30" x14ac:dyDescent="0.25">
      <c r="A8" s="17" t="s">
        <v>725</v>
      </c>
      <c r="B8" s="18">
        <v>78</v>
      </c>
      <c r="C8" s="18">
        <v>37</v>
      </c>
      <c r="D8" s="18">
        <v>39</v>
      </c>
      <c r="E8" s="18">
        <v>76</v>
      </c>
      <c r="F8" s="18">
        <v>0</v>
      </c>
      <c r="G8" s="18">
        <v>13</v>
      </c>
      <c r="H8" s="18">
        <v>0</v>
      </c>
      <c r="I8" s="18">
        <v>44</v>
      </c>
      <c r="J8" s="18">
        <v>281</v>
      </c>
      <c r="M8" t="s">
        <v>170</v>
      </c>
      <c r="N8" t="s">
        <v>171</v>
      </c>
      <c r="O8" t="str">
        <f t="shared" si="0"/>
        <v>John Tavares</v>
      </c>
      <c r="P8" s="18">
        <v>76</v>
      </c>
      <c r="R8" s="3" t="s">
        <v>409</v>
      </c>
      <c r="S8" s="3" t="s">
        <v>410</v>
      </c>
      <c r="T8" t="str">
        <f t="shared" si="1"/>
        <v>Brock Nelson</v>
      </c>
      <c r="U8">
        <f t="shared" si="2"/>
        <v>41</v>
      </c>
      <c r="V8">
        <v>41</v>
      </c>
    </row>
    <row r="9" spans="1:22" ht="45" x14ac:dyDescent="0.25">
      <c r="A9" s="19" t="s">
        <v>726</v>
      </c>
      <c r="B9" s="20">
        <v>78</v>
      </c>
      <c r="C9" s="20">
        <v>21</v>
      </c>
      <c r="D9" s="20">
        <v>56</v>
      </c>
      <c r="E9" s="20">
        <v>78</v>
      </c>
      <c r="F9" s="20">
        <v>24</v>
      </c>
      <c r="G9" s="20">
        <v>17</v>
      </c>
      <c r="H9" s="20">
        <v>0</v>
      </c>
      <c r="I9" s="20">
        <v>43</v>
      </c>
      <c r="J9" s="20">
        <v>280</v>
      </c>
      <c r="M9" t="s">
        <v>182</v>
      </c>
      <c r="N9" t="s">
        <v>183</v>
      </c>
      <c r="O9" t="str">
        <f t="shared" si="0"/>
        <v>Nicklas Backstrom</v>
      </c>
      <c r="P9" s="20">
        <v>78</v>
      </c>
      <c r="R9" s="4" t="s">
        <v>424</v>
      </c>
      <c r="S9" s="4" t="s">
        <v>425</v>
      </c>
      <c r="T9" t="str">
        <f t="shared" si="1"/>
        <v>Travis Zajac</v>
      </c>
      <c r="U9">
        <f t="shared" si="2"/>
        <v>51</v>
      </c>
      <c r="V9">
        <v>51</v>
      </c>
    </row>
    <row r="10" spans="1:22" ht="30" x14ac:dyDescent="0.25">
      <c r="A10" s="17" t="s">
        <v>727</v>
      </c>
      <c r="B10" s="18">
        <v>78</v>
      </c>
      <c r="C10" s="18">
        <v>17</v>
      </c>
      <c r="D10" s="18">
        <v>58</v>
      </c>
      <c r="E10" s="18">
        <v>75</v>
      </c>
      <c r="F10" s="18">
        <v>24</v>
      </c>
      <c r="G10" s="18">
        <v>12</v>
      </c>
      <c r="H10" s="18">
        <v>0</v>
      </c>
      <c r="I10" s="18">
        <v>52</v>
      </c>
      <c r="J10" s="18">
        <v>275</v>
      </c>
      <c r="M10" t="s">
        <v>188</v>
      </c>
      <c r="N10" t="s">
        <v>189</v>
      </c>
      <c r="O10" t="str">
        <f t="shared" si="0"/>
        <v>Ryan Getzlaf</v>
      </c>
      <c r="P10" s="18">
        <v>75</v>
      </c>
      <c r="R10" s="3" t="s">
        <v>422</v>
      </c>
      <c r="S10" s="3" t="s">
        <v>423</v>
      </c>
      <c r="T10" t="str">
        <f t="shared" si="1"/>
        <v>Pierre-A Parenteau</v>
      </c>
      <c r="U10" t="e">
        <f t="shared" si="2"/>
        <v>#N/A</v>
      </c>
      <c r="V10" t="e">
        <v>#N/A</v>
      </c>
    </row>
    <row r="11" spans="1:22" ht="30" x14ac:dyDescent="0.25">
      <c r="A11" s="19" t="s">
        <v>728</v>
      </c>
      <c r="B11" s="20">
        <v>78</v>
      </c>
      <c r="C11" s="20">
        <v>26</v>
      </c>
      <c r="D11" s="20">
        <v>48</v>
      </c>
      <c r="E11" s="20">
        <v>75</v>
      </c>
      <c r="F11" s="20">
        <v>22</v>
      </c>
      <c r="G11" s="20">
        <v>10</v>
      </c>
      <c r="H11" s="20">
        <v>1</v>
      </c>
      <c r="I11" s="20">
        <v>16</v>
      </c>
      <c r="J11" s="20">
        <v>269</v>
      </c>
      <c r="M11" t="s">
        <v>180</v>
      </c>
      <c r="N11" t="s">
        <v>181</v>
      </c>
      <c r="O11" t="str">
        <f t="shared" si="0"/>
        <v>Anze Kopitar</v>
      </c>
      <c r="P11" s="20">
        <v>75</v>
      </c>
      <c r="R11" s="4" t="s">
        <v>168</v>
      </c>
      <c r="S11" s="4" t="s">
        <v>452</v>
      </c>
      <c r="T11" t="str">
        <f t="shared" si="1"/>
        <v>Joe Colborne</v>
      </c>
      <c r="U11">
        <f t="shared" si="2"/>
        <v>45</v>
      </c>
      <c r="V11">
        <v>45</v>
      </c>
    </row>
    <row r="12" spans="1:22" ht="30" x14ac:dyDescent="0.25">
      <c r="A12" s="17" t="s">
        <v>729</v>
      </c>
      <c r="B12" s="18">
        <v>78</v>
      </c>
      <c r="C12" s="18">
        <v>25</v>
      </c>
      <c r="D12" s="18">
        <v>48</v>
      </c>
      <c r="E12" s="18">
        <v>73</v>
      </c>
      <c r="F12" s="18">
        <v>0</v>
      </c>
      <c r="G12" s="18">
        <v>15</v>
      </c>
      <c r="H12" s="18">
        <v>1</v>
      </c>
      <c r="I12" s="18">
        <v>50</v>
      </c>
      <c r="J12" s="18">
        <v>264</v>
      </c>
      <c r="M12" t="s">
        <v>184</v>
      </c>
      <c r="N12" t="s">
        <v>185</v>
      </c>
      <c r="O12" t="str">
        <f t="shared" si="0"/>
        <v>Claude Giroux</v>
      </c>
      <c r="P12" s="18">
        <v>73</v>
      </c>
      <c r="R12" s="3" t="s">
        <v>445</v>
      </c>
      <c r="S12" s="3" t="s">
        <v>446</v>
      </c>
      <c r="T12" t="str">
        <f t="shared" si="1"/>
        <v>Teddy Purcell</v>
      </c>
      <c r="U12">
        <f t="shared" si="2"/>
        <v>47</v>
      </c>
      <c r="V12">
        <v>47</v>
      </c>
    </row>
    <row r="13" spans="1:22" ht="30" x14ac:dyDescent="0.25">
      <c r="A13" s="19" t="s">
        <v>730</v>
      </c>
      <c r="B13" s="20">
        <v>78</v>
      </c>
      <c r="C13" s="20">
        <v>29</v>
      </c>
      <c r="D13" s="20">
        <v>34</v>
      </c>
      <c r="E13" s="20">
        <v>64</v>
      </c>
      <c r="F13" s="20">
        <v>35</v>
      </c>
      <c r="G13" s="20">
        <v>5</v>
      </c>
      <c r="H13" s="20">
        <v>3</v>
      </c>
      <c r="I13" s="20">
        <v>73</v>
      </c>
      <c r="J13" s="20">
        <v>264</v>
      </c>
      <c r="M13" t="s">
        <v>218</v>
      </c>
      <c r="N13" t="s">
        <v>242</v>
      </c>
      <c r="O13" t="str">
        <f t="shared" si="0"/>
        <v>Jonathan Toews</v>
      </c>
      <c r="P13" s="20">
        <v>64</v>
      </c>
      <c r="R13" s="4" t="s">
        <v>231</v>
      </c>
      <c r="S13" s="4" t="s">
        <v>447</v>
      </c>
      <c r="T13" t="str">
        <f t="shared" si="1"/>
        <v>David Perron</v>
      </c>
      <c r="U13">
        <f t="shared" si="2"/>
        <v>42</v>
      </c>
      <c r="V13">
        <v>42</v>
      </c>
    </row>
    <row r="14" spans="1:22" x14ac:dyDescent="0.25">
      <c r="A14" s="17" t="s">
        <v>731</v>
      </c>
      <c r="B14" s="18">
        <v>78</v>
      </c>
      <c r="C14" s="18">
        <v>28</v>
      </c>
      <c r="D14" s="18">
        <v>39</v>
      </c>
      <c r="E14" s="18">
        <v>67</v>
      </c>
      <c r="F14" s="18">
        <v>15</v>
      </c>
      <c r="G14" s="18">
        <v>8</v>
      </c>
      <c r="H14" s="18">
        <v>1</v>
      </c>
      <c r="I14" s="18">
        <v>24</v>
      </c>
      <c r="J14" s="18">
        <v>263</v>
      </c>
      <c r="M14" t="s">
        <v>277</v>
      </c>
      <c r="N14" t="s">
        <v>278</v>
      </c>
      <c r="O14" t="str">
        <f t="shared" si="0"/>
        <v>Jeff Carter</v>
      </c>
      <c r="P14" s="18">
        <v>67</v>
      </c>
      <c r="R14" s="3" t="s">
        <v>455</v>
      </c>
      <c r="S14" s="3" t="s">
        <v>456</v>
      </c>
      <c r="T14" t="str">
        <f t="shared" si="1"/>
        <v>Artem Anisimov</v>
      </c>
      <c r="U14">
        <f t="shared" si="2"/>
        <v>47</v>
      </c>
      <c r="V14">
        <v>47</v>
      </c>
    </row>
    <row r="15" spans="1:22" ht="30" x14ac:dyDescent="0.25">
      <c r="A15" s="19" t="s">
        <v>732</v>
      </c>
      <c r="B15" s="20">
        <v>78</v>
      </c>
      <c r="C15" s="20">
        <v>20</v>
      </c>
      <c r="D15" s="20">
        <v>53</v>
      </c>
      <c r="E15" s="20">
        <v>73</v>
      </c>
      <c r="F15" s="20">
        <v>22</v>
      </c>
      <c r="G15" s="20">
        <v>12</v>
      </c>
      <c r="H15" s="20">
        <v>1</v>
      </c>
      <c r="I15" s="20">
        <v>35</v>
      </c>
      <c r="J15" s="20">
        <v>261</v>
      </c>
      <c r="M15" t="s">
        <v>231</v>
      </c>
      <c r="N15" t="s">
        <v>232</v>
      </c>
      <c r="O15" t="str">
        <f t="shared" si="0"/>
        <v>David Krejci</v>
      </c>
      <c r="P15" s="20">
        <v>73</v>
      </c>
      <c r="R15" s="4" t="s">
        <v>431</v>
      </c>
      <c r="S15" s="4" t="s">
        <v>432</v>
      </c>
      <c r="T15" t="str">
        <f t="shared" si="1"/>
        <v>Nick Bjugstad</v>
      </c>
      <c r="U15">
        <f t="shared" si="2"/>
        <v>40</v>
      </c>
      <c r="V15">
        <v>40</v>
      </c>
    </row>
    <row r="16" spans="1:22" ht="45" x14ac:dyDescent="0.25">
      <c r="A16" s="17" t="s">
        <v>733</v>
      </c>
      <c r="B16" s="18">
        <v>78</v>
      </c>
      <c r="C16" s="18">
        <v>19</v>
      </c>
      <c r="D16" s="18">
        <v>52</v>
      </c>
      <c r="E16" s="18">
        <v>71</v>
      </c>
      <c r="F16" s="18">
        <v>26</v>
      </c>
      <c r="G16" s="18">
        <v>9</v>
      </c>
      <c r="H16" s="18">
        <v>0</v>
      </c>
      <c r="I16" s="18">
        <v>36</v>
      </c>
      <c r="J16" s="18">
        <v>261</v>
      </c>
      <c r="M16" t="s">
        <v>206</v>
      </c>
      <c r="N16" t="s">
        <v>207</v>
      </c>
      <c r="O16" t="str">
        <f t="shared" si="0"/>
        <v>Evgeny Kuznetsov</v>
      </c>
      <c r="P16" s="18">
        <v>71</v>
      </c>
      <c r="R16" s="3" t="s">
        <v>426</v>
      </c>
      <c r="S16" s="3" t="s">
        <v>451</v>
      </c>
      <c r="T16" t="str">
        <f t="shared" si="1"/>
        <v>Kevin Hayes</v>
      </c>
      <c r="U16">
        <f t="shared" si="2"/>
        <v>37</v>
      </c>
      <c r="V16">
        <v>37</v>
      </c>
    </row>
    <row r="17" spans="1:22" ht="30" x14ac:dyDescent="0.25">
      <c r="A17" s="19" t="s">
        <v>734</v>
      </c>
      <c r="B17" s="20">
        <v>78</v>
      </c>
      <c r="C17" s="20">
        <v>17</v>
      </c>
      <c r="D17" s="20">
        <v>60</v>
      </c>
      <c r="E17" s="20">
        <v>77</v>
      </c>
      <c r="F17" s="20">
        <v>20</v>
      </c>
      <c r="G17" s="20">
        <v>13</v>
      </c>
      <c r="H17" s="20">
        <v>0</v>
      </c>
      <c r="I17" s="20">
        <v>53</v>
      </c>
      <c r="J17" s="20">
        <v>261</v>
      </c>
      <c r="M17" t="s">
        <v>168</v>
      </c>
      <c r="N17" t="s">
        <v>200</v>
      </c>
      <c r="O17" t="str">
        <f t="shared" si="0"/>
        <v>Joe Thornton</v>
      </c>
      <c r="P17" s="20">
        <v>77</v>
      </c>
      <c r="R17" s="4" t="s">
        <v>459</v>
      </c>
      <c r="S17" s="4" t="s">
        <v>460</v>
      </c>
      <c r="T17" t="str">
        <f t="shared" si="1"/>
        <v>Vladislav Namestn…</v>
      </c>
      <c r="U17" t="e">
        <f t="shared" si="2"/>
        <v>#N/A</v>
      </c>
      <c r="V17" t="e">
        <v>#N/A</v>
      </c>
    </row>
    <row r="18" spans="1:22" ht="30" x14ac:dyDescent="0.25">
      <c r="A18" s="17" t="s">
        <v>735</v>
      </c>
      <c r="B18" s="18">
        <v>78</v>
      </c>
      <c r="C18" s="18">
        <v>26</v>
      </c>
      <c r="D18" s="18">
        <v>41</v>
      </c>
      <c r="E18" s="18">
        <v>68</v>
      </c>
      <c r="F18" s="18">
        <v>8</v>
      </c>
      <c r="G18" s="18">
        <v>12</v>
      </c>
      <c r="H18" s="18">
        <v>0</v>
      </c>
      <c r="I18" s="18">
        <v>32</v>
      </c>
      <c r="J18" s="18">
        <v>257</v>
      </c>
      <c r="M18" t="s">
        <v>228</v>
      </c>
      <c r="N18" t="s">
        <v>229</v>
      </c>
      <c r="O18" t="str">
        <f t="shared" si="0"/>
        <v>Logan Couture</v>
      </c>
      <c r="P18" s="18">
        <v>68</v>
      </c>
      <c r="R18" s="3" t="s">
        <v>440</v>
      </c>
      <c r="S18" s="3" t="s">
        <v>441</v>
      </c>
      <c r="T18" t="str">
        <f t="shared" si="1"/>
        <v>Pavel Zacha</v>
      </c>
      <c r="U18">
        <f t="shared" si="2"/>
        <v>37</v>
      </c>
      <c r="V18">
        <v>37</v>
      </c>
    </row>
    <row r="19" spans="1:22" ht="45" x14ac:dyDescent="0.25">
      <c r="A19" s="19" t="s">
        <v>736</v>
      </c>
      <c r="B19" s="20">
        <v>78</v>
      </c>
      <c r="C19" s="20">
        <v>17</v>
      </c>
      <c r="D19" s="20">
        <v>46</v>
      </c>
      <c r="E19" s="20">
        <v>64</v>
      </c>
      <c r="F19" s="20">
        <v>32</v>
      </c>
      <c r="G19" s="20">
        <v>13</v>
      </c>
      <c r="H19" s="20">
        <v>0</v>
      </c>
      <c r="I19" s="20">
        <v>56</v>
      </c>
      <c r="J19" s="20">
        <v>257</v>
      </c>
      <c r="M19" t="s">
        <v>188</v>
      </c>
      <c r="N19" t="s">
        <v>201</v>
      </c>
      <c r="O19" t="str">
        <f t="shared" si="0"/>
        <v>Ryan Johansen</v>
      </c>
      <c r="P19" s="20">
        <v>64</v>
      </c>
      <c r="R19" s="4" t="s">
        <v>174</v>
      </c>
      <c r="S19" s="4" t="s">
        <v>230</v>
      </c>
      <c r="T19" t="str">
        <f t="shared" si="1"/>
        <v>Alexander Radulov</v>
      </c>
      <c r="U19">
        <f t="shared" si="2"/>
        <v>39</v>
      </c>
      <c r="V19">
        <v>39</v>
      </c>
    </row>
    <row r="20" spans="1:22" ht="45" x14ac:dyDescent="0.25">
      <c r="A20" s="17" t="s">
        <v>737</v>
      </c>
      <c r="B20" s="18">
        <v>78</v>
      </c>
      <c r="C20" s="18">
        <v>34</v>
      </c>
      <c r="D20" s="18">
        <v>36</v>
      </c>
      <c r="E20" s="18">
        <v>70</v>
      </c>
      <c r="F20" s="18">
        <v>-2</v>
      </c>
      <c r="G20" s="18">
        <v>8</v>
      </c>
      <c r="H20" s="18">
        <v>0</v>
      </c>
      <c r="I20" s="18">
        <v>52</v>
      </c>
      <c r="J20" s="18">
        <v>248</v>
      </c>
      <c r="M20" t="s">
        <v>196</v>
      </c>
      <c r="N20" t="s">
        <v>197</v>
      </c>
      <c r="O20" t="str">
        <f t="shared" si="0"/>
        <v>Mark Scheifele</v>
      </c>
      <c r="P20" s="18">
        <v>70</v>
      </c>
      <c r="R20" s="3" t="s">
        <v>218</v>
      </c>
      <c r="S20" s="3" t="s">
        <v>396</v>
      </c>
      <c r="T20" t="str">
        <f t="shared" si="1"/>
        <v>Jonathan Drouin</v>
      </c>
      <c r="U20">
        <f t="shared" si="2"/>
        <v>60</v>
      </c>
      <c r="V20">
        <v>60</v>
      </c>
    </row>
    <row r="21" spans="1:22" ht="30" x14ac:dyDescent="0.25">
      <c r="A21" s="19" t="s">
        <v>738</v>
      </c>
      <c r="B21" s="20">
        <v>78</v>
      </c>
      <c r="C21" s="20">
        <v>27</v>
      </c>
      <c r="D21" s="20">
        <v>34</v>
      </c>
      <c r="E21" s="20">
        <v>62</v>
      </c>
      <c r="F21" s="20">
        <v>17</v>
      </c>
      <c r="G21" s="20">
        <v>8</v>
      </c>
      <c r="H21" s="20">
        <v>0</v>
      </c>
      <c r="I21" s="20">
        <v>67</v>
      </c>
      <c r="J21" s="20">
        <v>242</v>
      </c>
      <c r="M21" t="s">
        <v>188</v>
      </c>
      <c r="N21" t="s">
        <v>363</v>
      </c>
      <c r="O21" t="str">
        <f t="shared" si="0"/>
        <v>Ryan Kesler</v>
      </c>
      <c r="P21" s="20">
        <v>62</v>
      </c>
      <c r="R21" s="4" t="s">
        <v>254</v>
      </c>
      <c r="S21" s="4" t="s">
        <v>255</v>
      </c>
      <c r="T21" t="str">
        <f t="shared" si="1"/>
        <v>Kyle Turris</v>
      </c>
      <c r="U21">
        <f t="shared" si="2"/>
        <v>45</v>
      </c>
      <c r="V21">
        <v>45</v>
      </c>
    </row>
    <row r="22" spans="1:22" ht="30" x14ac:dyDescent="0.25">
      <c r="A22" s="17" t="s">
        <v>739</v>
      </c>
      <c r="B22" s="18">
        <v>78</v>
      </c>
      <c r="C22" s="18">
        <v>23</v>
      </c>
      <c r="D22" s="18">
        <v>37</v>
      </c>
      <c r="E22" s="18">
        <v>60</v>
      </c>
      <c r="F22" s="18">
        <v>26</v>
      </c>
      <c r="G22" s="18">
        <v>12</v>
      </c>
      <c r="H22" s="18">
        <v>0</v>
      </c>
      <c r="I22" s="18">
        <v>30</v>
      </c>
      <c r="J22" s="18">
        <v>240</v>
      </c>
      <c r="M22" t="s">
        <v>166</v>
      </c>
      <c r="N22" t="s">
        <v>316</v>
      </c>
      <c r="O22" t="str">
        <f t="shared" si="0"/>
        <v>Tyler Johnson</v>
      </c>
      <c r="P22" s="18">
        <v>60</v>
      </c>
      <c r="R22" s="3" t="s">
        <v>268</v>
      </c>
      <c r="S22" s="3" t="s">
        <v>269</v>
      </c>
      <c r="T22" t="str">
        <f t="shared" si="1"/>
        <v>Patrik Laine</v>
      </c>
      <c r="U22">
        <f t="shared" si="2"/>
        <v>37</v>
      </c>
      <c r="V22">
        <v>37</v>
      </c>
    </row>
    <row r="23" spans="1:22" ht="30" x14ac:dyDescent="0.25">
      <c r="A23" s="19" t="s">
        <v>740</v>
      </c>
      <c r="B23" s="20">
        <v>78</v>
      </c>
      <c r="C23" s="20">
        <v>28</v>
      </c>
      <c r="D23" s="20">
        <v>35</v>
      </c>
      <c r="E23" s="20">
        <v>63</v>
      </c>
      <c r="F23" s="20">
        <v>6</v>
      </c>
      <c r="G23" s="20">
        <v>15</v>
      </c>
      <c r="H23" s="20">
        <v>0</v>
      </c>
      <c r="I23" s="20">
        <v>36</v>
      </c>
      <c r="J23" s="20">
        <v>240</v>
      </c>
      <c r="M23" t="s">
        <v>292</v>
      </c>
      <c r="N23" t="s">
        <v>293</v>
      </c>
      <c r="O23" t="str">
        <f t="shared" si="0"/>
        <v>Derick Brassard</v>
      </c>
      <c r="P23" s="20">
        <v>63</v>
      </c>
      <c r="R23" s="4" t="s">
        <v>353</v>
      </c>
      <c r="S23" s="4" t="s">
        <v>354</v>
      </c>
      <c r="T23" t="str">
        <f t="shared" si="1"/>
        <v>Zach Parise</v>
      </c>
      <c r="U23">
        <f t="shared" si="2"/>
        <v>62</v>
      </c>
      <c r="V23">
        <v>62</v>
      </c>
    </row>
    <row r="24" spans="1:22" ht="30" x14ac:dyDescent="0.25">
      <c r="A24" s="17" t="s">
        <v>741</v>
      </c>
      <c r="B24" s="18">
        <v>78</v>
      </c>
      <c r="C24" s="18">
        <v>26</v>
      </c>
      <c r="D24" s="18">
        <v>34</v>
      </c>
      <c r="E24" s="18">
        <v>61</v>
      </c>
      <c r="F24" s="18">
        <v>13</v>
      </c>
      <c r="G24" s="18">
        <v>11</v>
      </c>
      <c r="H24" s="18">
        <v>1</v>
      </c>
      <c r="I24" s="18">
        <v>22</v>
      </c>
      <c r="J24" s="18">
        <v>238</v>
      </c>
      <c r="M24" t="s">
        <v>265</v>
      </c>
      <c r="N24" t="s">
        <v>266</v>
      </c>
      <c r="O24" t="str">
        <f t="shared" si="0"/>
        <v>Derek Stepan</v>
      </c>
      <c r="P24" s="18">
        <v>61</v>
      </c>
      <c r="R24" s="3" t="s">
        <v>270</v>
      </c>
      <c r="S24" s="3" t="s">
        <v>271</v>
      </c>
      <c r="T24" t="str">
        <f t="shared" si="1"/>
        <v>Kristopher Letang</v>
      </c>
      <c r="U24" t="e">
        <f t="shared" si="2"/>
        <v>#N/A</v>
      </c>
      <c r="V24" t="e">
        <v>#N/A</v>
      </c>
    </row>
    <row r="25" spans="1:22" ht="45" x14ac:dyDescent="0.25">
      <c r="A25" s="19" t="s">
        <v>742</v>
      </c>
      <c r="B25" s="20">
        <v>78</v>
      </c>
      <c r="C25" s="20">
        <v>28</v>
      </c>
      <c r="D25" s="20">
        <v>53</v>
      </c>
      <c r="E25" s="20">
        <v>82</v>
      </c>
      <c r="F25" s="20">
        <v>-25</v>
      </c>
      <c r="G25" s="20">
        <v>11</v>
      </c>
      <c r="H25" s="20">
        <v>0</v>
      </c>
      <c r="I25" s="20">
        <v>29</v>
      </c>
      <c r="J25" s="20">
        <v>233</v>
      </c>
      <c r="M25" t="s">
        <v>160</v>
      </c>
      <c r="N25" t="s">
        <v>161</v>
      </c>
      <c r="O25" t="str">
        <f t="shared" si="0"/>
        <v>Connor McDavid</v>
      </c>
      <c r="P25" s="20">
        <v>82</v>
      </c>
      <c r="R25" s="4" t="s">
        <v>220</v>
      </c>
      <c r="S25" s="4" t="s">
        <v>221</v>
      </c>
      <c r="T25" t="str">
        <f t="shared" si="1"/>
        <v>Auston Matthews</v>
      </c>
      <c r="U25">
        <f t="shared" si="2"/>
        <v>37</v>
      </c>
      <c r="V25">
        <v>37</v>
      </c>
    </row>
    <row r="26" spans="1:22" ht="30" x14ac:dyDescent="0.25">
      <c r="A26" s="17" t="s">
        <v>743</v>
      </c>
      <c r="B26" s="18">
        <v>78</v>
      </c>
      <c r="C26" s="18">
        <v>28</v>
      </c>
      <c r="D26" s="18">
        <v>35</v>
      </c>
      <c r="E26" s="18">
        <v>64</v>
      </c>
      <c r="F26" s="18">
        <v>6</v>
      </c>
      <c r="G26" s="18">
        <v>11</v>
      </c>
      <c r="H26" s="18">
        <v>0</v>
      </c>
      <c r="I26" s="18">
        <v>36</v>
      </c>
      <c r="J26" s="18">
        <v>232</v>
      </c>
      <c r="M26" t="s">
        <v>288</v>
      </c>
      <c r="N26" t="s">
        <v>289</v>
      </c>
      <c r="O26" t="str">
        <f t="shared" si="0"/>
        <v>Brayden Schenn</v>
      </c>
      <c r="P26" s="18">
        <v>64</v>
      </c>
      <c r="R26" s="3" t="s">
        <v>188</v>
      </c>
      <c r="S26" s="3" t="s">
        <v>201</v>
      </c>
      <c r="T26" t="str">
        <f t="shared" si="1"/>
        <v>Ryan Johansen</v>
      </c>
      <c r="U26">
        <f t="shared" si="2"/>
        <v>64</v>
      </c>
      <c r="V26">
        <v>64</v>
      </c>
    </row>
    <row r="27" spans="1:22" ht="45" x14ac:dyDescent="0.25">
      <c r="A27" s="19" t="s">
        <v>744</v>
      </c>
      <c r="B27" s="20">
        <v>78</v>
      </c>
      <c r="C27" s="20">
        <v>32</v>
      </c>
      <c r="D27" s="20">
        <v>26</v>
      </c>
      <c r="E27" s="20">
        <v>58</v>
      </c>
      <c r="F27" s="20">
        <v>9</v>
      </c>
      <c r="G27" s="20">
        <v>10</v>
      </c>
      <c r="H27" s="20">
        <v>0</v>
      </c>
      <c r="I27" s="20">
        <v>22</v>
      </c>
      <c r="J27" s="20">
        <v>227</v>
      </c>
      <c r="M27" t="s">
        <v>233</v>
      </c>
      <c r="N27" t="s">
        <v>234</v>
      </c>
      <c r="O27" t="str">
        <f t="shared" si="0"/>
        <v>Alex Galchenyuk</v>
      </c>
      <c r="P27" s="20">
        <v>58</v>
      </c>
      <c r="R27" s="4" t="s">
        <v>294</v>
      </c>
      <c r="S27" s="4" t="s">
        <v>295</v>
      </c>
      <c r="T27" t="str">
        <f t="shared" si="1"/>
        <v>Vincent Trocheck</v>
      </c>
      <c r="U27">
        <f t="shared" si="2"/>
        <v>55</v>
      </c>
      <c r="V27">
        <v>55</v>
      </c>
    </row>
    <row r="28" spans="1:22" ht="45" x14ac:dyDescent="0.25">
      <c r="A28" s="17" t="s">
        <v>745</v>
      </c>
      <c r="B28" s="18">
        <v>78</v>
      </c>
      <c r="C28" s="18">
        <v>22</v>
      </c>
      <c r="D28" s="18">
        <v>26</v>
      </c>
      <c r="E28" s="18">
        <v>48</v>
      </c>
      <c r="F28" s="18">
        <v>38</v>
      </c>
      <c r="G28" s="18">
        <v>9</v>
      </c>
      <c r="H28" s="18">
        <v>0</v>
      </c>
      <c r="I28" s="18">
        <v>86</v>
      </c>
      <c r="J28" s="18">
        <v>225</v>
      </c>
      <c r="M28" t="s">
        <v>1231</v>
      </c>
      <c r="N28" t="s">
        <v>1232</v>
      </c>
      <c r="O28" t="str">
        <f t="shared" si="0"/>
        <v>Antoine Vermette</v>
      </c>
      <c r="P28" s="18">
        <v>48</v>
      </c>
      <c r="R28" s="3" t="s">
        <v>233</v>
      </c>
      <c r="S28" s="3" t="s">
        <v>234</v>
      </c>
      <c r="T28" t="str">
        <f t="shared" si="1"/>
        <v>Alex Galchenyuk</v>
      </c>
      <c r="U28">
        <f t="shared" si="2"/>
        <v>58</v>
      </c>
      <c r="V28">
        <v>58</v>
      </c>
    </row>
    <row r="29" spans="1:22" ht="30" x14ac:dyDescent="0.25">
      <c r="A29" s="19" t="s">
        <v>746</v>
      </c>
      <c r="B29" s="20">
        <v>78</v>
      </c>
      <c r="C29" s="20">
        <v>34</v>
      </c>
      <c r="D29" s="20">
        <v>30</v>
      </c>
      <c r="E29" s="20">
        <v>64</v>
      </c>
      <c r="F29" s="20">
        <v>-7</v>
      </c>
      <c r="G29" s="20">
        <v>8</v>
      </c>
      <c r="H29" s="20">
        <v>0</v>
      </c>
      <c r="I29" s="20">
        <v>26</v>
      </c>
      <c r="J29" s="20">
        <v>218</v>
      </c>
      <c r="M29" t="s">
        <v>245</v>
      </c>
      <c r="N29" t="s">
        <v>246</v>
      </c>
      <c r="O29" t="str">
        <f t="shared" si="0"/>
        <v>Matt Duchene</v>
      </c>
      <c r="P29" s="20">
        <v>64</v>
      </c>
      <c r="R29" s="4" t="s">
        <v>310</v>
      </c>
      <c r="S29" s="4" t="s">
        <v>311</v>
      </c>
      <c r="T29" t="str">
        <f t="shared" si="1"/>
        <v>Andrew Ladd</v>
      </c>
      <c r="U29">
        <f t="shared" si="2"/>
        <v>49</v>
      </c>
      <c r="V29">
        <v>49</v>
      </c>
    </row>
    <row r="30" spans="1:22" ht="45" x14ac:dyDescent="0.25">
      <c r="A30" s="17" t="s">
        <v>747</v>
      </c>
      <c r="B30" s="18">
        <v>78</v>
      </c>
      <c r="C30" s="18">
        <v>27</v>
      </c>
      <c r="D30" s="18">
        <v>32</v>
      </c>
      <c r="E30" s="18">
        <v>60</v>
      </c>
      <c r="F30" s="18">
        <v>1</v>
      </c>
      <c r="G30" s="18">
        <v>11</v>
      </c>
      <c r="H30" s="18">
        <v>0</v>
      </c>
      <c r="I30" s="18">
        <v>18</v>
      </c>
      <c r="J30" s="18">
        <v>216</v>
      </c>
      <c r="M30" t="s">
        <v>210</v>
      </c>
      <c r="N30" t="s">
        <v>211</v>
      </c>
      <c r="O30" t="str">
        <f t="shared" si="0"/>
        <v>Sean Monahan</v>
      </c>
      <c r="P30" s="18">
        <v>60</v>
      </c>
      <c r="R30" s="3" t="s">
        <v>302</v>
      </c>
      <c r="S30" s="3" t="s">
        <v>188</v>
      </c>
      <c r="T30" t="str">
        <f t="shared" si="1"/>
        <v>Bobby Ryan</v>
      </c>
      <c r="U30">
        <f t="shared" si="2"/>
        <v>60</v>
      </c>
      <c r="V30">
        <v>60</v>
      </c>
    </row>
    <row r="31" spans="1:22" ht="45" x14ac:dyDescent="0.25">
      <c r="A31" s="19" t="s">
        <v>748</v>
      </c>
      <c r="B31" s="20">
        <v>78</v>
      </c>
      <c r="C31" s="20">
        <v>22</v>
      </c>
      <c r="D31" s="20">
        <v>32</v>
      </c>
      <c r="E31" s="20">
        <v>54</v>
      </c>
      <c r="F31" s="20">
        <v>23</v>
      </c>
      <c r="G31" s="20">
        <v>8</v>
      </c>
      <c r="H31" s="20">
        <v>1</v>
      </c>
      <c r="I31" s="20">
        <v>15</v>
      </c>
      <c r="J31" s="20">
        <v>212</v>
      </c>
      <c r="M31" t="s">
        <v>284</v>
      </c>
      <c r="N31" t="s">
        <v>285</v>
      </c>
      <c r="O31" t="str">
        <f t="shared" si="0"/>
        <v>Mika Zibanejad</v>
      </c>
      <c r="P31" s="20">
        <v>54</v>
      </c>
      <c r="R31" s="4" t="s">
        <v>260</v>
      </c>
      <c r="S31" s="4" t="s">
        <v>261</v>
      </c>
      <c r="T31" t="str">
        <f t="shared" si="1"/>
        <v>Jaden Schwartz</v>
      </c>
      <c r="U31">
        <f t="shared" si="2"/>
        <v>49</v>
      </c>
      <c r="V31">
        <v>49</v>
      </c>
    </row>
    <row r="32" spans="1:22" ht="30" x14ac:dyDescent="0.25">
      <c r="A32" s="17" t="s">
        <v>749</v>
      </c>
      <c r="B32" s="18">
        <v>78</v>
      </c>
      <c r="C32" s="18">
        <v>32</v>
      </c>
      <c r="D32" s="18">
        <v>32</v>
      </c>
      <c r="E32" s="18">
        <v>65</v>
      </c>
      <c r="F32" s="18">
        <v>-22</v>
      </c>
      <c r="G32" s="18">
        <v>10</v>
      </c>
      <c r="H32" s="18">
        <v>1</v>
      </c>
      <c r="I32" s="18">
        <v>11</v>
      </c>
      <c r="J32" s="18">
        <v>210</v>
      </c>
      <c r="M32" t="s">
        <v>190</v>
      </c>
      <c r="N32" t="s">
        <v>191</v>
      </c>
      <c r="O32" t="str">
        <f t="shared" si="0"/>
        <v>Aleksander Barkov</v>
      </c>
      <c r="P32" s="18">
        <v>65</v>
      </c>
      <c r="R32" s="3" t="s">
        <v>198</v>
      </c>
      <c r="S32" s="3" t="s">
        <v>199</v>
      </c>
      <c r="T32" t="str">
        <f t="shared" si="1"/>
        <v>Artemi Panarin</v>
      </c>
      <c r="U32">
        <f t="shared" si="2"/>
        <v>84</v>
      </c>
      <c r="V32">
        <v>84</v>
      </c>
    </row>
    <row r="33" spans="1:22" ht="45" x14ac:dyDescent="0.25">
      <c r="A33" s="19" t="s">
        <v>750</v>
      </c>
      <c r="B33" s="20">
        <v>78</v>
      </c>
      <c r="C33" s="20">
        <v>15</v>
      </c>
      <c r="D33" s="20">
        <v>40</v>
      </c>
      <c r="E33" s="20">
        <v>55</v>
      </c>
      <c r="F33" s="20">
        <v>15</v>
      </c>
      <c r="G33" s="20">
        <v>8</v>
      </c>
      <c r="H33" s="20">
        <v>0</v>
      </c>
      <c r="I33" s="20">
        <v>40</v>
      </c>
      <c r="J33" s="20">
        <v>207</v>
      </c>
      <c r="M33" t="s">
        <v>365</v>
      </c>
      <c r="N33" t="s">
        <v>366</v>
      </c>
      <c r="O33" t="str">
        <f t="shared" si="0"/>
        <v>Tomas Plekanec</v>
      </c>
      <c r="P33" s="20">
        <v>55</v>
      </c>
      <c r="R33" s="4" t="s">
        <v>166</v>
      </c>
      <c r="S33" s="4" t="s">
        <v>316</v>
      </c>
      <c r="T33" t="str">
        <f t="shared" si="1"/>
        <v>Tyler Johnson</v>
      </c>
      <c r="U33">
        <f t="shared" si="2"/>
        <v>60</v>
      </c>
      <c r="V33">
        <v>60</v>
      </c>
    </row>
    <row r="34" spans="1:22" ht="45" x14ac:dyDescent="0.25">
      <c r="A34" s="17" t="s">
        <v>751</v>
      </c>
      <c r="B34" s="18">
        <v>78</v>
      </c>
      <c r="C34" s="18">
        <v>24</v>
      </c>
      <c r="D34" s="18">
        <v>33</v>
      </c>
      <c r="E34" s="18">
        <v>58</v>
      </c>
      <c r="F34" s="18">
        <v>-12</v>
      </c>
      <c r="G34" s="18">
        <v>9</v>
      </c>
      <c r="H34" s="18">
        <v>0</v>
      </c>
      <c r="I34" s="18">
        <v>24</v>
      </c>
      <c r="J34" s="18">
        <v>207</v>
      </c>
      <c r="M34" t="s">
        <v>235</v>
      </c>
      <c r="N34" t="s">
        <v>236</v>
      </c>
      <c r="O34" t="str">
        <f t="shared" si="0"/>
        <v>Nathan MacKinnon</v>
      </c>
      <c r="P34" s="18">
        <v>58</v>
      </c>
      <c r="R34" s="3" t="s">
        <v>282</v>
      </c>
      <c r="S34" s="3" t="s">
        <v>283</v>
      </c>
      <c r="T34" t="str">
        <f t="shared" si="1"/>
        <v>Milan Lucic</v>
      </c>
      <c r="U34">
        <f t="shared" si="2"/>
        <v>49</v>
      </c>
      <c r="V34">
        <v>49</v>
      </c>
    </row>
    <row r="35" spans="1:22" ht="30" x14ac:dyDescent="0.25">
      <c r="A35" s="19" t="s">
        <v>752</v>
      </c>
      <c r="B35" s="20">
        <v>78</v>
      </c>
      <c r="C35" s="20">
        <v>25</v>
      </c>
      <c r="D35" s="20">
        <v>27</v>
      </c>
      <c r="E35" s="20">
        <v>53</v>
      </c>
      <c r="F35" s="20">
        <v>15</v>
      </c>
      <c r="G35" s="20">
        <v>5</v>
      </c>
      <c r="H35" s="20">
        <v>0</v>
      </c>
      <c r="I35" s="20">
        <v>17</v>
      </c>
      <c r="J35" s="20">
        <v>205</v>
      </c>
      <c r="M35" t="s">
        <v>399</v>
      </c>
      <c r="N35" t="s">
        <v>400</v>
      </c>
      <c r="O35" t="str">
        <f t="shared" si="0"/>
        <v>Rickard Rakell</v>
      </c>
      <c r="P35" s="20">
        <v>53</v>
      </c>
      <c r="R35" s="4" t="s">
        <v>190</v>
      </c>
      <c r="S35" s="4" t="s">
        <v>191</v>
      </c>
      <c r="T35" t="str">
        <f t="shared" si="1"/>
        <v>Aleksander Barkov</v>
      </c>
      <c r="U35">
        <f t="shared" si="2"/>
        <v>65</v>
      </c>
      <c r="V35">
        <v>65</v>
      </c>
    </row>
    <row r="36" spans="1:22" ht="30" x14ac:dyDescent="0.25">
      <c r="A36" s="17" t="s">
        <v>753</v>
      </c>
      <c r="B36" s="18">
        <v>78</v>
      </c>
      <c r="C36" s="18">
        <v>20</v>
      </c>
      <c r="D36" s="18">
        <v>30</v>
      </c>
      <c r="E36" s="18">
        <v>51</v>
      </c>
      <c r="F36" s="18">
        <v>-19</v>
      </c>
      <c r="G36" s="18">
        <v>9</v>
      </c>
      <c r="H36" s="18">
        <v>0</v>
      </c>
      <c r="I36" s="18">
        <v>94</v>
      </c>
      <c r="J36" s="18">
        <v>200</v>
      </c>
      <c r="M36" t="s">
        <v>404</v>
      </c>
      <c r="N36" t="s">
        <v>405</v>
      </c>
      <c r="O36" t="str">
        <f t="shared" si="0"/>
        <v>Nazem Kadri</v>
      </c>
      <c r="P36" s="18">
        <v>51</v>
      </c>
      <c r="R36" s="3" t="s">
        <v>194</v>
      </c>
      <c r="S36" s="3" t="s">
        <v>195</v>
      </c>
      <c r="T36" t="str">
        <f t="shared" si="1"/>
        <v>Filip Forsberg</v>
      </c>
      <c r="U36">
        <f t="shared" si="2"/>
        <v>64</v>
      </c>
      <c r="V36">
        <v>64</v>
      </c>
    </row>
    <row r="37" spans="1:22" ht="30" x14ac:dyDescent="0.25">
      <c r="A37" s="19" t="s">
        <v>754</v>
      </c>
      <c r="B37" s="20">
        <v>78</v>
      </c>
      <c r="C37" s="20">
        <v>14</v>
      </c>
      <c r="D37" s="20">
        <v>55</v>
      </c>
      <c r="E37" s="20">
        <v>69</v>
      </c>
      <c r="F37" s="20">
        <v>-6</v>
      </c>
      <c r="G37" s="20">
        <v>13</v>
      </c>
      <c r="H37" s="20">
        <v>0</v>
      </c>
      <c r="I37" s="20">
        <v>27</v>
      </c>
      <c r="J37" s="20">
        <v>200</v>
      </c>
      <c r="M37" t="s">
        <v>252</v>
      </c>
      <c r="N37" t="s">
        <v>253</v>
      </c>
      <c r="O37" t="str">
        <f t="shared" si="0"/>
        <v>Henrik Sedin</v>
      </c>
      <c r="P37" s="20">
        <v>69</v>
      </c>
      <c r="R37" s="4" t="s">
        <v>286</v>
      </c>
      <c r="S37" s="4" t="s">
        <v>395</v>
      </c>
      <c r="T37" t="str">
        <f t="shared" si="1"/>
        <v>Dylan Strome</v>
      </c>
      <c r="U37">
        <f t="shared" si="2"/>
        <v>35</v>
      </c>
      <c r="V37">
        <v>35</v>
      </c>
    </row>
    <row r="38" spans="1:22" ht="30" x14ac:dyDescent="0.25">
      <c r="A38" s="17" t="s">
        <v>755</v>
      </c>
      <c r="B38" s="18">
        <v>78</v>
      </c>
      <c r="C38" s="18">
        <v>25</v>
      </c>
      <c r="D38" s="18">
        <v>38</v>
      </c>
      <c r="E38" s="18">
        <v>63</v>
      </c>
      <c r="F38" s="18">
        <v>-17</v>
      </c>
      <c r="G38" s="18">
        <v>10</v>
      </c>
      <c r="H38" s="18">
        <v>1</v>
      </c>
      <c r="I38" s="18">
        <v>14</v>
      </c>
      <c r="J38" s="18">
        <v>199</v>
      </c>
      <c r="M38" t="s">
        <v>280</v>
      </c>
      <c r="N38" t="s">
        <v>281</v>
      </c>
      <c r="O38" t="str">
        <f t="shared" si="0"/>
        <v>Bryan Little</v>
      </c>
      <c r="P38" s="18">
        <v>63</v>
      </c>
      <c r="R38" s="3" t="s">
        <v>226</v>
      </c>
      <c r="S38" s="3" t="s">
        <v>227</v>
      </c>
      <c r="T38" t="str">
        <f t="shared" si="1"/>
        <v>Jordan Eberle</v>
      </c>
      <c r="U38">
        <f t="shared" si="2"/>
        <v>59</v>
      </c>
      <c r="V38">
        <v>59</v>
      </c>
    </row>
    <row r="39" spans="1:22" ht="30" x14ac:dyDescent="0.25">
      <c r="A39" s="19" t="s">
        <v>756</v>
      </c>
      <c r="B39" s="20">
        <v>78</v>
      </c>
      <c r="C39" s="20">
        <v>13</v>
      </c>
      <c r="D39" s="20">
        <v>47</v>
      </c>
      <c r="E39" s="20">
        <v>60</v>
      </c>
      <c r="F39" s="20">
        <v>7</v>
      </c>
      <c r="G39" s="20">
        <v>8</v>
      </c>
      <c r="H39" s="20">
        <v>0</v>
      </c>
      <c r="I39" s="20">
        <v>42</v>
      </c>
      <c r="J39" s="20">
        <v>198</v>
      </c>
      <c r="M39" t="s">
        <v>341</v>
      </c>
      <c r="N39" t="s">
        <v>342</v>
      </c>
      <c r="O39" t="str">
        <f t="shared" si="0"/>
        <v>Paul Stastny</v>
      </c>
      <c r="P39" s="20">
        <v>60</v>
      </c>
      <c r="R39" s="4" t="s">
        <v>164</v>
      </c>
      <c r="S39" s="4" t="s">
        <v>165</v>
      </c>
      <c r="T39" t="str">
        <f t="shared" si="1"/>
        <v>Sidney Crosby</v>
      </c>
      <c r="U39">
        <f t="shared" si="2"/>
        <v>89</v>
      </c>
      <c r="V39">
        <v>89</v>
      </c>
    </row>
    <row r="40" spans="1:22" ht="30" x14ac:dyDescent="0.25">
      <c r="A40" s="17" t="s">
        <v>757</v>
      </c>
      <c r="B40" s="18">
        <v>78</v>
      </c>
      <c r="C40" s="18">
        <v>14</v>
      </c>
      <c r="D40" s="18">
        <v>38</v>
      </c>
      <c r="E40" s="18">
        <v>52</v>
      </c>
      <c r="F40" s="18">
        <v>13</v>
      </c>
      <c r="G40" s="18">
        <v>10</v>
      </c>
      <c r="H40" s="18">
        <v>0</v>
      </c>
      <c r="I40" s="18">
        <v>33</v>
      </c>
      <c r="J40" s="18">
        <v>198</v>
      </c>
      <c r="M40" t="s">
        <v>188</v>
      </c>
      <c r="N40" t="s">
        <v>388</v>
      </c>
      <c r="O40" t="str">
        <f t="shared" si="0"/>
        <v>Ryan Spooner</v>
      </c>
      <c r="P40" s="18">
        <v>52</v>
      </c>
      <c r="R40" s="3" t="s">
        <v>188</v>
      </c>
      <c r="S40" s="3" t="s">
        <v>267</v>
      </c>
      <c r="T40" t="str">
        <f t="shared" si="1"/>
        <v>Ryan Nugent-Hopki…</v>
      </c>
      <c r="U40" t="e">
        <f t="shared" si="2"/>
        <v>#N/A</v>
      </c>
      <c r="V40" t="e">
        <v>#N/A</v>
      </c>
    </row>
    <row r="41" spans="1:22" ht="30" x14ac:dyDescent="0.25">
      <c r="A41" s="19" t="s">
        <v>758</v>
      </c>
      <c r="B41" s="20">
        <v>78</v>
      </c>
      <c r="C41" s="20">
        <v>13</v>
      </c>
      <c r="D41" s="20">
        <v>34</v>
      </c>
      <c r="E41" s="20">
        <v>48</v>
      </c>
      <c r="F41" s="20">
        <v>37</v>
      </c>
      <c r="G41" s="20">
        <v>2</v>
      </c>
      <c r="H41" s="20">
        <v>1</v>
      </c>
      <c r="I41" s="20">
        <v>47</v>
      </c>
      <c r="J41" s="20">
        <v>196</v>
      </c>
      <c r="M41" t="s">
        <v>431</v>
      </c>
      <c r="N41" t="s">
        <v>1234</v>
      </c>
      <c r="O41" t="str">
        <f t="shared" si="0"/>
        <v>Nick Bonino</v>
      </c>
      <c r="P41" s="20">
        <v>48</v>
      </c>
      <c r="R41" s="4" t="s">
        <v>376</v>
      </c>
      <c r="S41" s="4" t="s">
        <v>377</v>
      </c>
      <c r="T41" t="str">
        <f t="shared" si="1"/>
        <v>Thomas Vanek</v>
      </c>
      <c r="U41">
        <f t="shared" si="2"/>
        <v>44</v>
      </c>
      <c r="V41">
        <v>44</v>
      </c>
    </row>
    <row r="42" spans="1:22" ht="30" x14ac:dyDescent="0.25">
      <c r="A42" s="17" t="s">
        <v>759</v>
      </c>
      <c r="B42" s="18">
        <v>78</v>
      </c>
      <c r="C42" s="18">
        <v>24</v>
      </c>
      <c r="D42" s="18">
        <v>22</v>
      </c>
      <c r="E42" s="18">
        <v>47</v>
      </c>
      <c r="F42" s="18">
        <v>29</v>
      </c>
      <c r="G42" s="18">
        <v>5</v>
      </c>
      <c r="H42" s="18">
        <v>2</v>
      </c>
      <c r="I42" s="18">
        <v>15</v>
      </c>
      <c r="J42" s="18">
        <v>193</v>
      </c>
      <c r="M42" t="s">
        <v>455</v>
      </c>
      <c r="N42" t="s">
        <v>456</v>
      </c>
      <c r="O42" t="str">
        <f t="shared" si="0"/>
        <v>Artem Anisimov</v>
      </c>
      <c r="P42" s="18">
        <v>47</v>
      </c>
      <c r="R42" s="3" t="s">
        <v>210</v>
      </c>
      <c r="S42" s="3" t="s">
        <v>403</v>
      </c>
      <c r="T42" t="str">
        <f t="shared" si="1"/>
        <v>Sean Couturier</v>
      </c>
      <c r="U42">
        <f t="shared" si="2"/>
        <v>52</v>
      </c>
      <c r="V42">
        <v>52</v>
      </c>
    </row>
    <row r="43" spans="1:22" ht="30" x14ac:dyDescent="0.25">
      <c r="A43" s="19" t="s">
        <v>760</v>
      </c>
      <c r="B43" s="20">
        <v>78</v>
      </c>
      <c r="C43" s="20">
        <v>25</v>
      </c>
      <c r="D43" s="20">
        <v>29</v>
      </c>
      <c r="E43" s="20">
        <v>55</v>
      </c>
      <c r="F43" s="20">
        <v>-14</v>
      </c>
      <c r="G43" s="20">
        <v>7</v>
      </c>
      <c r="H43" s="20">
        <v>0</v>
      </c>
      <c r="I43" s="20">
        <v>43</v>
      </c>
      <c r="J43" s="20">
        <v>186</v>
      </c>
      <c r="M43" t="s">
        <v>294</v>
      </c>
      <c r="N43" t="s">
        <v>295</v>
      </c>
      <c r="O43" t="str">
        <f t="shared" si="0"/>
        <v>Vincent Trocheck</v>
      </c>
      <c r="P43" s="20">
        <v>55</v>
      </c>
      <c r="R43" s="4" t="s">
        <v>162</v>
      </c>
      <c r="S43" s="4" t="s">
        <v>394</v>
      </c>
      <c r="T43" t="str">
        <f t="shared" si="1"/>
        <v>Patrick Marleau</v>
      </c>
      <c r="U43">
        <f t="shared" si="2"/>
        <v>47</v>
      </c>
      <c r="V43">
        <v>47</v>
      </c>
    </row>
    <row r="44" spans="1:22" ht="30" x14ac:dyDescent="0.25">
      <c r="A44" s="17" t="s">
        <v>761</v>
      </c>
      <c r="B44" s="18">
        <v>78</v>
      </c>
      <c r="C44" s="18">
        <v>24</v>
      </c>
      <c r="D44" s="18">
        <v>22</v>
      </c>
      <c r="E44" s="18">
        <v>47</v>
      </c>
      <c r="F44" s="18">
        <v>3</v>
      </c>
      <c r="G44" s="18">
        <v>2</v>
      </c>
      <c r="H44" s="18">
        <v>0</v>
      </c>
      <c r="I44" s="18">
        <v>47</v>
      </c>
      <c r="J44" s="18">
        <v>184</v>
      </c>
      <c r="M44" t="s">
        <v>286</v>
      </c>
      <c r="N44" t="s">
        <v>287</v>
      </c>
      <c r="O44" t="str">
        <f t="shared" si="0"/>
        <v>Dylan Larkin</v>
      </c>
      <c r="P44" s="18">
        <v>47</v>
      </c>
      <c r="R44" s="3" t="s">
        <v>170</v>
      </c>
      <c r="S44" s="3" t="s">
        <v>355</v>
      </c>
      <c r="T44" t="str">
        <f t="shared" si="1"/>
        <v>John Carlson</v>
      </c>
      <c r="U44">
        <f t="shared" si="2"/>
        <v>63</v>
      </c>
      <c r="V44">
        <v>63</v>
      </c>
    </row>
    <row r="45" spans="1:22" ht="30" x14ac:dyDescent="0.25">
      <c r="A45" s="19" t="s">
        <v>762</v>
      </c>
      <c r="B45" s="20">
        <v>78</v>
      </c>
      <c r="C45" s="20">
        <v>34</v>
      </c>
      <c r="D45" s="20">
        <v>22</v>
      </c>
      <c r="E45" s="20">
        <v>56</v>
      </c>
      <c r="F45" s="20">
        <v>-12</v>
      </c>
      <c r="G45" s="20">
        <v>5</v>
      </c>
      <c r="H45" s="20">
        <v>1</v>
      </c>
      <c r="I45" s="20">
        <v>23</v>
      </c>
      <c r="J45" s="20">
        <v>182</v>
      </c>
      <c r="M45" t="s">
        <v>339</v>
      </c>
      <c r="N45" t="s">
        <v>340</v>
      </c>
      <c r="O45" t="str">
        <f t="shared" si="0"/>
        <v>Adam Henrique</v>
      </c>
      <c r="P45" s="20">
        <v>56</v>
      </c>
      <c r="R45" s="4" t="s">
        <v>206</v>
      </c>
      <c r="S45" s="4" t="s">
        <v>207</v>
      </c>
      <c r="T45" t="str">
        <f t="shared" si="1"/>
        <v>Evgeny Kuznetsov</v>
      </c>
      <c r="U45">
        <f t="shared" si="2"/>
        <v>71</v>
      </c>
      <c r="V45">
        <v>71</v>
      </c>
    </row>
    <row r="46" spans="1:22" ht="30" x14ac:dyDescent="0.25">
      <c r="A46" s="17" t="s">
        <v>763</v>
      </c>
      <c r="B46" s="18">
        <v>78</v>
      </c>
      <c r="C46" s="18">
        <v>6</v>
      </c>
      <c r="D46" s="18">
        <v>43</v>
      </c>
      <c r="E46" s="18">
        <v>50</v>
      </c>
      <c r="F46" s="18">
        <v>22</v>
      </c>
      <c r="G46" s="18">
        <v>8</v>
      </c>
      <c r="H46" s="18">
        <v>0</v>
      </c>
      <c r="I46" s="18">
        <v>64</v>
      </c>
      <c r="J46" s="18">
        <v>178</v>
      </c>
      <c r="M46" t="s">
        <v>290</v>
      </c>
      <c r="N46" t="s">
        <v>435</v>
      </c>
      <c r="O46" t="str">
        <f t="shared" si="0"/>
        <v>Mike Ribeiro</v>
      </c>
      <c r="P46" s="18">
        <v>50</v>
      </c>
      <c r="R46" s="3" t="s">
        <v>378</v>
      </c>
      <c r="S46" s="3" t="s">
        <v>373</v>
      </c>
      <c r="T46" t="str">
        <f t="shared" si="1"/>
        <v>Eric Staal</v>
      </c>
      <c r="U46">
        <f t="shared" si="2"/>
        <v>36</v>
      </c>
      <c r="V46">
        <v>36</v>
      </c>
    </row>
    <row r="47" spans="1:22" ht="30" x14ac:dyDescent="0.25">
      <c r="A47" s="19" t="s">
        <v>764</v>
      </c>
      <c r="B47" s="20">
        <v>78</v>
      </c>
      <c r="C47" s="20">
        <v>26</v>
      </c>
      <c r="D47" s="20">
        <v>12</v>
      </c>
      <c r="E47" s="20">
        <v>38</v>
      </c>
      <c r="F47" s="20">
        <v>18</v>
      </c>
      <c r="G47" s="20">
        <v>3</v>
      </c>
      <c r="H47" s="20">
        <v>3</v>
      </c>
      <c r="I47" s="20">
        <v>82</v>
      </c>
      <c r="J47" s="20">
        <v>176</v>
      </c>
      <c r="M47" t="s">
        <v>1235</v>
      </c>
      <c r="N47" t="s">
        <v>429</v>
      </c>
      <c r="O47" t="str">
        <f t="shared" si="0"/>
        <v>Zack Smith</v>
      </c>
      <c r="P47" s="20">
        <v>38</v>
      </c>
      <c r="R47" s="4" t="s">
        <v>160</v>
      </c>
      <c r="S47" s="4" t="s">
        <v>161</v>
      </c>
      <c r="T47" t="str">
        <f t="shared" si="1"/>
        <v>Connor McDavid</v>
      </c>
      <c r="U47">
        <f t="shared" si="2"/>
        <v>82</v>
      </c>
      <c r="V47">
        <v>82</v>
      </c>
    </row>
    <row r="48" spans="1:22" ht="30" x14ac:dyDescent="0.25">
      <c r="A48" s="17" t="s">
        <v>765</v>
      </c>
      <c r="B48" s="18">
        <v>78</v>
      </c>
      <c r="C48" s="18">
        <v>21</v>
      </c>
      <c r="D48" s="18">
        <v>28</v>
      </c>
      <c r="E48" s="18">
        <v>50</v>
      </c>
      <c r="F48" s="18">
        <v>10</v>
      </c>
      <c r="G48" s="18">
        <v>5</v>
      </c>
      <c r="H48" s="18">
        <v>0</v>
      </c>
      <c r="I48" s="18">
        <v>28</v>
      </c>
      <c r="J48" s="18">
        <v>176</v>
      </c>
      <c r="M48" t="s">
        <v>415</v>
      </c>
      <c r="N48" t="s">
        <v>416</v>
      </c>
      <c r="O48" t="str">
        <f t="shared" si="0"/>
        <v>Robby Fabbri</v>
      </c>
      <c r="P48" s="18">
        <v>50</v>
      </c>
      <c r="R48" s="3" t="s">
        <v>345</v>
      </c>
      <c r="S48" s="3" t="s">
        <v>346</v>
      </c>
      <c r="T48" t="str">
        <f t="shared" si="1"/>
        <v>Rick Nash</v>
      </c>
      <c r="U48">
        <f t="shared" si="2"/>
        <v>51</v>
      </c>
      <c r="V48">
        <v>51</v>
      </c>
    </row>
    <row r="49" spans="1:22" ht="30" x14ac:dyDescent="0.25">
      <c r="A49" s="19" t="s">
        <v>766</v>
      </c>
      <c r="B49" s="20">
        <v>78</v>
      </c>
      <c r="C49" s="20">
        <v>22</v>
      </c>
      <c r="D49" s="20">
        <v>23</v>
      </c>
      <c r="E49" s="20">
        <v>45</v>
      </c>
      <c r="F49" s="20">
        <v>18</v>
      </c>
      <c r="G49" s="20">
        <v>2</v>
      </c>
      <c r="H49" s="20">
        <v>0</v>
      </c>
      <c r="I49" s="20">
        <v>50</v>
      </c>
      <c r="J49" s="20">
        <v>176</v>
      </c>
      <c r="M49" t="s">
        <v>413</v>
      </c>
      <c r="N49" t="s">
        <v>414</v>
      </c>
      <c r="O49" t="str">
        <f t="shared" si="0"/>
        <v>J.T. Miller</v>
      </c>
      <c r="P49" s="20">
        <v>45</v>
      </c>
      <c r="R49" s="4" t="s">
        <v>254</v>
      </c>
      <c r="S49" s="4" t="s">
        <v>258</v>
      </c>
      <c r="T49" t="str">
        <f t="shared" si="1"/>
        <v>Kyle Okposo</v>
      </c>
      <c r="U49">
        <f t="shared" si="2"/>
        <v>54</v>
      </c>
      <c r="V49">
        <v>54</v>
      </c>
    </row>
    <row r="50" spans="1:22" ht="45" x14ac:dyDescent="0.25">
      <c r="A50" s="17" t="s">
        <v>767</v>
      </c>
      <c r="B50" s="18">
        <v>78</v>
      </c>
      <c r="C50" s="18">
        <v>11</v>
      </c>
      <c r="D50" s="18">
        <v>40</v>
      </c>
      <c r="E50" s="18">
        <v>51</v>
      </c>
      <c r="F50" s="18">
        <v>-8</v>
      </c>
      <c r="G50" s="18">
        <v>12</v>
      </c>
      <c r="H50" s="18">
        <v>0</v>
      </c>
      <c r="I50" s="18">
        <v>37</v>
      </c>
      <c r="J50" s="18">
        <v>172</v>
      </c>
      <c r="M50" t="s">
        <v>1236</v>
      </c>
      <c r="N50" t="s">
        <v>1237</v>
      </c>
      <c r="O50" t="str">
        <f t="shared" si="0"/>
        <v>Mathieu Perreault</v>
      </c>
      <c r="P50" s="18">
        <v>51</v>
      </c>
      <c r="R50" s="3" t="s">
        <v>397</v>
      </c>
      <c r="S50" s="3" t="s">
        <v>398</v>
      </c>
      <c r="T50" t="str">
        <f t="shared" si="1"/>
        <v>Sam Reinhart</v>
      </c>
      <c r="U50">
        <f t="shared" si="2"/>
        <v>41</v>
      </c>
      <c r="V50">
        <v>41</v>
      </c>
    </row>
    <row r="51" spans="1:22" ht="45" x14ac:dyDescent="0.25">
      <c r="A51" s="19" t="s">
        <v>768</v>
      </c>
      <c r="B51" s="20">
        <v>78</v>
      </c>
      <c r="C51" s="20">
        <v>15</v>
      </c>
      <c r="D51" s="20">
        <v>36</v>
      </c>
      <c r="E51" s="20">
        <v>52</v>
      </c>
      <c r="F51" s="20">
        <v>1</v>
      </c>
      <c r="G51" s="20">
        <v>4</v>
      </c>
      <c r="H51" s="20">
        <v>0</v>
      </c>
      <c r="I51" s="20">
        <v>37</v>
      </c>
      <c r="J51" s="20">
        <v>172</v>
      </c>
      <c r="M51" t="s">
        <v>210</v>
      </c>
      <c r="N51" t="s">
        <v>403</v>
      </c>
      <c r="O51" t="str">
        <f t="shared" si="0"/>
        <v>Sean Couturier</v>
      </c>
      <c r="P51" s="20">
        <v>52</v>
      </c>
      <c r="R51" s="4" t="s">
        <v>312</v>
      </c>
      <c r="S51" s="4" t="s">
        <v>313</v>
      </c>
      <c r="T51" t="str">
        <f t="shared" si="1"/>
        <v>Brendan Gallagher</v>
      </c>
      <c r="U51">
        <f t="shared" si="2"/>
        <v>57</v>
      </c>
      <c r="V51">
        <v>57</v>
      </c>
    </row>
    <row r="52" spans="1:22" ht="45" x14ac:dyDescent="0.25">
      <c r="A52" s="17" t="s">
        <v>769</v>
      </c>
      <c r="B52" s="18">
        <v>78</v>
      </c>
      <c r="C52" s="18">
        <v>19</v>
      </c>
      <c r="D52" s="18">
        <v>33</v>
      </c>
      <c r="E52" s="18">
        <v>52</v>
      </c>
      <c r="F52" s="18">
        <v>-18</v>
      </c>
      <c r="G52" s="18">
        <v>6</v>
      </c>
      <c r="H52" s="18">
        <v>0</v>
      </c>
      <c r="I52" s="18">
        <v>75</v>
      </c>
      <c r="J52" s="18">
        <v>171</v>
      </c>
      <c r="M52" t="s">
        <v>303</v>
      </c>
      <c r="N52" t="s">
        <v>406</v>
      </c>
      <c r="O52" t="str">
        <f t="shared" si="0"/>
        <v>Brandon Dubinsky</v>
      </c>
      <c r="P52" s="18">
        <v>52</v>
      </c>
      <c r="R52" s="3" t="s">
        <v>166</v>
      </c>
      <c r="S52" s="3" t="s">
        <v>167</v>
      </c>
      <c r="T52" t="str">
        <f t="shared" si="1"/>
        <v>Tyler Seguin</v>
      </c>
      <c r="U52">
        <f t="shared" si="2"/>
        <v>82</v>
      </c>
      <c r="V52">
        <v>82</v>
      </c>
    </row>
    <row r="53" spans="1:22" ht="30" x14ac:dyDescent="0.25">
      <c r="A53" s="19" t="s">
        <v>770</v>
      </c>
      <c r="B53" s="20">
        <v>78</v>
      </c>
      <c r="C53" s="20">
        <v>20</v>
      </c>
      <c r="D53" s="20">
        <v>21</v>
      </c>
      <c r="E53" s="20">
        <v>42</v>
      </c>
      <c r="F53" s="20">
        <v>3</v>
      </c>
      <c r="G53" s="20">
        <v>8</v>
      </c>
      <c r="H53" s="20">
        <v>0</v>
      </c>
      <c r="I53" s="20">
        <v>36</v>
      </c>
      <c r="J53" s="20">
        <v>171</v>
      </c>
      <c r="M53" t="s">
        <v>303</v>
      </c>
      <c r="N53" t="s">
        <v>1238</v>
      </c>
      <c r="O53" t="str">
        <f t="shared" si="0"/>
        <v>Brandon Pirri</v>
      </c>
      <c r="P53" s="20">
        <v>42</v>
      </c>
      <c r="R53" s="4" t="s">
        <v>202</v>
      </c>
      <c r="S53" s="4" t="s">
        <v>203</v>
      </c>
      <c r="T53" t="str">
        <f t="shared" si="1"/>
        <v>Evgeni Malkin</v>
      </c>
      <c r="U53">
        <f t="shared" si="2"/>
        <v>90</v>
      </c>
      <c r="V53">
        <v>90</v>
      </c>
    </row>
    <row r="54" spans="1:22" ht="30" x14ac:dyDescent="0.25">
      <c r="A54" s="17" t="s">
        <v>771</v>
      </c>
      <c r="B54" s="18">
        <v>78</v>
      </c>
      <c r="C54" s="18">
        <v>20</v>
      </c>
      <c r="D54" s="18">
        <v>25</v>
      </c>
      <c r="E54" s="18">
        <v>45</v>
      </c>
      <c r="F54" s="18">
        <v>19</v>
      </c>
      <c r="G54" s="18">
        <v>1</v>
      </c>
      <c r="H54" s="18">
        <v>4</v>
      </c>
      <c r="I54" s="18">
        <v>26</v>
      </c>
      <c r="J54" s="18">
        <v>170</v>
      </c>
      <c r="M54" t="s">
        <v>1239</v>
      </c>
      <c r="N54" t="s">
        <v>1240</v>
      </c>
      <c r="O54" t="str">
        <f t="shared" si="0"/>
        <v>Jean-Gabriel Pageau</v>
      </c>
      <c r="P54" s="18">
        <v>45</v>
      </c>
      <c r="R54" s="3" t="s">
        <v>392</v>
      </c>
      <c r="S54" s="3" t="s">
        <v>393</v>
      </c>
      <c r="T54" t="str">
        <f t="shared" si="1"/>
        <v>Scott Hartnell</v>
      </c>
      <c r="U54">
        <f t="shared" si="2"/>
        <v>50</v>
      </c>
      <c r="V54">
        <v>50</v>
      </c>
    </row>
    <row r="55" spans="1:22" ht="30" x14ac:dyDescent="0.25">
      <c r="A55" s="19" t="s">
        <v>772</v>
      </c>
      <c r="B55" s="20">
        <v>78</v>
      </c>
      <c r="C55" s="20">
        <v>18</v>
      </c>
      <c r="D55" s="20">
        <v>36</v>
      </c>
      <c r="E55" s="20">
        <v>55</v>
      </c>
      <c r="F55" s="20">
        <v>-23</v>
      </c>
      <c r="G55" s="20">
        <v>11</v>
      </c>
      <c r="H55" s="20">
        <v>0</v>
      </c>
      <c r="I55" s="20">
        <v>51</v>
      </c>
      <c r="J55" s="20">
        <v>170</v>
      </c>
      <c r="M55" t="s">
        <v>360</v>
      </c>
      <c r="N55" t="s">
        <v>361</v>
      </c>
      <c r="O55" t="str">
        <f t="shared" si="0"/>
        <v>Mikko Koivu</v>
      </c>
      <c r="P55" s="20">
        <v>55</v>
      </c>
      <c r="R55" s="4" t="s">
        <v>329</v>
      </c>
      <c r="S55" s="4" t="s">
        <v>330</v>
      </c>
      <c r="T55" t="str">
        <f t="shared" si="1"/>
        <v>Cam Atkinson</v>
      </c>
      <c r="U55">
        <f t="shared" si="2"/>
        <v>53</v>
      </c>
      <c r="V55">
        <v>53</v>
      </c>
    </row>
    <row r="56" spans="1:22" ht="30" x14ac:dyDescent="0.25">
      <c r="A56" s="17" t="s">
        <v>773</v>
      </c>
      <c r="B56" s="18">
        <v>78</v>
      </c>
      <c r="C56" s="18">
        <v>20</v>
      </c>
      <c r="D56" s="18">
        <v>29</v>
      </c>
      <c r="E56" s="18">
        <v>50</v>
      </c>
      <c r="F56" s="18">
        <v>-17</v>
      </c>
      <c r="G56" s="18">
        <v>12</v>
      </c>
      <c r="H56" s="18">
        <v>0</v>
      </c>
      <c r="I56" s="18">
        <v>13</v>
      </c>
      <c r="J56" s="18">
        <v>167</v>
      </c>
      <c r="M56" t="s">
        <v>331</v>
      </c>
      <c r="N56" t="s">
        <v>332</v>
      </c>
      <c r="O56" t="str">
        <f t="shared" si="0"/>
        <v>Frans Nielsen</v>
      </c>
      <c r="P56" s="18">
        <v>50</v>
      </c>
      <c r="R56" s="3" t="s">
        <v>212</v>
      </c>
      <c r="S56" s="3" t="s">
        <v>213</v>
      </c>
      <c r="T56" t="str">
        <f t="shared" si="1"/>
        <v>Jakub Voracek</v>
      </c>
      <c r="U56">
        <f t="shared" si="2"/>
        <v>66</v>
      </c>
      <c r="V56">
        <v>66</v>
      </c>
    </row>
    <row r="57" spans="1:22" ht="30" x14ac:dyDescent="0.25">
      <c r="A57" s="19" t="s">
        <v>774</v>
      </c>
      <c r="B57" s="20">
        <v>78</v>
      </c>
      <c r="C57" s="20">
        <v>23</v>
      </c>
      <c r="D57" s="20">
        <v>42</v>
      </c>
      <c r="E57" s="20">
        <v>65</v>
      </c>
      <c r="F57" s="20">
        <v>-46</v>
      </c>
      <c r="G57" s="20">
        <v>11</v>
      </c>
      <c r="H57" s="20">
        <v>0</v>
      </c>
      <c r="I57" s="20">
        <v>10</v>
      </c>
      <c r="J57" s="20">
        <v>167</v>
      </c>
      <c r="M57" t="s">
        <v>188</v>
      </c>
      <c r="N57" t="s">
        <v>241</v>
      </c>
      <c r="O57" t="str">
        <f t="shared" si="0"/>
        <v>Ryan O'Reilly</v>
      </c>
      <c r="P57" s="20">
        <v>65</v>
      </c>
      <c r="R57" s="4" t="s">
        <v>231</v>
      </c>
      <c r="S57" s="4" t="s">
        <v>232</v>
      </c>
      <c r="T57" t="str">
        <f t="shared" si="1"/>
        <v>David Krejci</v>
      </c>
      <c r="U57">
        <f t="shared" si="2"/>
        <v>73</v>
      </c>
      <c r="V57">
        <v>73</v>
      </c>
    </row>
    <row r="58" spans="1:22" ht="30" x14ac:dyDescent="0.25">
      <c r="A58" s="17" t="s">
        <v>775</v>
      </c>
      <c r="B58" s="18">
        <v>78</v>
      </c>
      <c r="C58" s="18">
        <v>18</v>
      </c>
      <c r="D58" s="18">
        <v>33</v>
      </c>
      <c r="E58" s="18">
        <v>51</v>
      </c>
      <c r="F58" s="18">
        <v>-13</v>
      </c>
      <c r="G58" s="18">
        <v>7</v>
      </c>
      <c r="H58" s="18">
        <v>0</v>
      </c>
      <c r="I58" s="18">
        <v>61</v>
      </c>
      <c r="J58" s="18">
        <v>167</v>
      </c>
      <c r="M58" t="s">
        <v>216</v>
      </c>
      <c r="N58" t="s">
        <v>259</v>
      </c>
      <c r="O58" t="str">
        <f t="shared" si="0"/>
        <v>Max Domi</v>
      </c>
      <c r="P58" s="18">
        <v>51</v>
      </c>
      <c r="R58" s="3" t="s">
        <v>228</v>
      </c>
      <c r="S58" s="3" t="s">
        <v>229</v>
      </c>
      <c r="T58" t="str">
        <f t="shared" si="1"/>
        <v>Logan Couture</v>
      </c>
      <c r="U58">
        <f t="shared" si="2"/>
        <v>68</v>
      </c>
      <c r="V58">
        <v>68</v>
      </c>
    </row>
    <row r="59" spans="1:22" ht="45" x14ac:dyDescent="0.25">
      <c r="A59" s="19" t="s">
        <v>776</v>
      </c>
      <c r="B59" s="20">
        <v>78</v>
      </c>
      <c r="C59" s="20">
        <v>20</v>
      </c>
      <c r="D59" s="20">
        <v>23</v>
      </c>
      <c r="E59" s="20">
        <v>44</v>
      </c>
      <c r="F59" s="20">
        <v>8</v>
      </c>
      <c r="G59" s="20">
        <v>5</v>
      </c>
      <c r="H59" s="20">
        <v>1</v>
      </c>
      <c r="I59" s="20">
        <v>29</v>
      </c>
      <c r="J59" s="20">
        <v>167</v>
      </c>
      <c r="M59" t="s">
        <v>386</v>
      </c>
      <c r="N59" t="s">
        <v>430</v>
      </c>
      <c r="O59" t="str">
        <f t="shared" si="0"/>
        <v>Mikael Backlund</v>
      </c>
      <c r="P59" s="20">
        <v>44</v>
      </c>
      <c r="R59" s="4" t="s">
        <v>158</v>
      </c>
      <c r="S59" s="4" t="s">
        <v>159</v>
      </c>
      <c r="T59" t="str">
        <f t="shared" si="1"/>
        <v>Jamie Benn</v>
      </c>
      <c r="U59">
        <f t="shared" si="2"/>
        <v>92</v>
      </c>
      <c r="V59">
        <v>92</v>
      </c>
    </row>
    <row r="60" spans="1:22" ht="30" x14ac:dyDescent="0.25">
      <c r="A60" s="17" t="s">
        <v>777</v>
      </c>
      <c r="B60" s="18">
        <v>78</v>
      </c>
      <c r="C60" s="18">
        <v>22</v>
      </c>
      <c r="D60" s="18">
        <v>28</v>
      </c>
      <c r="E60" s="18">
        <v>51</v>
      </c>
      <c r="F60" s="18">
        <v>-26</v>
      </c>
      <c r="G60" s="18">
        <v>11</v>
      </c>
      <c r="H60" s="18">
        <v>0</v>
      </c>
      <c r="I60" s="18">
        <v>31</v>
      </c>
      <c r="J60" s="18">
        <v>167</v>
      </c>
      <c r="M60" t="s">
        <v>327</v>
      </c>
      <c r="N60" t="s">
        <v>362</v>
      </c>
      <c r="O60" t="str">
        <f t="shared" si="0"/>
        <v>Victor Rask</v>
      </c>
      <c r="P60" s="18">
        <v>51</v>
      </c>
      <c r="R60" s="3" t="s">
        <v>426</v>
      </c>
      <c r="S60" s="3" t="s">
        <v>427</v>
      </c>
      <c r="T60" t="str">
        <f t="shared" si="1"/>
        <v>Kevin Shattenkirk</v>
      </c>
      <c r="U60">
        <f t="shared" si="2"/>
        <v>50</v>
      </c>
      <c r="V60">
        <v>50</v>
      </c>
    </row>
    <row r="61" spans="1:22" ht="45" x14ac:dyDescent="0.25">
      <c r="A61" s="19" t="s">
        <v>778</v>
      </c>
      <c r="B61" s="20">
        <v>78</v>
      </c>
      <c r="C61" s="20">
        <v>25</v>
      </c>
      <c r="D61" s="20">
        <v>27</v>
      </c>
      <c r="E61" s="20">
        <v>52</v>
      </c>
      <c r="F61" s="20">
        <v>-12</v>
      </c>
      <c r="G61" s="20">
        <v>6</v>
      </c>
      <c r="H61" s="20">
        <v>0</v>
      </c>
      <c r="I61" s="20">
        <v>17</v>
      </c>
      <c r="J61" s="20">
        <v>166</v>
      </c>
      <c r="M61" t="s">
        <v>1242</v>
      </c>
      <c r="N61" t="s">
        <v>1243</v>
      </c>
      <c r="O61" t="str">
        <f t="shared" si="0"/>
        <v>William Nylander</v>
      </c>
      <c r="P61" s="20">
        <v>52</v>
      </c>
      <c r="R61" s="4" t="s">
        <v>196</v>
      </c>
      <c r="S61" s="4" t="s">
        <v>197</v>
      </c>
      <c r="T61" t="str">
        <f t="shared" si="1"/>
        <v>Mark Scheifele</v>
      </c>
      <c r="U61">
        <f t="shared" si="2"/>
        <v>70</v>
      </c>
      <c r="V61">
        <v>70</v>
      </c>
    </row>
    <row r="62" spans="1:22" ht="30" x14ac:dyDescent="0.25">
      <c r="A62" s="17" t="s">
        <v>779</v>
      </c>
      <c r="B62" s="18">
        <v>78</v>
      </c>
      <c r="C62" s="18">
        <v>16</v>
      </c>
      <c r="D62" s="18">
        <v>35</v>
      </c>
      <c r="E62" s="18">
        <v>52</v>
      </c>
      <c r="F62" s="18">
        <v>-25</v>
      </c>
      <c r="G62" s="18">
        <v>7</v>
      </c>
      <c r="H62" s="18">
        <v>0</v>
      </c>
      <c r="I62" s="18">
        <v>85</v>
      </c>
      <c r="J62" s="18">
        <v>166</v>
      </c>
      <c r="M62" t="s">
        <v>367</v>
      </c>
      <c r="N62" t="s">
        <v>368</v>
      </c>
      <c r="O62" t="str">
        <f t="shared" si="0"/>
        <v>Martin Hanzal</v>
      </c>
      <c r="P62" s="18">
        <v>52</v>
      </c>
      <c r="R62" s="3" t="s">
        <v>367</v>
      </c>
      <c r="S62" s="3" t="s">
        <v>368</v>
      </c>
      <c r="T62" t="str">
        <f t="shared" si="1"/>
        <v>Martin Hanzal</v>
      </c>
      <c r="U62">
        <f t="shared" si="2"/>
        <v>52</v>
      </c>
      <c r="V62">
        <v>52</v>
      </c>
    </row>
    <row r="63" spans="1:22" ht="30" x14ac:dyDescent="0.25">
      <c r="A63" s="19" t="s">
        <v>780</v>
      </c>
      <c r="B63" s="20">
        <v>78</v>
      </c>
      <c r="C63" s="20">
        <v>19</v>
      </c>
      <c r="D63" s="20">
        <v>26</v>
      </c>
      <c r="E63" s="20">
        <v>45</v>
      </c>
      <c r="F63" s="20">
        <v>-5</v>
      </c>
      <c r="G63" s="20">
        <v>7</v>
      </c>
      <c r="H63" s="20">
        <v>0</v>
      </c>
      <c r="I63" s="20">
        <v>47</v>
      </c>
      <c r="J63" s="20">
        <v>166</v>
      </c>
      <c r="M63" t="s">
        <v>254</v>
      </c>
      <c r="N63" t="s">
        <v>255</v>
      </c>
      <c r="O63" t="str">
        <f t="shared" si="0"/>
        <v>Kyle Turris</v>
      </c>
      <c r="P63" s="20">
        <v>45</v>
      </c>
      <c r="R63" s="4" t="s">
        <v>235</v>
      </c>
      <c r="S63" s="4" t="s">
        <v>236</v>
      </c>
      <c r="T63" t="str">
        <f t="shared" si="1"/>
        <v>Nathan MacKinnon</v>
      </c>
      <c r="U63">
        <f t="shared" si="2"/>
        <v>58</v>
      </c>
      <c r="V63">
        <v>58</v>
      </c>
    </row>
    <row r="64" spans="1:22" ht="30" x14ac:dyDescent="0.25">
      <c r="A64" s="17" t="s">
        <v>781</v>
      </c>
      <c r="B64" s="18">
        <v>78</v>
      </c>
      <c r="C64" s="18">
        <v>15</v>
      </c>
      <c r="D64" s="18">
        <v>22</v>
      </c>
      <c r="E64" s="18">
        <v>38</v>
      </c>
      <c r="F64" s="18">
        <v>27</v>
      </c>
      <c r="G64" s="18">
        <v>2</v>
      </c>
      <c r="H64" s="18">
        <v>1</v>
      </c>
      <c r="I64" s="18">
        <v>50</v>
      </c>
      <c r="J64" s="18">
        <v>165</v>
      </c>
      <c r="M64" t="s">
        <v>1244</v>
      </c>
      <c r="N64" t="s">
        <v>1245</v>
      </c>
      <c r="O64" t="str">
        <f t="shared" si="0"/>
        <v>Cody Eakin</v>
      </c>
      <c r="P64" s="18">
        <v>38</v>
      </c>
      <c r="R64" s="3" t="s">
        <v>343</v>
      </c>
      <c r="S64" s="3" t="s">
        <v>344</v>
      </c>
      <c r="T64" t="str">
        <f t="shared" si="1"/>
        <v>Boone Jenner</v>
      </c>
      <c r="U64">
        <f t="shared" si="2"/>
        <v>49</v>
      </c>
      <c r="V64">
        <v>49</v>
      </c>
    </row>
    <row r="65" spans="1:22" ht="30" x14ac:dyDescent="0.25">
      <c r="A65" s="19" t="s">
        <v>782</v>
      </c>
      <c r="B65" s="20">
        <v>78</v>
      </c>
      <c r="C65" s="20">
        <v>14</v>
      </c>
      <c r="D65" s="20">
        <v>21</v>
      </c>
      <c r="E65" s="20">
        <v>35</v>
      </c>
      <c r="F65" s="20">
        <v>32</v>
      </c>
      <c r="G65" s="20">
        <v>5</v>
      </c>
      <c r="H65" s="20">
        <v>0</v>
      </c>
      <c r="I65" s="20">
        <v>35</v>
      </c>
      <c r="J65" s="20">
        <v>164</v>
      </c>
      <c r="M65" t="s">
        <v>1246</v>
      </c>
      <c r="N65" t="s">
        <v>346</v>
      </c>
      <c r="O65" t="str">
        <f t="shared" si="0"/>
        <v>Riley Nash</v>
      </c>
      <c r="P65" s="20">
        <v>35</v>
      </c>
      <c r="R65" s="4" t="s">
        <v>254</v>
      </c>
      <c r="S65" s="4" t="s">
        <v>273</v>
      </c>
      <c r="T65" t="str">
        <f t="shared" si="1"/>
        <v>Kyle Palmieri</v>
      </c>
      <c r="U65">
        <f t="shared" si="2"/>
        <v>63</v>
      </c>
      <c r="V65">
        <v>63</v>
      </c>
    </row>
    <row r="66" spans="1:22" ht="30" x14ac:dyDescent="0.25">
      <c r="A66" s="17" t="s">
        <v>783</v>
      </c>
      <c r="B66" s="18">
        <v>78</v>
      </c>
      <c r="C66" s="18">
        <v>16</v>
      </c>
      <c r="D66" s="18">
        <v>14</v>
      </c>
      <c r="E66" s="18">
        <v>31</v>
      </c>
      <c r="F66" s="18">
        <v>43</v>
      </c>
      <c r="G66" s="18">
        <v>0</v>
      </c>
      <c r="H66" s="18">
        <v>0</v>
      </c>
      <c r="I66" s="18">
        <v>29</v>
      </c>
      <c r="J66" s="18">
        <v>164</v>
      </c>
      <c r="M66" t="s">
        <v>1247</v>
      </c>
      <c r="N66" t="s">
        <v>1248</v>
      </c>
      <c r="O66" t="str">
        <f t="shared" ref="O66:O129" si="3">M66&amp;" "&amp;N66</f>
        <v>Lars Eller</v>
      </c>
      <c r="P66" s="18">
        <v>31</v>
      </c>
      <c r="R66" s="3" t="s">
        <v>428</v>
      </c>
      <c r="S66" s="3" t="s">
        <v>429</v>
      </c>
      <c r="T66" t="str">
        <f t="shared" ref="T66:T129" si="4">R66&amp;" "&amp;S66</f>
        <v>Reilly Smith</v>
      </c>
      <c r="U66">
        <f t="shared" ref="U66:U129" si="5">VLOOKUP(T66,$O$1:$P$511,2,0)</f>
        <v>51</v>
      </c>
      <c r="V66">
        <v>51</v>
      </c>
    </row>
    <row r="67" spans="1:22" ht="45" x14ac:dyDescent="0.25">
      <c r="A67" s="19" t="s">
        <v>784</v>
      </c>
      <c r="B67" s="20">
        <v>78</v>
      </c>
      <c r="C67" s="20">
        <v>12</v>
      </c>
      <c r="D67" s="20">
        <v>38</v>
      </c>
      <c r="E67" s="20">
        <v>51</v>
      </c>
      <c r="F67" s="20">
        <v>-5</v>
      </c>
      <c r="G67" s="20">
        <v>7</v>
      </c>
      <c r="H67" s="20">
        <v>0</v>
      </c>
      <c r="I67" s="20">
        <v>33</v>
      </c>
      <c r="J67" s="20">
        <v>164</v>
      </c>
      <c r="M67" t="s">
        <v>333</v>
      </c>
      <c r="N67" t="s">
        <v>334</v>
      </c>
      <c r="O67" t="str">
        <f t="shared" si="3"/>
        <v>Carl Soderberg</v>
      </c>
      <c r="P67" s="20">
        <v>51</v>
      </c>
      <c r="R67" s="4" t="s">
        <v>172</v>
      </c>
      <c r="S67" s="4" t="s">
        <v>173</v>
      </c>
      <c r="T67" t="str">
        <f t="shared" si="4"/>
        <v>Johnny Gaudreau</v>
      </c>
      <c r="U67">
        <f t="shared" si="5"/>
        <v>77</v>
      </c>
      <c r="V67">
        <v>77</v>
      </c>
    </row>
    <row r="68" spans="1:22" ht="30" x14ac:dyDescent="0.25">
      <c r="A68" s="17" t="s">
        <v>785</v>
      </c>
      <c r="B68" s="18">
        <v>78</v>
      </c>
      <c r="C68" s="18">
        <v>22</v>
      </c>
      <c r="D68" s="18">
        <v>35</v>
      </c>
      <c r="E68" s="18">
        <v>57</v>
      </c>
      <c r="F68" s="18">
        <v>-23</v>
      </c>
      <c r="G68" s="18">
        <v>5</v>
      </c>
      <c r="H68" s="18">
        <v>0</v>
      </c>
      <c r="I68" s="18">
        <v>23</v>
      </c>
      <c r="J68" s="18">
        <v>159</v>
      </c>
      <c r="M68" t="s">
        <v>337</v>
      </c>
      <c r="N68" t="s">
        <v>338</v>
      </c>
      <c r="O68" t="str">
        <f t="shared" si="3"/>
        <v>Leon Draisaitl</v>
      </c>
      <c r="P68" s="18">
        <v>57</v>
      </c>
      <c r="R68" s="3" t="s">
        <v>390</v>
      </c>
      <c r="S68" s="3" t="s">
        <v>391</v>
      </c>
      <c r="T68" t="str">
        <f t="shared" si="4"/>
        <v>Anthony Duclair</v>
      </c>
      <c r="U68">
        <f t="shared" si="5"/>
        <v>42</v>
      </c>
      <c r="V68">
        <v>42</v>
      </c>
    </row>
    <row r="69" spans="1:22" ht="30" x14ac:dyDescent="0.25">
      <c r="A69" s="19" t="s">
        <v>786</v>
      </c>
      <c r="B69" s="20">
        <v>78</v>
      </c>
      <c r="C69" s="20">
        <v>15</v>
      </c>
      <c r="D69" s="20">
        <v>20</v>
      </c>
      <c r="E69" s="20">
        <v>36</v>
      </c>
      <c r="F69" s="20">
        <v>21</v>
      </c>
      <c r="G69" s="20">
        <v>4</v>
      </c>
      <c r="H69" s="20">
        <v>0</v>
      </c>
      <c r="I69" s="20">
        <v>42</v>
      </c>
      <c r="J69" s="20">
        <v>158</v>
      </c>
      <c r="M69" t="s">
        <v>1249</v>
      </c>
      <c r="N69" t="s">
        <v>1250</v>
      </c>
      <c r="O69" t="str">
        <f t="shared" si="3"/>
        <v>Seth Griffith</v>
      </c>
      <c r="P69" s="20">
        <v>36</v>
      </c>
      <c r="R69" s="4" t="s">
        <v>325</v>
      </c>
      <c r="S69" s="4" t="s">
        <v>326</v>
      </c>
      <c r="T69" t="str">
        <f t="shared" si="4"/>
        <v>Shea Weber</v>
      </c>
      <c r="U69">
        <f t="shared" si="5"/>
        <v>55</v>
      </c>
      <c r="V69">
        <v>55</v>
      </c>
    </row>
    <row r="70" spans="1:22" ht="30" x14ac:dyDescent="0.25">
      <c r="A70" s="17" t="s">
        <v>787</v>
      </c>
      <c r="B70" s="18">
        <v>78</v>
      </c>
      <c r="C70" s="18">
        <v>19</v>
      </c>
      <c r="D70" s="18">
        <v>33</v>
      </c>
      <c r="E70" s="18">
        <v>52</v>
      </c>
      <c r="F70" s="18">
        <v>-16</v>
      </c>
      <c r="G70" s="18">
        <v>7</v>
      </c>
      <c r="H70" s="18">
        <v>0</v>
      </c>
      <c r="I70" s="18">
        <v>31</v>
      </c>
      <c r="J70" s="18">
        <v>156</v>
      </c>
      <c r="M70" t="s">
        <v>166</v>
      </c>
      <c r="N70" t="s">
        <v>1251</v>
      </c>
      <c r="O70" t="str">
        <f t="shared" si="3"/>
        <v>Tyler Bozak</v>
      </c>
      <c r="P70" s="18">
        <v>52</v>
      </c>
      <c r="R70" s="3" t="s">
        <v>284</v>
      </c>
      <c r="S70" s="3" t="s">
        <v>285</v>
      </c>
      <c r="T70" t="str">
        <f t="shared" si="4"/>
        <v>Mika Zibanejad</v>
      </c>
      <c r="U70">
        <f t="shared" si="5"/>
        <v>54</v>
      </c>
      <c r="V70">
        <v>54</v>
      </c>
    </row>
    <row r="71" spans="1:22" ht="30" x14ac:dyDescent="0.25">
      <c r="A71" s="19" t="s">
        <v>788</v>
      </c>
      <c r="B71" s="20">
        <v>78</v>
      </c>
      <c r="C71" s="20">
        <v>25</v>
      </c>
      <c r="D71" s="20">
        <v>16</v>
      </c>
      <c r="E71" s="20">
        <v>41</v>
      </c>
      <c r="F71" s="20">
        <v>-3</v>
      </c>
      <c r="G71" s="20">
        <v>3</v>
      </c>
      <c r="H71" s="20">
        <v>0</v>
      </c>
      <c r="I71" s="20">
        <v>35</v>
      </c>
      <c r="J71" s="20">
        <v>155</v>
      </c>
      <c r="M71" t="s">
        <v>409</v>
      </c>
      <c r="N71" t="s">
        <v>410</v>
      </c>
      <c r="O71" t="str">
        <f t="shared" si="3"/>
        <v>Brock Nelson</v>
      </c>
      <c r="P71" s="20">
        <v>41</v>
      </c>
      <c r="R71" s="4" t="s">
        <v>331</v>
      </c>
      <c r="S71" s="4" t="s">
        <v>332</v>
      </c>
      <c r="T71" t="str">
        <f t="shared" si="4"/>
        <v>Frans Nielsen</v>
      </c>
      <c r="U71">
        <f t="shared" si="5"/>
        <v>50</v>
      </c>
      <c r="V71">
        <v>50</v>
      </c>
    </row>
    <row r="72" spans="1:22" ht="30" x14ac:dyDescent="0.25">
      <c r="A72" s="17" t="s">
        <v>789</v>
      </c>
      <c r="B72" s="18">
        <v>78</v>
      </c>
      <c r="C72" s="18">
        <v>23</v>
      </c>
      <c r="D72" s="18">
        <v>30</v>
      </c>
      <c r="E72" s="18">
        <v>54</v>
      </c>
      <c r="F72" s="18">
        <v>-47</v>
      </c>
      <c r="G72" s="18">
        <v>10</v>
      </c>
      <c r="H72" s="18">
        <v>0</v>
      </c>
      <c r="I72" s="18">
        <v>25</v>
      </c>
      <c r="J72" s="18">
        <v>154</v>
      </c>
      <c r="M72" t="s">
        <v>214</v>
      </c>
      <c r="N72" t="s">
        <v>215</v>
      </c>
      <c r="O72" t="str">
        <f t="shared" si="3"/>
        <v>Jack Eichel</v>
      </c>
      <c r="P72" s="18">
        <v>54</v>
      </c>
      <c r="R72" s="3" t="s">
        <v>457</v>
      </c>
      <c r="S72" s="3" t="s">
        <v>458</v>
      </c>
      <c r="T72" t="str">
        <f t="shared" si="4"/>
        <v>Michael Cammalleri</v>
      </c>
      <c r="U72">
        <f t="shared" si="5"/>
        <v>77</v>
      </c>
      <c r="V72">
        <v>77</v>
      </c>
    </row>
    <row r="73" spans="1:22" ht="30" x14ac:dyDescent="0.25">
      <c r="A73" s="19" t="s">
        <v>790</v>
      </c>
      <c r="B73" s="20">
        <v>78</v>
      </c>
      <c r="C73" s="20">
        <v>18</v>
      </c>
      <c r="D73" s="20">
        <v>22</v>
      </c>
      <c r="E73" s="20">
        <v>40</v>
      </c>
      <c r="F73" s="20">
        <v>-19</v>
      </c>
      <c r="G73" s="20">
        <v>9</v>
      </c>
      <c r="H73" s="20">
        <v>0</v>
      </c>
      <c r="I73" s="20">
        <v>46</v>
      </c>
      <c r="J73" s="20">
        <v>153</v>
      </c>
      <c r="M73" t="s">
        <v>431</v>
      </c>
      <c r="N73" t="s">
        <v>432</v>
      </c>
      <c r="O73" t="str">
        <f t="shared" si="3"/>
        <v>Nick Bjugstad</v>
      </c>
      <c r="P73" s="20">
        <v>40</v>
      </c>
      <c r="R73" s="4" t="s">
        <v>239</v>
      </c>
      <c r="S73" s="4" t="s">
        <v>240</v>
      </c>
      <c r="T73" t="str">
        <f t="shared" si="4"/>
        <v>P.K. Subban</v>
      </c>
      <c r="U73">
        <f t="shared" si="5"/>
        <v>62</v>
      </c>
      <c r="V73">
        <v>62</v>
      </c>
    </row>
    <row r="74" spans="1:22" ht="30" x14ac:dyDescent="0.25">
      <c r="A74" s="17" t="s">
        <v>791</v>
      </c>
      <c r="B74" s="18">
        <v>78</v>
      </c>
      <c r="C74" s="18">
        <v>17</v>
      </c>
      <c r="D74" s="18">
        <v>34</v>
      </c>
      <c r="E74" s="18">
        <v>51</v>
      </c>
      <c r="F74" s="18">
        <v>-17</v>
      </c>
      <c r="G74" s="18">
        <v>9</v>
      </c>
      <c r="H74" s="18">
        <v>1</v>
      </c>
      <c r="I74" s="18">
        <v>27</v>
      </c>
      <c r="J74" s="18">
        <v>152</v>
      </c>
      <c r="M74" t="s">
        <v>424</v>
      </c>
      <c r="N74" t="s">
        <v>425</v>
      </c>
      <c r="O74" t="str">
        <f t="shared" si="3"/>
        <v>Travis Zajac</v>
      </c>
      <c r="P74" s="18">
        <v>51</v>
      </c>
      <c r="R74" s="3" t="s">
        <v>381</v>
      </c>
      <c r="S74" s="3" t="s">
        <v>382</v>
      </c>
      <c r="T74" t="str">
        <f t="shared" si="4"/>
        <v>Jiri Hudler</v>
      </c>
      <c r="U74">
        <f t="shared" si="5"/>
        <v>54</v>
      </c>
      <c r="V74">
        <v>54</v>
      </c>
    </row>
    <row r="75" spans="1:22" ht="30" x14ac:dyDescent="0.25">
      <c r="A75" s="19" t="s">
        <v>792</v>
      </c>
      <c r="B75" s="20">
        <v>78</v>
      </c>
      <c r="C75" s="20">
        <v>20</v>
      </c>
      <c r="D75" s="20">
        <v>27</v>
      </c>
      <c r="E75" s="20">
        <v>48</v>
      </c>
      <c r="F75" s="20">
        <v>-22</v>
      </c>
      <c r="G75" s="20">
        <v>6</v>
      </c>
      <c r="H75" s="20">
        <v>1</v>
      </c>
      <c r="I75" s="20">
        <v>42</v>
      </c>
      <c r="J75" s="20">
        <v>152</v>
      </c>
      <c r="M75" t="s">
        <v>226</v>
      </c>
      <c r="N75" t="s">
        <v>373</v>
      </c>
      <c r="O75" t="str">
        <f t="shared" si="3"/>
        <v>Jordan Staal</v>
      </c>
      <c r="P75" s="20">
        <v>48</v>
      </c>
      <c r="R75" s="4" t="s">
        <v>327</v>
      </c>
      <c r="S75" s="4" t="s">
        <v>328</v>
      </c>
      <c r="T75" t="str">
        <f t="shared" si="4"/>
        <v>Victor Hedman</v>
      </c>
      <c r="U75">
        <f t="shared" si="5"/>
        <v>58</v>
      </c>
      <c r="V75">
        <v>58</v>
      </c>
    </row>
    <row r="76" spans="1:22" ht="30" x14ac:dyDescent="0.25">
      <c r="A76" s="17" t="s">
        <v>793</v>
      </c>
      <c r="B76" s="18">
        <v>78</v>
      </c>
      <c r="C76" s="18">
        <v>17</v>
      </c>
      <c r="D76" s="18">
        <v>14</v>
      </c>
      <c r="E76" s="18">
        <v>32</v>
      </c>
      <c r="F76" s="18">
        <v>34</v>
      </c>
      <c r="G76" s="18">
        <v>0</v>
      </c>
      <c r="H76" s="18">
        <v>2</v>
      </c>
      <c r="I76" s="18">
        <v>26</v>
      </c>
      <c r="J76" s="18">
        <v>151</v>
      </c>
      <c r="M76" t="s">
        <v>245</v>
      </c>
      <c r="N76" t="s">
        <v>1252</v>
      </c>
      <c r="O76" t="str">
        <f t="shared" si="3"/>
        <v>Matt Cullen</v>
      </c>
      <c r="P76" s="18">
        <v>32</v>
      </c>
      <c r="R76" s="3" t="s">
        <v>335</v>
      </c>
      <c r="S76" s="3" t="s">
        <v>336</v>
      </c>
      <c r="T76" t="str">
        <f t="shared" si="4"/>
        <v>Marcus Johansson</v>
      </c>
      <c r="U76">
        <f t="shared" si="5"/>
        <v>53</v>
      </c>
      <c r="V76">
        <v>53</v>
      </c>
    </row>
    <row r="77" spans="1:22" ht="30" x14ac:dyDescent="0.25">
      <c r="A77" s="19" t="s">
        <v>794</v>
      </c>
      <c r="B77" s="20">
        <v>78</v>
      </c>
      <c r="C77" s="20">
        <v>9</v>
      </c>
      <c r="D77" s="20">
        <v>29</v>
      </c>
      <c r="E77" s="20">
        <v>38</v>
      </c>
      <c r="F77" s="20">
        <v>17</v>
      </c>
      <c r="G77" s="20">
        <v>6</v>
      </c>
      <c r="H77" s="20">
        <v>0</v>
      </c>
      <c r="I77" s="20">
        <v>39</v>
      </c>
      <c r="J77" s="20">
        <v>150</v>
      </c>
      <c r="M77" t="s">
        <v>1253</v>
      </c>
      <c r="N77" t="s">
        <v>1254</v>
      </c>
      <c r="O77" t="str">
        <f t="shared" si="3"/>
        <v>Valtteri Filppula</v>
      </c>
      <c r="P77" s="20">
        <v>38</v>
      </c>
      <c r="R77" s="4" t="s">
        <v>323</v>
      </c>
      <c r="S77" s="4" t="s">
        <v>324</v>
      </c>
      <c r="T77" t="str">
        <f t="shared" si="4"/>
        <v>Jussi Jokinen</v>
      </c>
      <c r="U77">
        <f t="shared" si="5"/>
        <v>56</v>
      </c>
      <c r="V77">
        <v>56</v>
      </c>
    </row>
    <row r="78" spans="1:22" ht="30" x14ac:dyDescent="0.25">
      <c r="A78" s="17" t="s">
        <v>795</v>
      </c>
      <c r="B78" s="18">
        <v>78</v>
      </c>
      <c r="C78" s="18">
        <v>16</v>
      </c>
      <c r="D78" s="18">
        <v>16</v>
      </c>
      <c r="E78" s="18">
        <v>33</v>
      </c>
      <c r="F78" s="18">
        <v>32</v>
      </c>
      <c r="G78" s="18">
        <v>0</v>
      </c>
      <c r="H78" s="18">
        <v>0</v>
      </c>
      <c r="I78" s="18">
        <v>20</v>
      </c>
      <c r="J78" s="18">
        <v>149</v>
      </c>
      <c r="M78" t="s">
        <v>1255</v>
      </c>
      <c r="N78" t="s">
        <v>1256</v>
      </c>
      <c r="O78" t="str">
        <f t="shared" si="3"/>
        <v>Mattias Janmark</v>
      </c>
      <c r="P78" s="18">
        <v>33</v>
      </c>
      <c r="R78" s="3" t="s">
        <v>188</v>
      </c>
      <c r="S78" s="3" t="s">
        <v>241</v>
      </c>
      <c r="T78" t="str">
        <f t="shared" si="4"/>
        <v>Ryan O'Reilly</v>
      </c>
      <c r="U78">
        <f t="shared" si="5"/>
        <v>65</v>
      </c>
      <c r="V78">
        <v>65</v>
      </c>
    </row>
    <row r="79" spans="1:22" ht="45" x14ac:dyDescent="0.25">
      <c r="A79" s="19" t="s">
        <v>796</v>
      </c>
      <c r="B79" s="20">
        <v>78</v>
      </c>
      <c r="C79" s="20">
        <v>14</v>
      </c>
      <c r="D79" s="20">
        <v>22</v>
      </c>
      <c r="E79" s="20">
        <v>36</v>
      </c>
      <c r="F79" s="20">
        <v>24</v>
      </c>
      <c r="G79" s="20">
        <v>2</v>
      </c>
      <c r="H79" s="20">
        <v>0</v>
      </c>
      <c r="I79" s="20">
        <v>37</v>
      </c>
      <c r="J79" s="20">
        <v>146</v>
      </c>
      <c r="M79" t="s">
        <v>459</v>
      </c>
      <c r="N79" t="s">
        <v>1257</v>
      </c>
      <c r="O79" t="str">
        <f t="shared" si="3"/>
        <v>Vladislav Namestnikov</v>
      </c>
      <c r="P79" s="20">
        <v>36</v>
      </c>
      <c r="R79" s="4" t="s">
        <v>252</v>
      </c>
      <c r="S79" s="4" t="s">
        <v>253</v>
      </c>
      <c r="T79" t="str">
        <f t="shared" si="4"/>
        <v>Henrik Sedin</v>
      </c>
      <c r="U79">
        <f t="shared" si="5"/>
        <v>69</v>
      </c>
      <c r="V79">
        <v>69</v>
      </c>
    </row>
    <row r="80" spans="1:22" ht="45" x14ac:dyDescent="0.25">
      <c r="A80" s="17" t="s">
        <v>797</v>
      </c>
      <c r="B80" s="18">
        <v>78</v>
      </c>
      <c r="C80" s="18">
        <v>20</v>
      </c>
      <c r="D80" s="18">
        <v>24</v>
      </c>
      <c r="E80" s="18">
        <v>45</v>
      </c>
      <c r="F80" s="18">
        <v>-3</v>
      </c>
      <c r="G80" s="18">
        <v>3</v>
      </c>
      <c r="H80" s="18">
        <v>0</v>
      </c>
      <c r="I80" s="18">
        <v>33</v>
      </c>
      <c r="J80" s="18">
        <v>145</v>
      </c>
      <c r="M80" t="s">
        <v>168</v>
      </c>
      <c r="N80" t="s">
        <v>452</v>
      </c>
      <c r="O80" t="str">
        <f t="shared" si="3"/>
        <v>Joe Colborne</v>
      </c>
      <c r="P80" s="18">
        <v>45</v>
      </c>
      <c r="R80" s="3" t="s">
        <v>257</v>
      </c>
      <c r="S80" s="3" t="s">
        <v>710</v>
      </c>
      <c r="T80" t="str">
        <f t="shared" si="4"/>
        <v>James van Riemsdyk</v>
      </c>
      <c r="U80" t="e">
        <f t="shared" si="5"/>
        <v>#N/A</v>
      </c>
      <c r="V80" t="e">
        <v>#N/A</v>
      </c>
    </row>
    <row r="81" spans="1:22" ht="45" x14ac:dyDescent="0.25">
      <c r="A81" s="19" t="s">
        <v>798</v>
      </c>
      <c r="B81" s="20">
        <v>78</v>
      </c>
      <c r="C81" s="20">
        <v>18</v>
      </c>
      <c r="D81" s="20">
        <v>31</v>
      </c>
      <c r="E81" s="20">
        <v>50</v>
      </c>
      <c r="F81" s="20">
        <v>-29</v>
      </c>
      <c r="G81" s="20">
        <v>8</v>
      </c>
      <c r="H81" s="20">
        <v>0</v>
      </c>
      <c r="I81" s="20">
        <v>31</v>
      </c>
      <c r="J81" s="20">
        <v>143</v>
      </c>
      <c r="M81" t="s">
        <v>188</v>
      </c>
      <c r="N81" t="s">
        <v>1258</v>
      </c>
      <c r="O81" t="str">
        <f t="shared" si="3"/>
        <v>Ryan Nugent-Hopkins</v>
      </c>
      <c r="P81" s="20">
        <v>50</v>
      </c>
      <c r="R81" s="4" t="s">
        <v>438</v>
      </c>
      <c r="S81" s="4" t="s">
        <v>439</v>
      </c>
      <c r="T81" t="str">
        <f t="shared" si="4"/>
        <v>Nino Niederreiter</v>
      </c>
      <c r="U81">
        <f t="shared" si="5"/>
        <v>44</v>
      </c>
      <c r="V81">
        <v>44</v>
      </c>
    </row>
    <row r="82" spans="1:22" ht="30" x14ac:dyDescent="0.25">
      <c r="A82" s="17" t="s">
        <v>799</v>
      </c>
      <c r="B82" s="18">
        <v>78</v>
      </c>
      <c r="C82" s="18">
        <v>18</v>
      </c>
      <c r="D82" s="18">
        <v>26</v>
      </c>
      <c r="E82" s="18">
        <v>44</v>
      </c>
      <c r="F82" s="18">
        <v>-16</v>
      </c>
      <c r="G82" s="18">
        <v>7</v>
      </c>
      <c r="H82" s="18">
        <v>0</v>
      </c>
      <c r="I82" s="18">
        <v>19</v>
      </c>
      <c r="J82" s="18">
        <v>141</v>
      </c>
      <c r="M82" t="s">
        <v>411</v>
      </c>
      <c r="N82" t="s">
        <v>412</v>
      </c>
      <c r="O82" t="str">
        <f t="shared" si="3"/>
        <v>Bo Horvat</v>
      </c>
      <c r="P82" s="18">
        <v>44</v>
      </c>
      <c r="R82" s="3" t="s">
        <v>170</v>
      </c>
      <c r="S82" s="3" t="s">
        <v>171</v>
      </c>
      <c r="T82" t="str">
        <f t="shared" si="4"/>
        <v>John Tavares</v>
      </c>
      <c r="U82">
        <f t="shared" si="5"/>
        <v>76</v>
      </c>
      <c r="V82">
        <v>76</v>
      </c>
    </row>
    <row r="83" spans="1:22" ht="30" x14ac:dyDescent="0.25">
      <c r="A83" s="19" t="s">
        <v>800</v>
      </c>
      <c r="B83" s="20">
        <v>78</v>
      </c>
      <c r="C83" s="20">
        <v>20</v>
      </c>
      <c r="D83" s="20">
        <v>4</v>
      </c>
      <c r="E83" s="20">
        <v>24</v>
      </c>
      <c r="F83" s="20">
        <v>12</v>
      </c>
      <c r="G83" s="20">
        <v>0</v>
      </c>
      <c r="H83" s="20">
        <v>0</v>
      </c>
      <c r="I83" s="20">
        <v>24</v>
      </c>
      <c r="J83" s="20">
        <v>136</v>
      </c>
      <c r="M83" t="s">
        <v>1259</v>
      </c>
      <c r="N83" t="s">
        <v>1260</v>
      </c>
      <c r="O83" t="str">
        <f t="shared" si="3"/>
        <v>Frank Vatrano</v>
      </c>
      <c r="P83" s="20">
        <v>24</v>
      </c>
      <c r="R83" s="4" t="s">
        <v>188</v>
      </c>
      <c r="S83" s="4" t="s">
        <v>189</v>
      </c>
      <c r="T83" t="str">
        <f t="shared" si="4"/>
        <v>Ryan Getzlaf</v>
      </c>
      <c r="U83">
        <f t="shared" si="5"/>
        <v>75</v>
      </c>
      <c r="V83">
        <v>75</v>
      </c>
    </row>
    <row r="84" spans="1:22" ht="30" x14ac:dyDescent="0.25">
      <c r="A84" s="17" t="s">
        <v>801</v>
      </c>
      <c r="B84" s="18">
        <v>78</v>
      </c>
      <c r="C84" s="18">
        <v>12</v>
      </c>
      <c r="D84" s="18">
        <v>31</v>
      </c>
      <c r="E84" s="18">
        <v>43</v>
      </c>
      <c r="F84" s="18">
        <v>-34</v>
      </c>
      <c r="G84" s="18">
        <v>7</v>
      </c>
      <c r="H84" s="18">
        <v>0</v>
      </c>
      <c r="I84" s="18">
        <v>61</v>
      </c>
      <c r="J84" s="18">
        <v>133</v>
      </c>
      <c r="M84" t="s">
        <v>166</v>
      </c>
      <c r="N84" t="s">
        <v>1261</v>
      </c>
      <c r="O84" t="str">
        <f t="shared" si="3"/>
        <v>Tyler Ennis</v>
      </c>
      <c r="P84" s="18">
        <v>43</v>
      </c>
      <c r="R84" s="3" t="s">
        <v>442</v>
      </c>
      <c r="S84" s="3" t="s">
        <v>443</v>
      </c>
      <c r="T84" t="str">
        <f t="shared" si="4"/>
        <v>Jakob Silfverberg</v>
      </c>
      <c r="U84">
        <f t="shared" si="5"/>
        <v>45</v>
      </c>
      <c r="V84">
        <v>45</v>
      </c>
    </row>
    <row r="85" spans="1:22" ht="45" x14ac:dyDescent="0.25">
      <c r="A85" s="19" t="s">
        <v>802</v>
      </c>
      <c r="B85" s="20">
        <v>78</v>
      </c>
      <c r="C85" s="20">
        <v>9</v>
      </c>
      <c r="D85" s="20">
        <v>39</v>
      </c>
      <c r="E85" s="20">
        <v>49</v>
      </c>
      <c r="F85" s="20">
        <v>-14</v>
      </c>
      <c r="G85" s="20">
        <v>8</v>
      </c>
      <c r="H85" s="20">
        <v>0</v>
      </c>
      <c r="I85" s="20">
        <v>2</v>
      </c>
      <c r="J85" s="20">
        <v>133</v>
      </c>
      <c r="M85" t="s">
        <v>174</v>
      </c>
      <c r="N85" t="s">
        <v>370</v>
      </c>
      <c r="O85" t="str">
        <f t="shared" si="3"/>
        <v>Alexander Wennberg</v>
      </c>
      <c r="P85" s="20">
        <v>49</v>
      </c>
      <c r="R85" s="4" t="s">
        <v>233</v>
      </c>
      <c r="S85" s="4" t="s">
        <v>418</v>
      </c>
      <c r="T85" t="str">
        <f t="shared" si="4"/>
        <v>Alex Pietrangelo</v>
      </c>
      <c r="U85">
        <f t="shared" si="5"/>
        <v>41</v>
      </c>
      <c r="V85">
        <v>41</v>
      </c>
    </row>
    <row r="86" spans="1:22" ht="30" x14ac:dyDescent="0.25">
      <c r="A86" s="17" t="s">
        <v>803</v>
      </c>
      <c r="B86" s="18">
        <v>78</v>
      </c>
      <c r="C86" s="18">
        <v>18</v>
      </c>
      <c r="D86" s="18">
        <v>7</v>
      </c>
      <c r="E86" s="18">
        <v>25</v>
      </c>
      <c r="F86" s="18">
        <v>16</v>
      </c>
      <c r="G86" s="18">
        <v>1</v>
      </c>
      <c r="H86" s="18">
        <v>0</v>
      </c>
      <c r="I86" s="18">
        <v>66</v>
      </c>
      <c r="J86" s="18">
        <v>132</v>
      </c>
      <c r="M86" t="s">
        <v>1262</v>
      </c>
      <c r="N86" t="s">
        <v>1263</v>
      </c>
      <c r="O86" t="str">
        <f t="shared" si="3"/>
        <v>Brian Boyle</v>
      </c>
      <c r="P86" s="18">
        <v>25</v>
      </c>
      <c r="R86" s="3" t="s">
        <v>264</v>
      </c>
      <c r="S86" s="3" t="s">
        <v>253</v>
      </c>
      <c r="T86" t="str">
        <f t="shared" si="4"/>
        <v>Daniel Sedin</v>
      </c>
      <c r="U86">
        <f t="shared" si="5"/>
        <v>68</v>
      </c>
      <c r="V86">
        <v>68</v>
      </c>
    </row>
    <row r="87" spans="1:22" ht="30" x14ac:dyDescent="0.25">
      <c r="A87" s="19" t="s">
        <v>804</v>
      </c>
      <c r="B87" s="20">
        <v>78</v>
      </c>
      <c r="C87" s="20">
        <v>10</v>
      </c>
      <c r="D87" s="20">
        <v>26</v>
      </c>
      <c r="E87" s="20">
        <v>36</v>
      </c>
      <c r="F87" s="20">
        <v>12</v>
      </c>
      <c r="G87" s="20">
        <v>3</v>
      </c>
      <c r="H87" s="20">
        <v>0</v>
      </c>
      <c r="I87" s="20">
        <v>39</v>
      </c>
      <c r="J87" s="20">
        <v>132</v>
      </c>
      <c r="M87" t="s">
        <v>1264</v>
      </c>
      <c r="N87" t="s">
        <v>1265</v>
      </c>
      <c r="O87" t="str">
        <f t="shared" si="3"/>
        <v>Jori Lehtera</v>
      </c>
      <c r="P87" s="20">
        <v>36</v>
      </c>
      <c r="R87" s="4" t="s">
        <v>257</v>
      </c>
      <c r="S87" s="4" t="s">
        <v>272</v>
      </c>
      <c r="T87" t="str">
        <f t="shared" si="4"/>
        <v>James Neal</v>
      </c>
      <c r="U87">
        <f t="shared" si="5"/>
        <v>61</v>
      </c>
      <c r="V87">
        <v>61</v>
      </c>
    </row>
    <row r="88" spans="1:22" ht="30" x14ac:dyDescent="0.25">
      <c r="A88" s="17" t="s">
        <v>805</v>
      </c>
      <c r="B88" s="18">
        <v>78</v>
      </c>
      <c r="C88" s="18">
        <v>11</v>
      </c>
      <c r="D88" s="18">
        <v>11</v>
      </c>
      <c r="E88" s="18">
        <v>23</v>
      </c>
      <c r="F88" s="18">
        <v>38</v>
      </c>
      <c r="G88" s="18">
        <v>0</v>
      </c>
      <c r="H88" s="18">
        <v>0</v>
      </c>
      <c r="I88" s="18">
        <v>29</v>
      </c>
      <c r="J88" s="18">
        <v>132</v>
      </c>
      <c r="M88" t="s">
        <v>1266</v>
      </c>
      <c r="N88" t="s">
        <v>1267</v>
      </c>
      <c r="O88" t="str">
        <f t="shared" si="3"/>
        <v>Radek Faksa</v>
      </c>
      <c r="P88" s="18">
        <v>23</v>
      </c>
      <c r="R88" s="3" t="s">
        <v>280</v>
      </c>
      <c r="S88" s="3" t="s">
        <v>281</v>
      </c>
      <c r="T88" t="str">
        <f t="shared" si="4"/>
        <v>Bryan Little</v>
      </c>
      <c r="U88">
        <f t="shared" si="5"/>
        <v>63</v>
      </c>
      <c r="V88">
        <v>63</v>
      </c>
    </row>
    <row r="89" spans="1:22" ht="30" x14ac:dyDescent="0.25">
      <c r="A89" s="19" t="s">
        <v>806</v>
      </c>
      <c r="B89" s="20">
        <v>78</v>
      </c>
      <c r="C89" s="20">
        <v>18</v>
      </c>
      <c r="D89" s="20">
        <v>12</v>
      </c>
      <c r="E89" s="20">
        <v>31</v>
      </c>
      <c r="F89" s="20">
        <v>7</v>
      </c>
      <c r="G89" s="20">
        <v>2</v>
      </c>
      <c r="H89" s="20">
        <v>0</v>
      </c>
      <c r="I89" s="20">
        <v>24</v>
      </c>
      <c r="J89" s="20">
        <v>131</v>
      </c>
      <c r="M89" t="s">
        <v>268</v>
      </c>
      <c r="N89" t="s">
        <v>1268</v>
      </c>
      <c r="O89" t="str">
        <f t="shared" si="3"/>
        <v>Patrik Berglund</v>
      </c>
      <c r="P89" s="20">
        <v>31</v>
      </c>
      <c r="R89" s="4" t="s">
        <v>168</v>
      </c>
      <c r="S89" s="4" t="s">
        <v>169</v>
      </c>
      <c r="T89" t="str">
        <f t="shared" si="4"/>
        <v>Joe Pavelski</v>
      </c>
      <c r="U89">
        <f t="shared" si="5"/>
        <v>78</v>
      </c>
      <c r="V89">
        <v>78</v>
      </c>
    </row>
    <row r="90" spans="1:22" ht="30" x14ac:dyDescent="0.25">
      <c r="A90" s="17" t="s">
        <v>807</v>
      </c>
      <c r="B90" s="18">
        <v>78</v>
      </c>
      <c r="C90" s="18">
        <v>18</v>
      </c>
      <c r="D90" s="18">
        <v>12</v>
      </c>
      <c r="E90" s="18">
        <v>30</v>
      </c>
      <c r="F90" s="18">
        <v>9</v>
      </c>
      <c r="G90" s="18">
        <v>3</v>
      </c>
      <c r="H90" s="18">
        <v>0</v>
      </c>
      <c r="I90" s="18">
        <v>28</v>
      </c>
      <c r="J90" s="18">
        <v>131</v>
      </c>
      <c r="M90" t="s">
        <v>290</v>
      </c>
      <c r="N90" t="s">
        <v>1269</v>
      </c>
      <c r="O90" t="str">
        <f t="shared" si="3"/>
        <v>Mike Fisher</v>
      </c>
      <c r="P90" s="18">
        <v>30</v>
      </c>
      <c r="R90" s="3" t="s">
        <v>180</v>
      </c>
      <c r="S90" s="3" t="s">
        <v>181</v>
      </c>
      <c r="T90" t="str">
        <f t="shared" si="4"/>
        <v>Anze Kopitar</v>
      </c>
      <c r="U90">
        <f t="shared" si="5"/>
        <v>75</v>
      </c>
      <c r="V90">
        <v>75</v>
      </c>
    </row>
    <row r="91" spans="1:22" ht="30" x14ac:dyDescent="0.25">
      <c r="A91" s="19" t="s">
        <v>808</v>
      </c>
      <c r="B91" s="20">
        <v>78</v>
      </c>
      <c r="C91" s="20">
        <v>10</v>
      </c>
      <c r="D91" s="20">
        <v>27</v>
      </c>
      <c r="E91" s="20">
        <v>38</v>
      </c>
      <c r="F91" s="20">
        <v>6</v>
      </c>
      <c r="G91" s="20">
        <v>9</v>
      </c>
      <c r="H91" s="20">
        <v>0</v>
      </c>
      <c r="I91" s="20">
        <v>15</v>
      </c>
      <c r="J91" s="20">
        <v>129</v>
      </c>
      <c r="M91" t="s">
        <v>1270</v>
      </c>
      <c r="N91" t="s">
        <v>1271</v>
      </c>
      <c r="O91" t="str">
        <f t="shared" si="3"/>
        <v>Linden Vey</v>
      </c>
      <c r="P91" s="20">
        <v>38</v>
      </c>
      <c r="R91" s="4" t="s">
        <v>288</v>
      </c>
      <c r="S91" s="4" t="s">
        <v>289</v>
      </c>
      <c r="T91" t="str">
        <f t="shared" si="4"/>
        <v>Brayden Schenn</v>
      </c>
      <c r="U91">
        <f t="shared" si="5"/>
        <v>64</v>
      </c>
      <c r="V91">
        <v>64</v>
      </c>
    </row>
    <row r="92" spans="1:22" ht="30" x14ac:dyDescent="0.25">
      <c r="A92" s="17" t="s">
        <v>809</v>
      </c>
      <c r="B92" s="18">
        <v>78</v>
      </c>
      <c r="C92" s="18">
        <v>12</v>
      </c>
      <c r="D92" s="18">
        <v>24</v>
      </c>
      <c r="E92" s="18">
        <v>36</v>
      </c>
      <c r="F92" s="18">
        <v>-15</v>
      </c>
      <c r="G92" s="18">
        <v>3</v>
      </c>
      <c r="H92" s="18">
        <v>0</v>
      </c>
      <c r="I92" s="18">
        <v>43</v>
      </c>
      <c r="J92" s="18">
        <v>128</v>
      </c>
      <c r="M92" t="s">
        <v>378</v>
      </c>
      <c r="N92" t="s">
        <v>373</v>
      </c>
      <c r="O92" t="str">
        <f t="shared" si="3"/>
        <v>Eric Staal</v>
      </c>
      <c r="P92" s="18">
        <v>36</v>
      </c>
      <c r="R92" s="3" t="s">
        <v>383</v>
      </c>
      <c r="S92" s="3" t="s">
        <v>384</v>
      </c>
      <c r="T92" t="str">
        <f t="shared" si="4"/>
        <v>Nikolaj Ehlers</v>
      </c>
      <c r="U92">
        <f t="shared" si="5"/>
        <v>42</v>
      </c>
      <c r="V92">
        <v>42</v>
      </c>
    </row>
    <row r="93" spans="1:22" ht="45" x14ac:dyDescent="0.25">
      <c r="A93" s="19" t="s">
        <v>810</v>
      </c>
      <c r="B93" s="20">
        <v>78</v>
      </c>
      <c r="C93" s="20">
        <v>14</v>
      </c>
      <c r="D93" s="20">
        <v>22</v>
      </c>
      <c r="E93" s="20">
        <v>36</v>
      </c>
      <c r="F93" s="20">
        <v>1</v>
      </c>
      <c r="G93" s="20">
        <v>3</v>
      </c>
      <c r="H93" s="20">
        <v>0</v>
      </c>
      <c r="I93" s="20">
        <v>29</v>
      </c>
      <c r="J93" s="20">
        <v>128</v>
      </c>
      <c r="M93" t="s">
        <v>231</v>
      </c>
      <c r="N93" t="s">
        <v>1272</v>
      </c>
      <c r="O93" t="str">
        <f t="shared" si="3"/>
        <v>David Desharnais</v>
      </c>
      <c r="P93" s="20">
        <v>36</v>
      </c>
      <c r="R93" s="4" t="s">
        <v>413</v>
      </c>
      <c r="S93" s="4" t="s">
        <v>414</v>
      </c>
      <c r="T93" t="str">
        <f t="shared" si="4"/>
        <v>J.T. Miller</v>
      </c>
      <c r="U93">
        <f t="shared" si="5"/>
        <v>45</v>
      </c>
      <c r="V93">
        <v>45</v>
      </c>
    </row>
    <row r="94" spans="1:22" ht="30" x14ac:dyDescent="0.25">
      <c r="A94" s="17" t="s">
        <v>811</v>
      </c>
      <c r="B94" s="18">
        <v>78</v>
      </c>
      <c r="C94" s="18">
        <v>14</v>
      </c>
      <c r="D94" s="18">
        <v>11</v>
      </c>
      <c r="E94" s="18">
        <v>26</v>
      </c>
      <c r="F94" s="18">
        <v>24</v>
      </c>
      <c r="G94" s="18">
        <v>0</v>
      </c>
      <c r="H94" s="18">
        <v>0</v>
      </c>
      <c r="I94" s="18">
        <v>31</v>
      </c>
      <c r="J94" s="18">
        <v>124</v>
      </c>
      <c r="M94" t="s">
        <v>1273</v>
      </c>
      <c r="N94" t="s">
        <v>1274</v>
      </c>
      <c r="O94" t="str">
        <f t="shared" si="3"/>
        <v>Jay Beagle</v>
      </c>
      <c r="P94" s="18">
        <v>26</v>
      </c>
      <c r="R94" s="3" t="s">
        <v>265</v>
      </c>
      <c r="S94" s="3" t="s">
        <v>266</v>
      </c>
      <c r="T94" t="str">
        <f t="shared" si="4"/>
        <v>Derek Stepan</v>
      </c>
      <c r="U94">
        <f t="shared" si="5"/>
        <v>61</v>
      </c>
      <c r="V94">
        <v>61</v>
      </c>
    </row>
    <row r="95" spans="1:22" ht="45" x14ac:dyDescent="0.25">
      <c r="A95" s="19" t="s">
        <v>812</v>
      </c>
      <c r="B95" s="20">
        <v>78</v>
      </c>
      <c r="C95" s="20">
        <v>15</v>
      </c>
      <c r="D95" s="20">
        <v>13</v>
      </c>
      <c r="E95" s="20">
        <v>29</v>
      </c>
      <c r="F95" s="20">
        <v>15</v>
      </c>
      <c r="G95" s="20">
        <v>2</v>
      </c>
      <c r="H95" s="20">
        <v>0</v>
      </c>
      <c r="I95" s="20">
        <v>14</v>
      </c>
      <c r="J95" s="20">
        <v>122</v>
      </c>
      <c r="M95" t="s">
        <v>1275</v>
      </c>
      <c r="N95" t="s">
        <v>1276</v>
      </c>
      <c r="O95" t="str">
        <f t="shared" si="3"/>
        <v>Calle Jarnkrok</v>
      </c>
      <c r="P95" s="20">
        <v>29</v>
      </c>
      <c r="R95" s="4" t="s">
        <v>162</v>
      </c>
      <c r="S95" s="4" t="s">
        <v>306</v>
      </c>
      <c r="T95" t="str">
        <f t="shared" si="4"/>
        <v>Patrick Sharp</v>
      </c>
      <c r="U95">
        <f t="shared" si="5"/>
        <v>57</v>
      </c>
      <c r="V95">
        <v>57</v>
      </c>
    </row>
    <row r="96" spans="1:22" ht="30" x14ac:dyDescent="0.25">
      <c r="A96" s="17" t="s">
        <v>813</v>
      </c>
      <c r="B96" s="18">
        <v>78</v>
      </c>
      <c r="C96" s="18">
        <v>10</v>
      </c>
      <c r="D96" s="18">
        <v>4</v>
      </c>
      <c r="E96" s="18">
        <v>15</v>
      </c>
      <c r="F96" s="18">
        <v>47</v>
      </c>
      <c r="G96" s="18">
        <v>0</v>
      </c>
      <c r="H96" s="18">
        <v>0</v>
      </c>
      <c r="I96" s="18">
        <v>49</v>
      </c>
      <c r="J96" s="18">
        <v>120</v>
      </c>
      <c r="M96" t="s">
        <v>419</v>
      </c>
      <c r="N96" t="s">
        <v>1277</v>
      </c>
      <c r="O96" t="str">
        <f t="shared" si="3"/>
        <v>Chris Wagner</v>
      </c>
      <c r="P96" s="18">
        <v>15</v>
      </c>
      <c r="R96" s="3" t="s">
        <v>404</v>
      </c>
      <c r="S96" s="3" t="s">
        <v>405</v>
      </c>
      <c r="T96" t="str">
        <f t="shared" si="4"/>
        <v>Nazem Kadri</v>
      </c>
      <c r="U96">
        <f t="shared" si="5"/>
        <v>51</v>
      </c>
      <c r="V96">
        <v>51</v>
      </c>
    </row>
    <row r="97" spans="1:22" ht="45" x14ac:dyDescent="0.25">
      <c r="A97" s="19" t="s">
        <v>814</v>
      </c>
      <c r="B97" s="20">
        <v>78</v>
      </c>
      <c r="C97" s="20">
        <v>12</v>
      </c>
      <c r="D97" s="20">
        <v>29</v>
      </c>
      <c r="E97" s="20">
        <v>42</v>
      </c>
      <c r="F97" s="20">
        <v>-32</v>
      </c>
      <c r="G97" s="20">
        <v>5</v>
      </c>
      <c r="H97" s="20">
        <v>0</v>
      </c>
      <c r="I97" s="20">
        <v>24</v>
      </c>
      <c r="J97" s="20">
        <v>117</v>
      </c>
      <c r="M97" t="s">
        <v>386</v>
      </c>
      <c r="N97" t="s">
        <v>387</v>
      </c>
      <c r="O97" t="str">
        <f t="shared" si="3"/>
        <v>Mikael Granlund</v>
      </c>
      <c r="P97" s="20">
        <v>42</v>
      </c>
      <c r="R97" s="4" t="s">
        <v>337</v>
      </c>
      <c r="S97" s="4" t="s">
        <v>338</v>
      </c>
      <c r="T97" t="str">
        <f t="shared" si="4"/>
        <v>Leon Draisaitl</v>
      </c>
      <c r="U97">
        <f t="shared" si="5"/>
        <v>57</v>
      </c>
      <c r="V97">
        <v>57</v>
      </c>
    </row>
    <row r="98" spans="1:22" ht="30" x14ac:dyDescent="0.25">
      <c r="A98" s="17" t="s">
        <v>815</v>
      </c>
      <c r="B98" s="18">
        <v>78</v>
      </c>
      <c r="C98" s="18">
        <v>15</v>
      </c>
      <c r="D98" s="18">
        <v>13</v>
      </c>
      <c r="E98" s="18">
        <v>28</v>
      </c>
      <c r="F98" s="18">
        <v>-1</v>
      </c>
      <c r="G98" s="18">
        <v>0</v>
      </c>
      <c r="H98" s="18">
        <v>0</v>
      </c>
      <c r="I98" s="18">
        <v>35</v>
      </c>
      <c r="J98" s="18">
        <v>116</v>
      </c>
      <c r="M98" t="s">
        <v>1278</v>
      </c>
      <c r="N98" t="s">
        <v>1279</v>
      </c>
      <c r="O98" t="str">
        <f t="shared" si="3"/>
        <v>Darren Helm</v>
      </c>
      <c r="P98" s="18">
        <v>28</v>
      </c>
      <c r="R98" s="3" t="s">
        <v>178</v>
      </c>
      <c r="S98" s="3" t="s">
        <v>179</v>
      </c>
      <c r="T98" t="str">
        <f t="shared" si="4"/>
        <v>Vladimir Tarasenko</v>
      </c>
      <c r="U98">
        <f t="shared" si="5"/>
        <v>75</v>
      </c>
      <c r="V98">
        <v>75</v>
      </c>
    </row>
    <row r="99" spans="1:22" ht="30" x14ac:dyDescent="0.25">
      <c r="A99" s="19" t="s">
        <v>816</v>
      </c>
      <c r="B99" s="20">
        <v>78</v>
      </c>
      <c r="C99" s="20">
        <v>20</v>
      </c>
      <c r="D99" s="20">
        <v>19</v>
      </c>
      <c r="E99" s="20">
        <v>40</v>
      </c>
      <c r="F99" s="20">
        <v>-27</v>
      </c>
      <c r="G99" s="20">
        <v>3</v>
      </c>
      <c r="H99" s="20">
        <v>0</v>
      </c>
      <c r="I99" s="20">
        <v>27</v>
      </c>
      <c r="J99" s="20">
        <v>115</v>
      </c>
      <c r="M99" t="s">
        <v>407</v>
      </c>
      <c r="N99" t="s">
        <v>408</v>
      </c>
      <c r="O99" t="str">
        <f t="shared" si="3"/>
        <v>Charlie Coyle</v>
      </c>
      <c r="P99" s="20">
        <v>40</v>
      </c>
      <c r="R99" s="4" t="s">
        <v>317</v>
      </c>
      <c r="S99" s="4" t="s">
        <v>318</v>
      </c>
      <c r="T99" t="str">
        <f t="shared" si="4"/>
        <v>Roman Josi</v>
      </c>
      <c r="U99">
        <f t="shared" si="5"/>
        <v>65</v>
      </c>
      <c r="V99">
        <v>65</v>
      </c>
    </row>
    <row r="100" spans="1:22" ht="30" x14ac:dyDescent="0.25">
      <c r="A100" s="17" t="s">
        <v>817</v>
      </c>
      <c r="B100" s="18">
        <v>78</v>
      </c>
      <c r="C100" s="18">
        <v>20</v>
      </c>
      <c r="D100" s="18">
        <v>15</v>
      </c>
      <c r="E100" s="18">
        <v>35</v>
      </c>
      <c r="F100" s="18">
        <v>-27</v>
      </c>
      <c r="G100" s="18">
        <v>3</v>
      </c>
      <c r="H100" s="18">
        <v>1</v>
      </c>
      <c r="I100" s="18">
        <v>8</v>
      </c>
      <c r="J100" s="18">
        <v>113</v>
      </c>
      <c r="M100" t="s">
        <v>303</v>
      </c>
      <c r="N100" t="s">
        <v>1280</v>
      </c>
      <c r="O100" t="str">
        <f t="shared" si="3"/>
        <v>Brandon Sutter</v>
      </c>
      <c r="P100" s="18">
        <v>35</v>
      </c>
      <c r="R100" s="3" t="s">
        <v>386</v>
      </c>
      <c r="S100" s="3" t="s">
        <v>430</v>
      </c>
      <c r="T100" t="str">
        <f t="shared" si="4"/>
        <v>Mikael Backlund</v>
      </c>
      <c r="U100">
        <f t="shared" si="5"/>
        <v>44</v>
      </c>
      <c r="V100">
        <v>44</v>
      </c>
    </row>
    <row r="101" spans="1:22" ht="30" x14ac:dyDescent="0.25">
      <c r="A101" s="19" t="s">
        <v>818</v>
      </c>
      <c r="B101" s="20">
        <v>78</v>
      </c>
      <c r="C101" s="20">
        <v>15</v>
      </c>
      <c r="D101" s="20">
        <v>11</v>
      </c>
      <c r="E101" s="20">
        <v>26</v>
      </c>
      <c r="F101" s="20">
        <v>4</v>
      </c>
      <c r="G101" s="20">
        <v>2</v>
      </c>
      <c r="H101" s="20">
        <v>3</v>
      </c>
      <c r="I101" s="20">
        <v>21</v>
      </c>
      <c r="J101" s="20">
        <v>109</v>
      </c>
      <c r="M101" t="s">
        <v>419</v>
      </c>
      <c r="N101" t="s">
        <v>1281</v>
      </c>
      <c r="O101" t="str">
        <f t="shared" si="3"/>
        <v>Chris Kelly</v>
      </c>
      <c r="P101" s="20">
        <v>26</v>
      </c>
      <c r="R101" s="4" t="s">
        <v>436</v>
      </c>
      <c r="S101" s="4" t="s">
        <v>437</v>
      </c>
      <c r="T101" t="str">
        <f t="shared" si="4"/>
        <v>Aaron Ekblad</v>
      </c>
      <c r="U101">
        <f t="shared" si="5"/>
        <v>33</v>
      </c>
      <c r="V101">
        <v>33</v>
      </c>
    </row>
    <row r="102" spans="1:22" ht="30" x14ac:dyDescent="0.25">
      <c r="A102" s="17" t="s">
        <v>819</v>
      </c>
      <c r="B102" s="18">
        <v>78</v>
      </c>
      <c r="C102" s="18">
        <v>14</v>
      </c>
      <c r="D102" s="18">
        <v>11</v>
      </c>
      <c r="E102" s="18">
        <v>25</v>
      </c>
      <c r="F102" s="18">
        <v>9</v>
      </c>
      <c r="G102" s="18">
        <v>0</v>
      </c>
      <c r="H102" s="18">
        <v>0</v>
      </c>
      <c r="I102" s="18">
        <v>27</v>
      </c>
      <c r="J102" s="18">
        <v>108</v>
      </c>
      <c r="M102" t="s">
        <v>1282</v>
      </c>
      <c r="N102" t="s">
        <v>177</v>
      </c>
      <c r="O102" t="str">
        <f t="shared" si="3"/>
        <v>Melker Karlsson</v>
      </c>
      <c r="P102" s="18">
        <v>25</v>
      </c>
      <c r="R102" s="3" t="s">
        <v>292</v>
      </c>
      <c r="S102" s="3" t="s">
        <v>293</v>
      </c>
      <c r="T102" t="str">
        <f t="shared" si="4"/>
        <v>Derick Brassard</v>
      </c>
      <c r="U102">
        <f t="shared" si="5"/>
        <v>63</v>
      </c>
      <c r="V102">
        <v>63</v>
      </c>
    </row>
    <row r="103" spans="1:22" ht="30" x14ac:dyDescent="0.25">
      <c r="A103" s="19" t="s">
        <v>820</v>
      </c>
      <c r="B103" s="20">
        <v>78</v>
      </c>
      <c r="C103" s="20">
        <v>16</v>
      </c>
      <c r="D103" s="20">
        <v>9</v>
      </c>
      <c r="E103" s="20">
        <v>26</v>
      </c>
      <c r="F103" s="20">
        <v>18</v>
      </c>
      <c r="G103" s="20">
        <v>0</v>
      </c>
      <c r="H103" s="20">
        <v>3</v>
      </c>
      <c r="I103" s="20">
        <v>15</v>
      </c>
      <c r="J103" s="20">
        <v>108</v>
      </c>
      <c r="M103" t="s">
        <v>341</v>
      </c>
      <c r="N103" t="s">
        <v>1283</v>
      </c>
      <c r="O103" t="str">
        <f t="shared" si="3"/>
        <v>Paul Byron</v>
      </c>
      <c r="P103" s="20">
        <v>26</v>
      </c>
      <c r="R103" s="4" t="s">
        <v>226</v>
      </c>
      <c r="S103" s="4" t="s">
        <v>373</v>
      </c>
      <c r="T103" t="str">
        <f t="shared" si="4"/>
        <v>Jordan Staal</v>
      </c>
      <c r="U103">
        <f t="shared" si="5"/>
        <v>48</v>
      </c>
      <c r="V103">
        <v>48</v>
      </c>
    </row>
    <row r="104" spans="1:22" ht="30" x14ac:dyDescent="0.25">
      <c r="A104" s="17" t="s">
        <v>821</v>
      </c>
      <c r="B104" s="18">
        <v>78</v>
      </c>
      <c r="C104" s="18">
        <v>13</v>
      </c>
      <c r="D104" s="18">
        <v>23</v>
      </c>
      <c r="E104" s="18">
        <v>37</v>
      </c>
      <c r="F104" s="18">
        <v>-28</v>
      </c>
      <c r="G104" s="18">
        <v>4</v>
      </c>
      <c r="H104" s="18">
        <v>0</v>
      </c>
      <c r="I104" s="18">
        <v>29</v>
      </c>
      <c r="J104" s="18">
        <v>105</v>
      </c>
      <c r="M104" t="s">
        <v>440</v>
      </c>
      <c r="N104" t="s">
        <v>441</v>
      </c>
      <c r="O104" t="str">
        <f t="shared" si="3"/>
        <v>Pavel Zacha</v>
      </c>
      <c r="P104" s="18">
        <v>37</v>
      </c>
      <c r="R104" s="3" t="s">
        <v>431</v>
      </c>
      <c r="S104" s="3" t="s">
        <v>448</v>
      </c>
      <c r="T104" t="str">
        <f t="shared" si="4"/>
        <v>Nick Foligno</v>
      </c>
      <c r="U104">
        <f t="shared" si="5"/>
        <v>41</v>
      </c>
      <c r="V104">
        <v>41</v>
      </c>
    </row>
    <row r="105" spans="1:22" ht="30" x14ac:dyDescent="0.25">
      <c r="A105" s="19" t="s">
        <v>822</v>
      </c>
      <c r="B105" s="20">
        <v>78</v>
      </c>
      <c r="C105" s="20">
        <v>22</v>
      </c>
      <c r="D105" s="20">
        <v>18</v>
      </c>
      <c r="E105" s="20">
        <v>41</v>
      </c>
      <c r="F105" s="20">
        <v>-44</v>
      </c>
      <c r="G105" s="20">
        <v>4</v>
      </c>
      <c r="H105" s="20">
        <v>0</v>
      </c>
      <c r="I105" s="20">
        <v>9</v>
      </c>
      <c r="J105" s="20">
        <v>105</v>
      </c>
      <c r="M105" t="s">
        <v>397</v>
      </c>
      <c r="N105" t="s">
        <v>398</v>
      </c>
      <c r="O105" t="str">
        <f t="shared" si="3"/>
        <v>Sam Reinhart</v>
      </c>
      <c r="P105" s="20">
        <v>41</v>
      </c>
      <c r="R105" s="4" t="s">
        <v>204</v>
      </c>
      <c r="S105" s="4" t="s">
        <v>205</v>
      </c>
      <c r="T105" t="str">
        <f t="shared" si="4"/>
        <v>Corey Perry</v>
      </c>
      <c r="U105">
        <f t="shared" si="5"/>
        <v>68</v>
      </c>
      <c r="V105">
        <v>68</v>
      </c>
    </row>
    <row r="106" spans="1:22" ht="30" x14ac:dyDescent="0.25">
      <c r="A106" s="17" t="s">
        <v>823</v>
      </c>
      <c r="B106" s="18">
        <v>78</v>
      </c>
      <c r="C106" s="18">
        <v>12</v>
      </c>
      <c r="D106" s="18">
        <v>11</v>
      </c>
      <c r="E106" s="18">
        <v>23</v>
      </c>
      <c r="F106" s="18">
        <v>8</v>
      </c>
      <c r="G106" s="18">
        <v>2</v>
      </c>
      <c r="H106" s="18">
        <v>0</v>
      </c>
      <c r="I106" s="18">
        <v>37</v>
      </c>
      <c r="J106" s="18">
        <v>105</v>
      </c>
      <c r="M106" t="s">
        <v>1284</v>
      </c>
      <c r="N106" t="s">
        <v>1285</v>
      </c>
      <c r="O106" t="str">
        <f t="shared" si="3"/>
        <v>Jared McCann</v>
      </c>
      <c r="P106" s="18">
        <v>23</v>
      </c>
      <c r="R106" s="3" t="s">
        <v>314</v>
      </c>
      <c r="S106" s="3" t="s">
        <v>315</v>
      </c>
      <c r="T106" t="str">
        <f t="shared" si="4"/>
        <v>Gustav Nyquist</v>
      </c>
      <c r="U106">
        <f t="shared" si="5"/>
        <v>44</v>
      </c>
      <c r="V106">
        <v>44</v>
      </c>
    </row>
    <row r="107" spans="1:22" ht="45" x14ac:dyDescent="0.25">
      <c r="A107" s="19" t="s">
        <v>824</v>
      </c>
      <c r="B107" s="20">
        <v>78</v>
      </c>
      <c r="C107" s="20">
        <v>16</v>
      </c>
      <c r="D107" s="20">
        <v>19</v>
      </c>
      <c r="E107" s="20">
        <v>35</v>
      </c>
      <c r="F107" s="20">
        <v>-10</v>
      </c>
      <c r="G107" s="20">
        <v>0</v>
      </c>
      <c r="H107" s="20">
        <v>0</v>
      </c>
      <c r="I107" s="20">
        <v>28</v>
      </c>
      <c r="J107" s="20">
        <v>105</v>
      </c>
      <c r="M107" t="s">
        <v>1286</v>
      </c>
      <c r="N107" t="s">
        <v>1287</v>
      </c>
      <c r="O107" t="str">
        <f t="shared" si="3"/>
        <v>Shawn Matthias</v>
      </c>
      <c r="P107" s="20">
        <v>35</v>
      </c>
      <c r="R107" s="4" t="s">
        <v>208</v>
      </c>
      <c r="S107" s="4" t="s">
        <v>209</v>
      </c>
      <c r="T107" t="str">
        <f t="shared" si="4"/>
        <v>Nikita Kucherov</v>
      </c>
      <c r="U107">
        <f t="shared" si="5"/>
        <v>85</v>
      </c>
      <c r="V107">
        <v>85</v>
      </c>
    </row>
    <row r="108" spans="1:22" ht="45" x14ac:dyDescent="0.25">
      <c r="A108" s="17" t="s">
        <v>825</v>
      </c>
      <c r="B108" s="18">
        <v>78</v>
      </c>
      <c r="C108" s="18">
        <v>15</v>
      </c>
      <c r="D108" s="18">
        <v>22</v>
      </c>
      <c r="E108" s="18">
        <v>37</v>
      </c>
      <c r="F108" s="18">
        <v>-32</v>
      </c>
      <c r="G108" s="18">
        <v>5</v>
      </c>
      <c r="H108" s="18">
        <v>0</v>
      </c>
      <c r="I108" s="18">
        <v>33</v>
      </c>
      <c r="J108" s="18">
        <v>104</v>
      </c>
      <c r="M108" t="s">
        <v>220</v>
      </c>
      <c r="N108" t="s">
        <v>221</v>
      </c>
      <c r="O108" t="str">
        <f t="shared" si="3"/>
        <v>Auston Matthews</v>
      </c>
      <c r="P108" s="18">
        <v>37</v>
      </c>
      <c r="R108" s="3" t="s">
        <v>365</v>
      </c>
      <c r="S108" s="3" t="s">
        <v>366</v>
      </c>
      <c r="T108" t="str">
        <f t="shared" si="4"/>
        <v>Tomas Plekanec</v>
      </c>
      <c r="U108">
        <f t="shared" si="5"/>
        <v>55</v>
      </c>
      <c r="V108">
        <v>55</v>
      </c>
    </row>
    <row r="109" spans="1:22" ht="30" x14ac:dyDescent="0.25">
      <c r="A109" s="19" t="s">
        <v>826</v>
      </c>
      <c r="B109" s="20">
        <v>78</v>
      </c>
      <c r="C109" s="20">
        <v>16</v>
      </c>
      <c r="D109" s="20">
        <v>20</v>
      </c>
      <c r="E109" s="20">
        <v>36</v>
      </c>
      <c r="F109" s="20">
        <v>-33</v>
      </c>
      <c r="G109" s="20">
        <v>4</v>
      </c>
      <c r="H109" s="20">
        <v>0</v>
      </c>
      <c r="I109" s="20">
        <v>39</v>
      </c>
      <c r="J109" s="20">
        <v>102</v>
      </c>
      <c r="M109" t="s">
        <v>1288</v>
      </c>
      <c r="N109" t="s">
        <v>1289</v>
      </c>
      <c r="O109" t="str">
        <f t="shared" si="3"/>
        <v>Mitchell Marner</v>
      </c>
      <c r="P109" s="20">
        <v>36</v>
      </c>
      <c r="R109" s="4" t="s">
        <v>397</v>
      </c>
      <c r="S109" s="4" t="s">
        <v>421</v>
      </c>
      <c r="T109" t="str">
        <f t="shared" si="4"/>
        <v>Sam Bennett</v>
      </c>
      <c r="U109">
        <f t="shared" si="5"/>
        <v>36</v>
      </c>
      <c r="V109">
        <v>36</v>
      </c>
    </row>
    <row r="110" spans="1:22" ht="30" x14ac:dyDescent="0.25">
      <c r="A110" s="17" t="s">
        <v>827</v>
      </c>
      <c r="B110" s="18">
        <v>78</v>
      </c>
      <c r="C110" s="18">
        <v>9</v>
      </c>
      <c r="D110" s="18">
        <v>26</v>
      </c>
      <c r="E110" s="18">
        <v>36</v>
      </c>
      <c r="F110" s="18">
        <v>-21</v>
      </c>
      <c r="G110" s="18">
        <v>4</v>
      </c>
      <c r="H110" s="18">
        <v>0</v>
      </c>
      <c r="I110" s="18">
        <v>66</v>
      </c>
      <c r="J110" s="18">
        <v>101</v>
      </c>
      <c r="M110" t="s">
        <v>1290</v>
      </c>
      <c r="N110" t="s">
        <v>1291</v>
      </c>
      <c r="O110" t="str">
        <f t="shared" si="3"/>
        <v>Joseph Blandisi</v>
      </c>
      <c r="P110" s="18">
        <v>36</v>
      </c>
      <c r="R110" s="3" t="s">
        <v>298</v>
      </c>
      <c r="S110" s="3" t="s">
        <v>299</v>
      </c>
      <c r="T110" t="str">
        <f t="shared" si="4"/>
        <v>Loui Eriksson</v>
      </c>
      <c r="U110">
        <f t="shared" si="5"/>
        <v>56</v>
      </c>
      <c r="V110">
        <v>56</v>
      </c>
    </row>
    <row r="111" spans="1:22" ht="30" x14ac:dyDescent="0.25">
      <c r="A111" s="19" t="s">
        <v>828</v>
      </c>
      <c r="B111" s="20">
        <v>78</v>
      </c>
      <c r="C111" s="20">
        <v>14</v>
      </c>
      <c r="D111" s="20">
        <v>22</v>
      </c>
      <c r="E111" s="20">
        <v>36</v>
      </c>
      <c r="F111" s="20">
        <v>-21</v>
      </c>
      <c r="G111" s="20">
        <v>0</v>
      </c>
      <c r="H111" s="20">
        <v>1</v>
      </c>
      <c r="I111" s="20">
        <v>35</v>
      </c>
      <c r="J111" s="20">
        <v>101</v>
      </c>
      <c r="M111" t="s">
        <v>176</v>
      </c>
      <c r="N111" t="s">
        <v>1292</v>
      </c>
      <c r="O111" t="str">
        <f t="shared" si="3"/>
        <v>Erik Haula</v>
      </c>
      <c r="P111" s="20">
        <v>36</v>
      </c>
      <c r="R111" s="4" t="s">
        <v>222</v>
      </c>
      <c r="S111" s="4" t="s">
        <v>223</v>
      </c>
      <c r="T111" t="str">
        <f t="shared" si="4"/>
        <v>Brent Burns</v>
      </c>
      <c r="U111">
        <f t="shared" si="5"/>
        <v>77</v>
      </c>
      <c r="V111">
        <v>77</v>
      </c>
    </row>
    <row r="112" spans="1:22" ht="45" x14ac:dyDescent="0.25">
      <c r="A112" s="17" t="s">
        <v>829</v>
      </c>
      <c r="B112" s="18">
        <v>78</v>
      </c>
      <c r="C112" s="18">
        <v>11</v>
      </c>
      <c r="D112" s="18">
        <v>20</v>
      </c>
      <c r="E112" s="18">
        <v>32</v>
      </c>
      <c r="F112" s="18">
        <v>-27</v>
      </c>
      <c r="G112" s="18">
        <v>6</v>
      </c>
      <c r="H112" s="18">
        <v>0</v>
      </c>
      <c r="I112" s="18">
        <v>33</v>
      </c>
      <c r="J112" s="18">
        <v>100</v>
      </c>
      <c r="M112" t="s">
        <v>218</v>
      </c>
      <c r="N112" t="s">
        <v>1293</v>
      </c>
      <c r="O112" t="str">
        <f t="shared" si="3"/>
        <v>Jonathan Marchessault</v>
      </c>
      <c r="P112" s="18">
        <v>32</v>
      </c>
      <c r="R112" s="3" t="s">
        <v>218</v>
      </c>
      <c r="S112" s="3" t="s">
        <v>219</v>
      </c>
      <c r="T112" t="str">
        <f t="shared" si="4"/>
        <v>Jonathan Huberdeau</v>
      </c>
      <c r="U112">
        <f t="shared" si="5"/>
        <v>59</v>
      </c>
      <c r="V112">
        <v>59</v>
      </c>
    </row>
    <row r="113" spans="1:22" ht="30" x14ac:dyDescent="0.25">
      <c r="A113" s="19" t="s">
        <v>830</v>
      </c>
      <c r="B113" s="20">
        <v>78</v>
      </c>
      <c r="C113" s="20">
        <v>13</v>
      </c>
      <c r="D113" s="20">
        <v>19</v>
      </c>
      <c r="E113" s="20">
        <v>33</v>
      </c>
      <c r="F113" s="20">
        <v>-23</v>
      </c>
      <c r="G113" s="20">
        <v>4</v>
      </c>
      <c r="H113" s="20">
        <v>0</v>
      </c>
      <c r="I113" s="20">
        <v>25</v>
      </c>
      <c r="J113" s="20">
        <v>100</v>
      </c>
      <c r="M113" t="s">
        <v>166</v>
      </c>
      <c r="N113" t="s">
        <v>1294</v>
      </c>
      <c r="O113" t="str">
        <f t="shared" si="3"/>
        <v>Tyler Graovac</v>
      </c>
      <c r="P113" s="20">
        <v>33</v>
      </c>
      <c r="R113" s="4" t="s">
        <v>351</v>
      </c>
      <c r="S113" s="4" t="s">
        <v>352</v>
      </c>
      <c r="T113" t="str">
        <f t="shared" si="4"/>
        <v>Patric Hornqvist</v>
      </c>
      <c r="U113">
        <f t="shared" si="5"/>
        <v>55</v>
      </c>
      <c r="V113">
        <v>55</v>
      </c>
    </row>
    <row r="114" spans="1:22" ht="30" x14ac:dyDescent="0.25">
      <c r="A114" s="17" t="s">
        <v>831</v>
      </c>
      <c r="B114" s="18">
        <v>78</v>
      </c>
      <c r="C114" s="18">
        <v>14</v>
      </c>
      <c r="D114" s="18">
        <v>21</v>
      </c>
      <c r="E114" s="18">
        <v>35</v>
      </c>
      <c r="F114" s="18">
        <v>-33</v>
      </c>
      <c r="G114" s="18">
        <v>5</v>
      </c>
      <c r="H114" s="18">
        <v>0</v>
      </c>
      <c r="I114" s="18">
        <v>33</v>
      </c>
      <c r="J114" s="18">
        <v>99</v>
      </c>
      <c r="M114" t="s">
        <v>286</v>
      </c>
      <c r="N114" t="s">
        <v>395</v>
      </c>
      <c r="O114" t="str">
        <f t="shared" si="3"/>
        <v>Dylan Strome</v>
      </c>
      <c r="P114" s="18">
        <v>35</v>
      </c>
      <c r="R114" s="3" t="s">
        <v>333</v>
      </c>
      <c r="S114" s="3" t="s">
        <v>334</v>
      </c>
      <c r="T114" t="str">
        <f t="shared" si="4"/>
        <v>Carl Soderberg</v>
      </c>
      <c r="U114">
        <f t="shared" si="5"/>
        <v>51</v>
      </c>
      <c r="V114">
        <v>51</v>
      </c>
    </row>
    <row r="115" spans="1:22" ht="30" x14ac:dyDescent="0.25">
      <c r="A115" s="19" t="s">
        <v>832</v>
      </c>
      <c r="B115" s="20">
        <v>78</v>
      </c>
      <c r="C115" s="20">
        <v>10</v>
      </c>
      <c r="D115" s="20">
        <v>7</v>
      </c>
      <c r="E115" s="20">
        <v>18</v>
      </c>
      <c r="F115" s="20">
        <v>1</v>
      </c>
      <c r="G115" s="20">
        <v>0</v>
      </c>
      <c r="H115" s="20">
        <v>1</v>
      </c>
      <c r="I115" s="20">
        <v>23</v>
      </c>
      <c r="J115" s="20">
        <v>98</v>
      </c>
      <c r="M115" t="s">
        <v>1295</v>
      </c>
      <c r="N115" t="s">
        <v>1296</v>
      </c>
      <c r="O115" t="str">
        <f t="shared" si="3"/>
        <v>Trevor Lewis</v>
      </c>
      <c r="P115" s="20">
        <v>18</v>
      </c>
      <c r="R115" s="4" t="s">
        <v>349</v>
      </c>
      <c r="S115" s="4" t="s">
        <v>350</v>
      </c>
      <c r="T115" t="str">
        <f t="shared" si="4"/>
        <v>Drew Doughty</v>
      </c>
      <c r="U115">
        <f t="shared" si="5"/>
        <v>49</v>
      </c>
      <c r="V115">
        <v>49</v>
      </c>
    </row>
    <row r="116" spans="1:22" ht="30" x14ac:dyDescent="0.25">
      <c r="A116" s="17" t="s">
        <v>833</v>
      </c>
      <c r="B116" s="18">
        <v>78</v>
      </c>
      <c r="C116" s="18">
        <v>12</v>
      </c>
      <c r="D116" s="18">
        <v>12</v>
      </c>
      <c r="E116" s="18">
        <v>25</v>
      </c>
      <c r="F116" s="18">
        <v>-6</v>
      </c>
      <c r="G116" s="18">
        <v>0</v>
      </c>
      <c r="H116" s="18">
        <v>0</v>
      </c>
      <c r="I116" s="18">
        <v>63</v>
      </c>
      <c r="J116" s="18">
        <v>95</v>
      </c>
      <c r="M116" t="s">
        <v>170</v>
      </c>
      <c r="N116" t="s">
        <v>1288</v>
      </c>
      <c r="O116" t="str">
        <f t="shared" si="3"/>
        <v>John Mitchell</v>
      </c>
      <c r="P116" s="18">
        <v>25</v>
      </c>
      <c r="R116" s="3" t="s">
        <v>248</v>
      </c>
      <c r="S116" s="3" t="s">
        <v>249</v>
      </c>
      <c r="T116" t="str">
        <f t="shared" si="4"/>
        <v>Phil Kessel</v>
      </c>
      <c r="U116">
        <f t="shared" si="5"/>
        <v>68</v>
      </c>
      <c r="V116">
        <v>68</v>
      </c>
    </row>
    <row r="117" spans="1:22" ht="30" x14ac:dyDescent="0.25">
      <c r="A117" s="19" t="s">
        <v>834</v>
      </c>
      <c r="B117" s="20">
        <v>78</v>
      </c>
      <c r="C117" s="20">
        <v>13</v>
      </c>
      <c r="D117" s="20">
        <v>12</v>
      </c>
      <c r="E117" s="20">
        <v>26</v>
      </c>
      <c r="F117" s="20">
        <v>-7</v>
      </c>
      <c r="G117" s="20">
        <v>2</v>
      </c>
      <c r="H117" s="20">
        <v>0</v>
      </c>
      <c r="I117" s="20">
        <v>14</v>
      </c>
      <c r="J117" s="20">
        <v>93</v>
      </c>
      <c r="M117" t="s">
        <v>1246</v>
      </c>
      <c r="N117" t="s">
        <v>1297</v>
      </c>
      <c r="O117" t="str">
        <f t="shared" si="3"/>
        <v>Riley Sheahan</v>
      </c>
      <c r="P117" s="20">
        <v>26</v>
      </c>
      <c r="R117" s="4" t="s">
        <v>188</v>
      </c>
      <c r="S117" s="4" t="s">
        <v>389</v>
      </c>
      <c r="T117" t="str">
        <f t="shared" si="4"/>
        <v>Ryan Suter</v>
      </c>
      <c r="U117">
        <f t="shared" si="5"/>
        <v>47</v>
      </c>
      <c r="V117">
        <v>47</v>
      </c>
    </row>
    <row r="118" spans="1:22" ht="45" x14ac:dyDescent="0.25">
      <c r="A118" s="17" t="s">
        <v>835</v>
      </c>
      <c r="B118" s="18">
        <v>78</v>
      </c>
      <c r="C118" s="18">
        <v>8</v>
      </c>
      <c r="D118" s="18">
        <v>15</v>
      </c>
      <c r="E118" s="18">
        <v>24</v>
      </c>
      <c r="F118" s="18">
        <v>2</v>
      </c>
      <c r="G118" s="18">
        <v>0</v>
      </c>
      <c r="H118" s="18">
        <v>0</v>
      </c>
      <c r="I118" s="18">
        <v>38</v>
      </c>
      <c r="J118" s="18">
        <v>91</v>
      </c>
      <c r="M118" t="s">
        <v>392</v>
      </c>
      <c r="N118" t="s">
        <v>1298</v>
      </c>
      <c r="O118" t="str">
        <f t="shared" si="3"/>
        <v>Scott Laughton</v>
      </c>
      <c r="P118" s="18">
        <v>24</v>
      </c>
      <c r="R118" s="3" t="s">
        <v>303</v>
      </c>
      <c r="S118" s="3" t="s">
        <v>406</v>
      </c>
      <c r="T118" t="str">
        <f t="shared" si="4"/>
        <v>Brandon Dubinsky</v>
      </c>
      <c r="U118">
        <f t="shared" si="5"/>
        <v>52</v>
      </c>
      <c r="V118">
        <v>52</v>
      </c>
    </row>
    <row r="119" spans="1:22" ht="30" x14ac:dyDescent="0.25">
      <c r="A119" s="19" t="s">
        <v>836</v>
      </c>
      <c r="B119" s="20">
        <v>78</v>
      </c>
      <c r="C119" s="20">
        <v>9</v>
      </c>
      <c r="D119" s="20">
        <v>12</v>
      </c>
      <c r="E119" s="20">
        <v>22</v>
      </c>
      <c r="F119" s="20">
        <v>8</v>
      </c>
      <c r="G119" s="20">
        <v>0</v>
      </c>
      <c r="H119" s="20">
        <v>0</v>
      </c>
      <c r="I119" s="20">
        <v>22</v>
      </c>
      <c r="J119" s="20">
        <v>90</v>
      </c>
      <c r="M119" t="s">
        <v>419</v>
      </c>
      <c r="N119" t="s">
        <v>1299</v>
      </c>
      <c r="O119" t="str">
        <f t="shared" si="3"/>
        <v>Chris Tierney</v>
      </c>
      <c r="P119" s="20">
        <v>22</v>
      </c>
      <c r="R119" s="4" t="s">
        <v>243</v>
      </c>
      <c r="S119" s="4" t="s">
        <v>444</v>
      </c>
      <c r="T119" t="str">
        <f t="shared" si="4"/>
        <v>Jason Pominville</v>
      </c>
      <c r="U119">
        <f t="shared" si="5"/>
        <v>42</v>
      </c>
      <c r="V119">
        <v>42</v>
      </c>
    </row>
    <row r="120" spans="1:22" ht="45" x14ac:dyDescent="0.25">
      <c r="A120" s="17" t="s">
        <v>837</v>
      </c>
      <c r="B120" s="18">
        <v>78</v>
      </c>
      <c r="C120" s="18">
        <v>7</v>
      </c>
      <c r="D120" s="18">
        <v>23</v>
      </c>
      <c r="E120" s="18">
        <v>30</v>
      </c>
      <c r="F120" s="18">
        <v>-1</v>
      </c>
      <c r="G120" s="18">
        <v>2</v>
      </c>
      <c r="H120" s="18">
        <v>0</v>
      </c>
      <c r="I120" s="18">
        <v>9</v>
      </c>
      <c r="J120" s="18">
        <v>90</v>
      </c>
      <c r="M120" t="s">
        <v>1300</v>
      </c>
      <c r="N120" t="s">
        <v>1301</v>
      </c>
      <c r="O120" t="str">
        <f t="shared" si="3"/>
        <v>Mikhail Grigorenko</v>
      </c>
      <c r="P120" s="18">
        <v>30</v>
      </c>
      <c r="R120" s="3" t="s">
        <v>252</v>
      </c>
      <c r="S120" s="3" t="s">
        <v>364</v>
      </c>
      <c r="T120" t="str">
        <f t="shared" si="4"/>
        <v>Henrik Zetterberg</v>
      </c>
      <c r="U120">
        <f t="shared" si="5"/>
        <v>51</v>
      </c>
      <c r="V120">
        <v>51</v>
      </c>
    </row>
    <row r="121" spans="1:22" ht="45" x14ac:dyDescent="0.25">
      <c r="A121" s="19" t="s">
        <v>838</v>
      </c>
      <c r="B121" s="20">
        <v>78</v>
      </c>
      <c r="C121" s="20">
        <v>10</v>
      </c>
      <c r="D121" s="20">
        <v>19</v>
      </c>
      <c r="E121" s="20">
        <v>30</v>
      </c>
      <c r="F121" s="20">
        <v>-13</v>
      </c>
      <c r="G121" s="20">
        <v>0</v>
      </c>
      <c r="H121" s="20">
        <v>0</v>
      </c>
      <c r="I121" s="20">
        <v>38</v>
      </c>
      <c r="J121" s="20">
        <v>89</v>
      </c>
      <c r="M121" t="s">
        <v>307</v>
      </c>
      <c r="N121" t="s">
        <v>1302</v>
      </c>
      <c r="O121" t="str">
        <f t="shared" si="3"/>
        <v>Brad Richardson</v>
      </c>
      <c r="P121" s="20">
        <v>30</v>
      </c>
      <c r="R121" s="4" t="s">
        <v>290</v>
      </c>
      <c r="S121" s="4" t="s">
        <v>435</v>
      </c>
      <c r="T121" t="str">
        <f t="shared" si="4"/>
        <v>Mike Ribeiro</v>
      </c>
      <c r="U121">
        <f t="shared" si="5"/>
        <v>50</v>
      </c>
      <c r="V121">
        <v>50</v>
      </c>
    </row>
    <row r="122" spans="1:22" ht="45" x14ac:dyDescent="0.25">
      <c r="A122" s="17" t="s">
        <v>839</v>
      </c>
      <c r="B122" s="18">
        <v>78</v>
      </c>
      <c r="C122" s="18">
        <v>8</v>
      </c>
      <c r="D122" s="18">
        <v>9</v>
      </c>
      <c r="E122" s="18">
        <v>17</v>
      </c>
      <c r="F122" s="18">
        <v>27</v>
      </c>
      <c r="G122" s="18">
        <v>0</v>
      </c>
      <c r="H122" s="18">
        <v>0</v>
      </c>
      <c r="I122" s="18">
        <v>9</v>
      </c>
      <c r="J122" s="18">
        <v>89</v>
      </c>
      <c r="M122" t="s">
        <v>1303</v>
      </c>
      <c r="N122" t="s">
        <v>1304</v>
      </c>
      <c r="O122" t="str">
        <f t="shared" si="3"/>
        <v>Dennis Rasmussen</v>
      </c>
      <c r="P122" s="18">
        <v>17</v>
      </c>
      <c r="R122" s="3" t="s">
        <v>186</v>
      </c>
      <c r="S122" s="3" t="s">
        <v>187</v>
      </c>
      <c r="T122" t="str">
        <f t="shared" si="4"/>
        <v>Steven Stamkos</v>
      </c>
      <c r="U122">
        <f t="shared" si="5"/>
        <v>78</v>
      </c>
      <c r="V122">
        <v>78</v>
      </c>
    </row>
    <row r="123" spans="1:22" ht="30" x14ac:dyDescent="0.25">
      <c r="A123" s="19" t="s">
        <v>840</v>
      </c>
      <c r="B123" s="20">
        <v>78</v>
      </c>
      <c r="C123" s="20">
        <v>7</v>
      </c>
      <c r="D123" s="20">
        <v>7</v>
      </c>
      <c r="E123" s="20">
        <v>14</v>
      </c>
      <c r="F123" s="20">
        <v>16</v>
      </c>
      <c r="G123" s="20">
        <v>0</v>
      </c>
      <c r="H123" s="20">
        <v>0</v>
      </c>
      <c r="I123" s="20">
        <v>77</v>
      </c>
      <c r="J123" s="20">
        <v>88</v>
      </c>
      <c r="M123" t="s">
        <v>1305</v>
      </c>
      <c r="N123" t="s">
        <v>1306</v>
      </c>
      <c r="O123" t="str">
        <f t="shared" si="3"/>
        <v>Cedric Paquette</v>
      </c>
      <c r="P123" s="20">
        <v>14</v>
      </c>
      <c r="R123" s="4" t="s">
        <v>216</v>
      </c>
      <c r="S123" s="4" t="s">
        <v>217</v>
      </c>
      <c r="T123" t="str">
        <f t="shared" si="4"/>
        <v>Max Pacioretty</v>
      </c>
      <c r="U123">
        <f t="shared" si="5"/>
        <v>66</v>
      </c>
      <c r="V123">
        <v>66</v>
      </c>
    </row>
    <row r="124" spans="1:22" ht="45" x14ac:dyDescent="0.25">
      <c r="A124" s="17" t="s">
        <v>841</v>
      </c>
      <c r="B124" s="18">
        <v>78</v>
      </c>
      <c r="C124" s="18">
        <v>8</v>
      </c>
      <c r="D124" s="18">
        <v>5</v>
      </c>
      <c r="E124" s="18">
        <v>14</v>
      </c>
      <c r="F124" s="18">
        <v>22</v>
      </c>
      <c r="G124" s="18">
        <v>0</v>
      </c>
      <c r="H124" s="18">
        <v>0</v>
      </c>
      <c r="I124" s="18">
        <v>32</v>
      </c>
      <c r="J124" s="18">
        <v>88</v>
      </c>
      <c r="M124" t="s">
        <v>310</v>
      </c>
      <c r="N124" t="s">
        <v>1307</v>
      </c>
      <c r="O124" t="str">
        <f t="shared" si="3"/>
        <v>Andrew Desjardins</v>
      </c>
      <c r="P124" s="18">
        <v>14</v>
      </c>
      <c r="R124" s="3" t="s">
        <v>184</v>
      </c>
      <c r="S124" s="3" t="s">
        <v>185</v>
      </c>
      <c r="T124" t="str">
        <f t="shared" si="4"/>
        <v>Claude Giroux</v>
      </c>
      <c r="U124">
        <f t="shared" si="5"/>
        <v>73</v>
      </c>
      <c r="V124">
        <v>73</v>
      </c>
    </row>
    <row r="125" spans="1:22" ht="30" x14ac:dyDescent="0.25">
      <c r="A125" s="19" t="s">
        <v>842</v>
      </c>
      <c r="B125" s="20">
        <v>78</v>
      </c>
      <c r="C125" s="20">
        <v>8</v>
      </c>
      <c r="D125" s="20">
        <v>3</v>
      </c>
      <c r="E125" s="20">
        <v>12</v>
      </c>
      <c r="F125" s="20">
        <v>29</v>
      </c>
      <c r="G125" s="20">
        <v>0</v>
      </c>
      <c r="H125" s="20">
        <v>0</v>
      </c>
      <c r="I125" s="20">
        <v>30</v>
      </c>
      <c r="J125" s="20">
        <v>82</v>
      </c>
      <c r="M125" t="s">
        <v>1308</v>
      </c>
      <c r="N125" t="s">
        <v>1309</v>
      </c>
      <c r="O125" t="str">
        <f t="shared" si="3"/>
        <v>Colton Sissons</v>
      </c>
      <c r="P125" s="20">
        <v>12</v>
      </c>
      <c r="R125" s="4" t="s">
        <v>245</v>
      </c>
      <c r="S125" s="4" t="s">
        <v>246</v>
      </c>
      <c r="T125" t="str">
        <f t="shared" si="4"/>
        <v>Matt Duchene</v>
      </c>
      <c r="U125">
        <f t="shared" si="5"/>
        <v>64</v>
      </c>
      <c r="V125">
        <v>64</v>
      </c>
    </row>
    <row r="126" spans="1:22" ht="30" x14ac:dyDescent="0.25">
      <c r="A126" s="17" t="s">
        <v>843</v>
      </c>
      <c r="B126" s="18">
        <v>78</v>
      </c>
      <c r="C126" s="18">
        <v>11</v>
      </c>
      <c r="D126" s="18">
        <v>13</v>
      </c>
      <c r="E126" s="18">
        <v>25</v>
      </c>
      <c r="F126" s="18">
        <v>-23</v>
      </c>
      <c r="G126" s="18">
        <v>1</v>
      </c>
      <c r="H126" s="18">
        <v>0</v>
      </c>
      <c r="I126" s="18">
        <v>43</v>
      </c>
      <c r="J126" s="18">
        <v>81</v>
      </c>
      <c r="M126" t="s">
        <v>397</v>
      </c>
      <c r="N126" t="s">
        <v>1310</v>
      </c>
      <c r="O126" t="str">
        <f t="shared" si="3"/>
        <v>Sam Gagner</v>
      </c>
      <c r="P126" s="18">
        <v>25</v>
      </c>
      <c r="R126" s="3" t="s">
        <v>307</v>
      </c>
      <c r="S126" s="3" t="s">
        <v>308</v>
      </c>
      <c r="T126" t="str">
        <f t="shared" si="4"/>
        <v>Brad Marchand</v>
      </c>
      <c r="U126">
        <f t="shared" si="5"/>
        <v>67</v>
      </c>
      <c r="V126">
        <v>67</v>
      </c>
    </row>
    <row r="127" spans="1:22" ht="45" x14ac:dyDescent="0.25">
      <c r="A127" s="19" t="s">
        <v>844</v>
      </c>
      <c r="B127" s="20">
        <v>78</v>
      </c>
      <c r="C127" s="20">
        <v>8</v>
      </c>
      <c r="D127" s="20">
        <v>12</v>
      </c>
      <c r="E127" s="20">
        <v>21</v>
      </c>
      <c r="F127" s="20">
        <v>-3</v>
      </c>
      <c r="G127" s="20">
        <v>0</v>
      </c>
      <c r="H127" s="20">
        <v>0</v>
      </c>
      <c r="I127" s="20">
        <v>41</v>
      </c>
      <c r="J127" s="20">
        <v>75</v>
      </c>
      <c r="M127" t="s">
        <v>1311</v>
      </c>
      <c r="N127" t="s">
        <v>1312</v>
      </c>
      <c r="O127" t="str">
        <f t="shared" si="3"/>
        <v>Luke Glendening</v>
      </c>
      <c r="P127" s="20">
        <v>21</v>
      </c>
      <c r="R127" s="4" t="s">
        <v>170</v>
      </c>
      <c r="S127" s="4" t="s">
        <v>279</v>
      </c>
      <c r="T127" t="str">
        <f t="shared" si="4"/>
        <v>John Klingberg</v>
      </c>
      <c r="U127">
        <f t="shared" si="5"/>
        <v>57</v>
      </c>
      <c r="V127">
        <v>57</v>
      </c>
    </row>
    <row r="128" spans="1:22" ht="30" x14ac:dyDescent="0.25">
      <c r="A128" s="17" t="s">
        <v>845</v>
      </c>
      <c r="B128" s="18">
        <v>78</v>
      </c>
      <c r="C128" s="18">
        <v>11</v>
      </c>
      <c r="D128" s="18">
        <v>2</v>
      </c>
      <c r="E128" s="18">
        <v>14</v>
      </c>
      <c r="F128" s="18">
        <v>0</v>
      </c>
      <c r="G128" s="18">
        <v>0</v>
      </c>
      <c r="H128" s="18">
        <v>0</v>
      </c>
      <c r="I128" s="18">
        <v>83</v>
      </c>
      <c r="J128" s="18">
        <v>75</v>
      </c>
      <c r="M128" t="s">
        <v>1313</v>
      </c>
      <c r="N128" t="s">
        <v>1314</v>
      </c>
      <c r="O128" t="str">
        <f t="shared" si="3"/>
        <v>Andy Andreoff</v>
      </c>
      <c r="P128" s="18">
        <v>14</v>
      </c>
      <c r="R128" s="3" t="s">
        <v>300</v>
      </c>
      <c r="S128" s="3" t="s">
        <v>301</v>
      </c>
      <c r="T128" t="str">
        <f t="shared" si="4"/>
        <v>Dustin Byfuglien</v>
      </c>
      <c r="U128">
        <f t="shared" si="5"/>
        <v>56</v>
      </c>
      <c r="V128">
        <v>56</v>
      </c>
    </row>
    <row r="129" spans="1:22" ht="30" x14ac:dyDescent="0.25">
      <c r="A129" s="19" t="s">
        <v>846</v>
      </c>
      <c r="B129" s="20">
        <v>78</v>
      </c>
      <c r="C129" s="20">
        <v>0</v>
      </c>
      <c r="D129" s="20">
        <v>8</v>
      </c>
      <c r="E129" s="20">
        <v>8</v>
      </c>
      <c r="F129" s="20">
        <v>18</v>
      </c>
      <c r="G129" s="20">
        <v>0</v>
      </c>
      <c r="H129" s="20">
        <v>0</v>
      </c>
      <c r="I129" s="20">
        <v>41</v>
      </c>
      <c r="J129" s="20">
        <v>69</v>
      </c>
      <c r="M129" t="s">
        <v>335</v>
      </c>
      <c r="N129" t="s">
        <v>1315</v>
      </c>
      <c r="O129" t="str">
        <f t="shared" si="3"/>
        <v>Marcus Kruger</v>
      </c>
      <c r="P129" s="20">
        <v>8</v>
      </c>
      <c r="R129" s="4" t="s">
        <v>174</v>
      </c>
      <c r="S129" s="4" t="s">
        <v>175</v>
      </c>
      <c r="T129" t="str">
        <f t="shared" si="4"/>
        <v>Alexander Ovechkin</v>
      </c>
      <c r="U129" t="e">
        <f t="shared" si="5"/>
        <v>#N/A</v>
      </c>
      <c r="V129" t="e">
        <v>#N/A</v>
      </c>
    </row>
    <row r="130" spans="1:22" ht="45" x14ac:dyDescent="0.25">
      <c r="A130" s="17" t="s">
        <v>847</v>
      </c>
      <c r="B130" s="18">
        <v>78</v>
      </c>
      <c r="C130" s="18">
        <v>11</v>
      </c>
      <c r="D130" s="18">
        <v>16</v>
      </c>
      <c r="E130" s="18">
        <v>28</v>
      </c>
      <c r="F130" s="18">
        <v>-25</v>
      </c>
      <c r="G130" s="18">
        <v>0</v>
      </c>
      <c r="H130" s="18">
        <v>0</v>
      </c>
      <c r="I130" s="18">
        <v>16</v>
      </c>
      <c r="J130" s="18">
        <v>68</v>
      </c>
      <c r="M130" t="s">
        <v>1316</v>
      </c>
      <c r="N130" t="s">
        <v>1317</v>
      </c>
      <c r="O130" t="str">
        <f t="shared" ref="O130:O193" si="6">M130&amp;" "&amp;N130</f>
        <v>Joakim Nordstrom</v>
      </c>
      <c r="P130" s="18">
        <v>28</v>
      </c>
      <c r="R130" s="3" t="s">
        <v>321</v>
      </c>
      <c r="S130" s="3" t="s">
        <v>322</v>
      </c>
      <c r="T130" t="str">
        <f t="shared" ref="T130:T175" si="7">R130&amp;" "&amp;S130</f>
        <v>Jaromir Jagr</v>
      </c>
      <c r="U130">
        <f t="shared" ref="U130:U175" si="8">VLOOKUP(T130,$O$1:$P$511,2,0)</f>
        <v>60</v>
      </c>
      <c r="V130">
        <v>60</v>
      </c>
    </row>
    <row r="131" spans="1:22" ht="45" x14ac:dyDescent="0.25">
      <c r="A131" s="19" t="s">
        <v>848</v>
      </c>
      <c r="B131" s="20">
        <v>78</v>
      </c>
      <c r="C131" s="20">
        <v>6</v>
      </c>
      <c r="D131" s="20">
        <v>9</v>
      </c>
      <c r="E131" s="20">
        <v>15</v>
      </c>
      <c r="F131" s="20">
        <v>0</v>
      </c>
      <c r="G131" s="20">
        <v>0</v>
      </c>
      <c r="H131" s="20">
        <v>0</v>
      </c>
      <c r="I131" s="20">
        <v>26</v>
      </c>
      <c r="J131" s="20">
        <v>67</v>
      </c>
      <c r="M131" t="s">
        <v>1318</v>
      </c>
      <c r="N131" t="s">
        <v>1319</v>
      </c>
      <c r="O131" t="str">
        <f t="shared" si="6"/>
        <v>Phillip Danault</v>
      </c>
      <c r="P131" s="20">
        <v>15</v>
      </c>
      <c r="R131" s="4" t="s">
        <v>174</v>
      </c>
      <c r="S131" s="4" t="s">
        <v>276</v>
      </c>
      <c r="T131" t="str">
        <f t="shared" si="7"/>
        <v>Alexander Steen</v>
      </c>
      <c r="U131">
        <f t="shared" si="8"/>
        <v>62</v>
      </c>
      <c r="V131">
        <v>62</v>
      </c>
    </row>
    <row r="132" spans="1:22" ht="30" x14ac:dyDescent="0.25">
      <c r="A132" s="17" t="s">
        <v>849</v>
      </c>
      <c r="B132" s="18">
        <v>78</v>
      </c>
      <c r="C132" s="18">
        <v>12</v>
      </c>
      <c r="D132" s="18">
        <v>12</v>
      </c>
      <c r="E132" s="18">
        <v>25</v>
      </c>
      <c r="F132" s="18">
        <v>-33</v>
      </c>
      <c r="G132" s="18">
        <v>3</v>
      </c>
      <c r="H132" s="18">
        <v>0</v>
      </c>
      <c r="I132" s="18">
        <v>31</v>
      </c>
      <c r="J132" s="18">
        <v>66</v>
      </c>
      <c r="M132" t="s">
        <v>1320</v>
      </c>
      <c r="N132" t="s">
        <v>1321</v>
      </c>
      <c r="O132" t="str">
        <f t="shared" si="6"/>
        <v>Laurent Dauphin</v>
      </c>
      <c r="P132" s="18">
        <v>25</v>
      </c>
      <c r="R132" s="3" t="s">
        <v>415</v>
      </c>
      <c r="S132" s="3" t="s">
        <v>416</v>
      </c>
      <c r="T132" t="str">
        <f t="shared" si="7"/>
        <v>Robby Fabbri</v>
      </c>
      <c r="U132">
        <f t="shared" si="8"/>
        <v>50</v>
      </c>
      <c r="V132">
        <v>50</v>
      </c>
    </row>
    <row r="133" spans="1:22" ht="30" x14ac:dyDescent="0.25">
      <c r="A133" s="19" t="s">
        <v>850</v>
      </c>
      <c r="B133" s="20">
        <v>78</v>
      </c>
      <c r="C133" s="20">
        <v>10</v>
      </c>
      <c r="D133" s="20">
        <v>14</v>
      </c>
      <c r="E133" s="20">
        <v>25</v>
      </c>
      <c r="F133" s="20">
        <v>-32</v>
      </c>
      <c r="G133" s="20">
        <v>6</v>
      </c>
      <c r="H133" s="20">
        <v>1</v>
      </c>
      <c r="I133" s="20">
        <v>10</v>
      </c>
      <c r="J133" s="20">
        <v>65</v>
      </c>
      <c r="M133" t="s">
        <v>196</v>
      </c>
      <c r="N133" t="s">
        <v>1322</v>
      </c>
      <c r="O133" t="str">
        <f t="shared" si="6"/>
        <v>Mark Letestu</v>
      </c>
      <c r="P133" s="20">
        <v>25</v>
      </c>
      <c r="R133" s="4" t="s">
        <v>341</v>
      </c>
      <c r="S133" s="4" t="s">
        <v>342</v>
      </c>
      <c r="T133" t="str">
        <f t="shared" si="7"/>
        <v>Paul Stastny</v>
      </c>
      <c r="U133">
        <f t="shared" si="8"/>
        <v>60</v>
      </c>
      <c r="V133">
        <v>60</v>
      </c>
    </row>
    <row r="134" spans="1:22" ht="30" x14ac:dyDescent="0.25">
      <c r="A134" s="17" t="s">
        <v>851</v>
      </c>
      <c r="B134" s="18">
        <v>78</v>
      </c>
      <c r="C134" s="18">
        <v>1</v>
      </c>
      <c r="D134" s="18">
        <v>13</v>
      </c>
      <c r="E134" s="18">
        <v>14</v>
      </c>
      <c r="F134" s="18">
        <v>8</v>
      </c>
      <c r="G134" s="18">
        <v>0</v>
      </c>
      <c r="H134" s="18">
        <v>0</v>
      </c>
      <c r="I134" s="18">
        <v>42</v>
      </c>
      <c r="J134" s="18">
        <v>62</v>
      </c>
      <c r="M134" t="s">
        <v>1323</v>
      </c>
      <c r="N134" t="s">
        <v>1324</v>
      </c>
      <c r="O134" t="str">
        <f t="shared" si="6"/>
        <v>Stephen Gionta</v>
      </c>
      <c r="P134" s="18">
        <v>14</v>
      </c>
      <c r="R134" s="3" t="s">
        <v>218</v>
      </c>
      <c r="S134" s="3" t="s">
        <v>242</v>
      </c>
      <c r="T134" t="str">
        <f t="shared" si="7"/>
        <v>Jonathan Toews</v>
      </c>
      <c r="U134">
        <f t="shared" si="8"/>
        <v>64</v>
      </c>
      <c r="V134">
        <v>64</v>
      </c>
    </row>
    <row r="135" spans="1:22" ht="30" x14ac:dyDescent="0.25">
      <c r="A135" s="19" t="s">
        <v>852</v>
      </c>
      <c r="B135" s="20">
        <v>78</v>
      </c>
      <c r="C135" s="20">
        <v>3</v>
      </c>
      <c r="D135" s="20">
        <v>8</v>
      </c>
      <c r="E135" s="20">
        <v>12</v>
      </c>
      <c r="F135" s="20">
        <v>-3</v>
      </c>
      <c r="G135" s="20">
        <v>1</v>
      </c>
      <c r="H135" s="20">
        <v>0</v>
      </c>
      <c r="I135" s="20">
        <v>39</v>
      </c>
      <c r="J135" s="20">
        <v>62</v>
      </c>
      <c r="M135" t="s">
        <v>431</v>
      </c>
      <c r="N135" t="s">
        <v>1325</v>
      </c>
      <c r="O135" t="str">
        <f t="shared" si="6"/>
        <v>Nick Shore</v>
      </c>
      <c r="P135" s="20">
        <v>12</v>
      </c>
      <c r="R135" s="4" t="s">
        <v>216</v>
      </c>
      <c r="S135" s="4" t="s">
        <v>259</v>
      </c>
      <c r="T135" t="str">
        <f t="shared" si="7"/>
        <v>Max Domi</v>
      </c>
      <c r="U135">
        <f t="shared" si="8"/>
        <v>51</v>
      </c>
      <c r="V135">
        <v>51</v>
      </c>
    </row>
    <row r="136" spans="1:22" ht="30" x14ac:dyDescent="0.25">
      <c r="A136" s="17" t="s">
        <v>853</v>
      </c>
      <c r="B136" s="18">
        <v>78</v>
      </c>
      <c r="C136" s="18">
        <v>6</v>
      </c>
      <c r="D136" s="18">
        <v>8</v>
      </c>
      <c r="E136" s="18">
        <v>14</v>
      </c>
      <c r="F136" s="18">
        <v>-2</v>
      </c>
      <c r="G136" s="18">
        <v>0</v>
      </c>
      <c r="H136" s="18">
        <v>1</v>
      </c>
      <c r="I136" s="18">
        <v>10</v>
      </c>
      <c r="J136" s="18">
        <v>60</v>
      </c>
      <c r="M136" t="s">
        <v>1262</v>
      </c>
      <c r="N136" t="s">
        <v>1326</v>
      </c>
      <c r="O136" t="str">
        <f t="shared" si="6"/>
        <v>Brian Flynn</v>
      </c>
      <c r="P136" s="18">
        <v>14</v>
      </c>
      <c r="R136" s="3" t="s">
        <v>168</v>
      </c>
      <c r="S136" s="3" t="s">
        <v>200</v>
      </c>
      <c r="T136" t="str">
        <f t="shared" si="7"/>
        <v>Joe Thornton</v>
      </c>
      <c r="U136">
        <f t="shared" si="8"/>
        <v>77</v>
      </c>
      <c r="V136">
        <v>77</v>
      </c>
    </row>
    <row r="137" spans="1:22" ht="30" x14ac:dyDescent="0.25">
      <c r="A137" s="19" t="s">
        <v>854</v>
      </c>
      <c r="B137" s="20">
        <v>78</v>
      </c>
      <c r="C137" s="20">
        <v>11</v>
      </c>
      <c r="D137" s="20">
        <v>10</v>
      </c>
      <c r="E137" s="20">
        <v>22</v>
      </c>
      <c r="F137" s="20">
        <v>-34</v>
      </c>
      <c r="G137" s="20">
        <v>1</v>
      </c>
      <c r="H137" s="20">
        <v>0</v>
      </c>
      <c r="I137" s="20">
        <v>33</v>
      </c>
      <c r="J137" s="20">
        <v>59</v>
      </c>
      <c r="M137" t="s">
        <v>1327</v>
      </c>
      <c r="N137" t="s">
        <v>1328</v>
      </c>
      <c r="O137" t="str">
        <f t="shared" si="6"/>
        <v>Marko Dano</v>
      </c>
      <c r="P137" s="20">
        <v>22</v>
      </c>
      <c r="R137" s="4" t="s">
        <v>449</v>
      </c>
      <c r="S137" s="4" t="s">
        <v>450</v>
      </c>
      <c r="T137" t="str">
        <f t="shared" si="7"/>
        <v>Jarome Iginla</v>
      </c>
      <c r="U137">
        <f t="shared" si="8"/>
        <v>47</v>
      </c>
      <c r="V137">
        <v>47</v>
      </c>
    </row>
    <row r="138" spans="1:22" ht="30" x14ac:dyDescent="0.25">
      <c r="A138" s="17" t="s">
        <v>855</v>
      </c>
      <c r="B138" s="18">
        <v>78</v>
      </c>
      <c r="C138" s="18">
        <v>8</v>
      </c>
      <c r="D138" s="18">
        <v>3</v>
      </c>
      <c r="E138" s="18">
        <v>11</v>
      </c>
      <c r="F138" s="18">
        <v>5</v>
      </c>
      <c r="G138" s="18">
        <v>0</v>
      </c>
      <c r="H138" s="18">
        <v>1</v>
      </c>
      <c r="I138" s="18">
        <v>36</v>
      </c>
      <c r="J138" s="18">
        <v>58</v>
      </c>
      <c r="M138" t="s">
        <v>254</v>
      </c>
      <c r="N138" t="s">
        <v>1329</v>
      </c>
      <c r="O138" t="str">
        <f t="shared" si="6"/>
        <v>Kyle Brodziak</v>
      </c>
      <c r="P138" s="18">
        <v>11</v>
      </c>
      <c r="R138" s="3" t="s">
        <v>374</v>
      </c>
      <c r="S138" s="3" t="s">
        <v>375</v>
      </c>
      <c r="T138" t="str">
        <f t="shared" si="7"/>
        <v>Justin Faulk</v>
      </c>
      <c r="U138">
        <f t="shared" si="8"/>
        <v>48</v>
      </c>
      <c r="V138">
        <v>48</v>
      </c>
    </row>
    <row r="139" spans="1:22" ht="30" x14ac:dyDescent="0.25">
      <c r="A139" s="19" t="s">
        <v>856</v>
      </c>
      <c r="B139" s="20">
        <v>78</v>
      </c>
      <c r="C139" s="20">
        <v>6</v>
      </c>
      <c r="D139" s="20">
        <v>14</v>
      </c>
      <c r="E139" s="20">
        <v>20</v>
      </c>
      <c r="F139" s="20">
        <v>-34</v>
      </c>
      <c r="G139" s="20">
        <v>5</v>
      </c>
      <c r="H139" s="20">
        <v>0</v>
      </c>
      <c r="I139" s="20">
        <v>27</v>
      </c>
      <c r="J139" s="20">
        <v>56</v>
      </c>
      <c r="M139" t="s">
        <v>1330</v>
      </c>
      <c r="N139" t="s">
        <v>1331</v>
      </c>
      <c r="O139" t="str">
        <f t="shared" si="6"/>
        <v>Jacob Josefson</v>
      </c>
      <c r="P139" s="20">
        <v>20</v>
      </c>
      <c r="R139" s="4" t="s">
        <v>188</v>
      </c>
      <c r="S139" s="4" t="s">
        <v>388</v>
      </c>
      <c r="T139" t="str">
        <f t="shared" si="7"/>
        <v>Ryan Spooner</v>
      </c>
      <c r="U139">
        <f t="shared" si="8"/>
        <v>52</v>
      </c>
      <c r="V139">
        <v>52</v>
      </c>
    </row>
    <row r="140" spans="1:22" ht="45" x14ac:dyDescent="0.25">
      <c r="A140" s="17" t="s">
        <v>857</v>
      </c>
      <c r="B140" s="18">
        <v>78</v>
      </c>
      <c r="C140" s="18">
        <v>10</v>
      </c>
      <c r="D140" s="18">
        <v>18</v>
      </c>
      <c r="E140" s="18">
        <v>29</v>
      </c>
      <c r="F140" s="18">
        <v>-54</v>
      </c>
      <c r="G140" s="18">
        <v>3</v>
      </c>
      <c r="H140" s="18">
        <v>0</v>
      </c>
      <c r="I140" s="18">
        <v>20</v>
      </c>
      <c r="J140" s="18">
        <v>56</v>
      </c>
      <c r="M140" t="s">
        <v>433</v>
      </c>
      <c r="N140" t="s">
        <v>434</v>
      </c>
      <c r="O140" t="str">
        <f t="shared" si="6"/>
        <v>Teuvo Teravainen</v>
      </c>
      <c r="P140" s="18">
        <v>29</v>
      </c>
      <c r="R140" s="3" t="s">
        <v>192</v>
      </c>
      <c r="S140" s="3" t="s">
        <v>193</v>
      </c>
      <c r="T140" t="str">
        <f t="shared" si="7"/>
        <v>Blake Wheeler</v>
      </c>
      <c r="U140">
        <f t="shared" si="8"/>
        <v>80</v>
      </c>
      <c r="V140">
        <v>80</v>
      </c>
    </row>
    <row r="141" spans="1:22" ht="45" x14ac:dyDescent="0.25">
      <c r="A141" s="19" t="s">
        <v>858</v>
      </c>
      <c r="B141" s="20">
        <v>78</v>
      </c>
      <c r="C141" s="20">
        <v>3</v>
      </c>
      <c r="D141" s="20">
        <v>12</v>
      </c>
      <c r="E141" s="20">
        <v>15</v>
      </c>
      <c r="F141" s="20">
        <v>0</v>
      </c>
      <c r="G141" s="20">
        <v>0</v>
      </c>
      <c r="H141" s="20">
        <v>0</v>
      </c>
      <c r="I141" s="20">
        <v>24</v>
      </c>
      <c r="J141" s="20">
        <v>55</v>
      </c>
      <c r="M141" t="s">
        <v>419</v>
      </c>
      <c r="N141" t="s">
        <v>1332</v>
      </c>
      <c r="O141" t="str">
        <f t="shared" si="6"/>
        <v>Chris VandeVelde</v>
      </c>
      <c r="P141" s="20">
        <v>15</v>
      </c>
      <c r="R141" s="4" t="s">
        <v>162</v>
      </c>
      <c r="S141" s="4" t="s">
        <v>163</v>
      </c>
      <c r="T141" t="str">
        <f t="shared" si="7"/>
        <v>Patrick Kane</v>
      </c>
      <c r="U141">
        <f t="shared" si="8"/>
        <v>112</v>
      </c>
      <c r="V141">
        <v>112</v>
      </c>
    </row>
    <row r="142" spans="1:22" ht="30" x14ac:dyDescent="0.25">
      <c r="A142" s="17" t="s">
        <v>859</v>
      </c>
      <c r="B142" s="18">
        <v>78</v>
      </c>
      <c r="C142" s="18">
        <v>9</v>
      </c>
      <c r="D142" s="18">
        <v>10</v>
      </c>
      <c r="E142" s="18">
        <v>20</v>
      </c>
      <c r="F142" s="18">
        <v>-18</v>
      </c>
      <c r="G142" s="18">
        <v>0</v>
      </c>
      <c r="H142" s="18">
        <v>0</v>
      </c>
      <c r="I142" s="18">
        <v>5</v>
      </c>
      <c r="J142" s="18">
        <v>53</v>
      </c>
      <c r="M142" t="s">
        <v>1242</v>
      </c>
      <c r="N142" t="s">
        <v>177</v>
      </c>
      <c r="O142" t="str">
        <f t="shared" si="6"/>
        <v>William Karlsson</v>
      </c>
      <c r="P142" s="18">
        <v>20</v>
      </c>
      <c r="R142" s="3" t="s">
        <v>286</v>
      </c>
      <c r="S142" s="3" t="s">
        <v>287</v>
      </c>
      <c r="T142" t="str">
        <f t="shared" si="7"/>
        <v>Dylan Larkin</v>
      </c>
      <c r="U142">
        <f t="shared" si="8"/>
        <v>47</v>
      </c>
      <c r="V142">
        <v>47</v>
      </c>
    </row>
    <row r="143" spans="1:22" ht="30" x14ac:dyDescent="0.25">
      <c r="A143" s="19" t="s">
        <v>860</v>
      </c>
      <c r="B143" s="20">
        <v>78</v>
      </c>
      <c r="C143" s="20">
        <v>9</v>
      </c>
      <c r="D143" s="20">
        <v>8</v>
      </c>
      <c r="E143" s="20">
        <v>17</v>
      </c>
      <c r="F143" s="20">
        <v>-20</v>
      </c>
      <c r="G143" s="20">
        <v>1</v>
      </c>
      <c r="H143" s="20">
        <v>0</v>
      </c>
      <c r="I143" s="20">
        <v>33</v>
      </c>
      <c r="J143" s="20">
        <v>48</v>
      </c>
      <c r="M143" t="s">
        <v>1333</v>
      </c>
      <c r="N143" t="s">
        <v>1334</v>
      </c>
      <c r="O143" t="str">
        <f t="shared" si="6"/>
        <v>Sergey Kalinin</v>
      </c>
      <c r="P143" s="20">
        <v>17</v>
      </c>
      <c r="R143" s="4" t="s">
        <v>290</v>
      </c>
      <c r="S143" s="4" t="s">
        <v>291</v>
      </c>
      <c r="T143" t="str">
        <f t="shared" si="7"/>
        <v>Mike Hoffman</v>
      </c>
      <c r="U143">
        <f t="shared" si="8"/>
        <v>67</v>
      </c>
      <c r="V143">
        <v>67</v>
      </c>
    </row>
    <row r="144" spans="1:22" ht="45" x14ac:dyDescent="0.25">
      <c r="A144" s="17" t="s">
        <v>861</v>
      </c>
      <c r="B144" s="18">
        <v>78</v>
      </c>
      <c r="C144" s="18">
        <v>9</v>
      </c>
      <c r="D144" s="18">
        <v>6</v>
      </c>
      <c r="E144" s="18">
        <v>15</v>
      </c>
      <c r="F144" s="18">
        <v>-23</v>
      </c>
      <c r="G144" s="18">
        <v>0</v>
      </c>
      <c r="H144" s="18">
        <v>1</v>
      </c>
      <c r="I144" s="18">
        <v>33</v>
      </c>
      <c r="J144" s="18">
        <v>47</v>
      </c>
      <c r="M144" t="s">
        <v>1335</v>
      </c>
      <c r="N144" t="s">
        <v>387</v>
      </c>
      <c r="O144" t="str">
        <f t="shared" si="6"/>
        <v>Markus Granlund</v>
      </c>
      <c r="P144" s="18">
        <v>15</v>
      </c>
      <c r="R144" s="3" t="s">
        <v>262</v>
      </c>
      <c r="S144" s="3" t="s">
        <v>263</v>
      </c>
      <c r="T144" t="str">
        <f t="shared" si="7"/>
        <v>Gabriel Landeskog</v>
      </c>
      <c r="U144">
        <f t="shared" si="8"/>
        <v>59</v>
      </c>
      <c r="V144">
        <v>59</v>
      </c>
    </row>
    <row r="145" spans="1:22" ht="45" x14ac:dyDescent="0.25">
      <c r="A145" s="19" t="s">
        <v>862</v>
      </c>
      <c r="B145" s="20">
        <v>78</v>
      </c>
      <c r="C145" s="20">
        <v>6</v>
      </c>
      <c r="D145" s="20">
        <v>8</v>
      </c>
      <c r="E145" s="20">
        <v>15</v>
      </c>
      <c r="F145" s="20">
        <v>-23</v>
      </c>
      <c r="G145" s="20">
        <v>0</v>
      </c>
      <c r="H145" s="20">
        <v>0</v>
      </c>
      <c r="I145" s="20">
        <v>45</v>
      </c>
      <c r="J145" s="20">
        <v>47</v>
      </c>
      <c r="M145" t="s">
        <v>265</v>
      </c>
      <c r="N145" t="s">
        <v>1336</v>
      </c>
      <c r="O145" t="str">
        <f t="shared" si="6"/>
        <v>Derek MacKenzie</v>
      </c>
      <c r="P145" s="20">
        <v>15</v>
      </c>
      <c r="R145" s="4" t="s">
        <v>339</v>
      </c>
      <c r="S145" s="4" t="s">
        <v>340</v>
      </c>
      <c r="T145" t="str">
        <f t="shared" si="7"/>
        <v>Adam Henrique</v>
      </c>
      <c r="U145">
        <f t="shared" si="8"/>
        <v>56</v>
      </c>
      <c r="V145">
        <v>56</v>
      </c>
    </row>
    <row r="146" spans="1:22" ht="30" x14ac:dyDescent="0.25">
      <c r="A146" s="17" t="s">
        <v>863</v>
      </c>
      <c r="B146" s="18">
        <v>78</v>
      </c>
      <c r="C146" s="18">
        <v>8</v>
      </c>
      <c r="D146" s="18">
        <v>6</v>
      </c>
      <c r="E146" s="18">
        <v>15</v>
      </c>
      <c r="F146" s="18">
        <v>-34</v>
      </c>
      <c r="G146" s="18">
        <v>0</v>
      </c>
      <c r="H146" s="18">
        <v>0</v>
      </c>
      <c r="I146" s="18">
        <v>93</v>
      </c>
      <c r="J146" s="18">
        <v>45</v>
      </c>
      <c r="M146" t="s">
        <v>188</v>
      </c>
      <c r="N146" t="s">
        <v>278</v>
      </c>
      <c r="O146" t="str">
        <f t="shared" si="6"/>
        <v>Ryan Carter</v>
      </c>
      <c r="P146" s="18">
        <v>15</v>
      </c>
      <c r="R146" s="3" t="s">
        <v>453</v>
      </c>
      <c r="S146" s="3" t="s">
        <v>454</v>
      </c>
      <c r="T146" t="str">
        <f t="shared" si="7"/>
        <v>Rasmus Ristolainen</v>
      </c>
      <c r="U146">
        <f t="shared" si="8"/>
        <v>39</v>
      </c>
      <c r="V146">
        <v>39</v>
      </c>
    </row>
    <row r="147" spans="1:22" ht="30" x14ac:dyDescent="0.25">
      <c r="A147" s="19" t="s">
        <v>864</v>
      </c>
      <c r="B147" s="20">
        <v>78</v>
      </c>
      <c r="C147" s="20">
        <v>0</v>
      </c>
      <c r="D147" s="20">
        <v>8</v>
      </c>
      <c r="E147" s="20">
        <v>8</v>
      </c>
      <c r="F147" s="20">
        <v>-15</v>
      </c>
      <c r="G147" s="20">
        <v>0</v>
      </c>
      <c r="H147" s="20">
        <v>0</v>
      </c>
      <c r="I147" s="20">
        <v>93</v>
      </c>
      <c r="J147" s="20">
        <v>39</v>
      </c>
      <c r="M147" t="s">
        <v>1337</v>
      </c>
      <c r="N147" t="s">
        <v>1338</v>
      </c>
      <c r="O147" t="str">
        <f t="shared" si="6"/>
        <v>Steve Ott</v>
      </c>
      <c r="P147" s="20">
        <v>8</v>
      </c>
      <c r="R147" s="4" t="s">
        <v>277</v>
      </c>
      <c r="S147" s="4" t="s">
        <v>278</v>
      </c>
      <c r="T147" t="str">
        <f t="shared" si="7"/>
        <v>Jeff Carter</v>
      </c>
      <c r="U147">
        <f t="shared" si="8"/>
        <v>67</v>
      </c>
      <c r="V147">
        <v>67</v>
      </c>
    </row>
    <row r="148" spans="1:22" ht="30" x14ac:dyDescent="0.25">
      <c r="A148" s="17" t="s">
        <v>865</v>
      </c>
      <c r="B148" s="18">
        <v>78</v>
      </c>
      <c r="C148" s="18">
        <v>2</v>
      </c>
      <c r="D148" s="18">
        <v>2</v>
      </c>
      <c r="E148" s="18">
        <v>5</v>
      </c>
      <c r="F148" s="18">
        <v>6</v>
      </c>
      <c r="G148" s="18">
        <v>0</v>
      </c>
      <c r="H148" s="18">
        <v>0</v>
      </c>
      <c r="I148" s="18">
        <v>12</v>
      </c>
      <c r="J148" s="18">
        <v>38</v>
      </c>
      <c r="M148" t="s">
        <v>1339</v>
      </c>
      <c r="N148" t="s">
        <v>1340</v>
      </c>
      <c r="O148" t="str">
        <f t="shared" si="6"/>
        <v>Boyd Gordon</v>
      </c>
      <c r="P148" s="18">
        <v>5</v>
      </c>
      <c r="R148" s="3" t="s">
        <v>188</v>
      </c>
      <c r="S148" s="3" t="s">
        <v>363</v>
      </c>
      <c r="T148" t="str">
        <f t="shared" si="7"/>
        <v>Ryan Kesler</v>
      </c>
      <c r="U148">
        <f t="shared" si="8"/>
        <v>62</v>
      </c>
      <c r="V148">
        <v>62</v>
      </c>
    </row>
    <row r="149" spans="1:22" ht="45" x14ac:dyDescent="0.25">
      <c r="A149" s="19" t="s">
        <v>866</v>
      </c>
      <c r="B149" s="20">
        <v>78</v>
      </c>
      <c r="C149" s="20">
        <v>7</v>
      </c>
      <c r="D149" s="20">
        <v>11</v>
      </c>
      <c r="E149" s="20">
        <v>19</v>
      </c>
      <c r="F149" s="20">
        <v>-43</v>
      </c>
      <c r="G149" s="20">
        <v>1</v>
      </c>
      <c r="H149" s="20">
        <v>0</v>
      </c>
      <c r="I149" s="20">
        <v>28</v>
      </c>
      <c r="J149" s="20">
        <v>36</v>
      </c>
      <c r="M149" t="s">
        <v>1341</v>
      </c>
      <c r="N149" t="s">
        <v>1342</v>
      </c>
      <c r="O149" t="str">
        <f t="shared" si="6"/>
        <v>Zemgus Girgensons</v>
      </c>
      <c r="P149" s="20">
        <v>19</v>
      </c>
      <c r="R149" s="4" t="s">
        <v>327</v>
      </c>
      <c r="S149" s="4" t="s">
        <v>362</v>
      </c>
      <c r="T149" t="str">
        <f t="shared" si="7"/>
        <v>Victor Rask</v>
      </c>
      <c r="U149">
        <f t="shared" si="8"/>
        <v>51</v>
      </c>
      <c r="V149">
        <v>51</v>
      </c>
    </row>
    <row r="150" spans="1:22" ht="30" x14ac:dyDescent="0.25">
      <c r="A150" s="17" t="s">
        <v>867</v>
      </c>
      <c r="B150" s="18">
        <v>78</v>
      </c>
      <c r="C150" s="18">
        <v>3</v>
      </c>
      <c r="D150" s="18">
        <v>11</v>
      </c>
      <c r="E150" s="18">
        <v>15</v>
      </c>
      <c r="F150" s="18">
        <v>-50</v>
      </c>
      <c r="G150" s="18">
        <v>4</v>
      </c>
      <c r="H150" s="18">
        <v>0</v>
      </c>
      <c r="I150" s="18">
        <v>55</v>
      </c>
      <c r="J150" s="18">
        <v>21</v>
      </c>
      <c r="M150" t="s">
        <v>1343</v>
      </c>
      <c r="N150" t="s">
        <v>1344</v>
      </c>
      <c r="O150" t="str">
        <f t="shared" si="6"/>
        <v>Dave Bolland</v>
      </c>
      <c r="P150" s="18">
        <v>15</v>
      </c>
      <c r="R150" s="3" t="s">
        <v>356</v>
      </c>
      <c r="S150" s="3" t="s">
        <v>357</v>
      </c>
      <c r="T150" t="str">
        <f t="shared" si="7"/>
        <v>Ondrej Palat</v>
      </c>
      <c r="U150">
        <f t="shared" si="8"/>
        <v>56</v>
      </c>
      <c r="V150">
        <v>56</v>
      </c>
    </row>
    <row r="151" spans="1:22" ht="45" x14ac:dyDescent="0.25">
      <c r="A151" s="19" t="s">
        <v>868</v>
      </c>
      <c r="B151" s="20">
        <v>78</v>
      </c>
      <c r="C151" s="20">
        <v>3</v>
      </c>
      <c r="D151" s="20">
        <v>8</v>
      </c>
      <c r="E151" s="20">
        <v>11</v>
      </c>
      <c r="F151" s="20">
        <v>-38</v>
      </c>
      <c r="G151" s="20">
        <v>0</v>
      </c>
      <c r="H151" s="20">
        <v>0</v>
      </c>
      <c r="I151" s="20">
        <v>32</v>
      </c>
      <c r="J151" s="20">
        <v>12</v>
      </c>
      <c r="M151" t="s">
        <v>1273</v>
      </c>
      <c r="N151" t="s">
        <v>1345</v>
      </c>
      <c r="O151" t="str">
        <f t="shared" si="6"/>
        <v>Jay McClement</v>
      </c>
      <c r="P151" s="20">
        <v>11</v>
      </c>
      <c r="R151" s="4" t="s">
        <v>347</v>
      </c>
      <c r="S151" s="4" t="s">
        <v>348</v>
      </c>
      <c r="T151" t="str">
        <f t="shared" si="7"/>
        <v>Tyson Barrie</v>
      </c>
      <c r="U151">
        <f t="shared" si="8"/>
        <v>50</v>
      </c>
      <c r="V151">
        <v>50</v>
      </c>
    </row>
    <row r="152" spans="1:22" ht="30.75" thickBot="1" x14ac:dyDescent="0.3">
      <c r="A152" s="17" t="s">
        <v>869</v>
      </c>
      <c r="B152" s="18">
        <v>78</v>
      </c>
      <c r="C152" s="18">
        <v>1</v>
      </c>
      <c r="D152" s="18">
        <v>9</v>
      </c>
      <c r="E152" s="18">
        <v>11</v>
      </c>
      <c r="F152" s="18">
        <v>-53</v>
      </c>
      <c r="G152" s="18">
        <v>0</v>
      </c>
      <c r="H152" s="18">
        <v>0</v>
      </c>
      <c r="I152" s="18">
        <v>22</v>
      </c>
      <c r="J152" s="18">
        <v>-1</v>
      </c>
      <c r="M152" t="s">
        <v>1346</v>
      </c>
      <c r="N152" t="s">
        <v>1347</v>
      </c>
      <c r="O152" t="str">
        <f t="shared" si="6"/>
        <v>Brooks Laich</v>
      </c>
      <c r="P152" s="18">
        <v>11</v>
      </c>
      <c r="R152" s="3" t="s">
        <v>399</v>
      </c>
      <c r="S152" s="3" t="s">
        <v>400</v>
      </c>
      <c r="T152" t="str">
        <f t="shared" si="7"/>
        <v>Rickard Rakell</v>
      </c>
      <c r="U152">
        <f t="shared" si="8"/>
        <v>53</v>
      </c>
      <c r="V152">
        <v>53</v>
      </c>
    </row>
    <row r="153" spans="1:22" ht="30.75" thickTop="1" x14ac:dyDescent="0.25">
      <c r="A153" s="15" t="s">
        <v>870</v>
      </c>
      <c r="B153" s="16">
        <v>78</v>
      </c>
      <c r="C153" s="16">
        <v>48</v>
      </c>
      <c r="D153" s="16">
        <v>63</v>
      </c>
      <c r="E153" s="16">
        <v>112</v>
      </c>
      <c r="F153" s="16">
        <v>33</v>
      </c>
      <c r="G153" s="16">
        <v>19</v>
      </c>
      <c r="H153" s="16">
        <v>0</v>
      </c>
      <c r="I153" s="16">
        <v>44</v>
      </c>
      <c r="J153" s="16">
        <v>418</v>
      </c>
      <c r="M153" t="s">
        <v>162</v>
      </c>
      <c r="N153" t="s">
        <v>163</v>
      </c>
      <c r="O153" t="str">
        <f t="shared" si="6"/>
        <v>Patrick Kane</v>
      </c>
      <c r="P153" s="16">
        <v>112</v>
      </c>
      <c r="R153" s="4" t="s">
        <v>224</v>
      </c>
      <c r="S153" s="4" t="s">
        <v>225</v>
      </c>
      <c r="T153" t="str">
        <f t="shared" si="7"/>
        <v>Taylor Hall</v>
      </c>
      <c r="U153">
        <f t="shared" si="8"/>
        <v>64</v>
      </c>
      <c r="V153">
        <v>64</v>
      </c>
    </row>
    <row r="154" spans="1:22" ht="30" x14ac:dyDescent="0.25">
      <c r="A154" s="17" t="s">
        <v>871</v>
      </c>
      <c r="B154" s="18">
        <v>78</v>
      </c>
      <c r="C154" s="18">
        <v>40</v>
      </c>
      <c r="D154" s="18">
        <v>44</v>
      </c>
      <c r="E154" s="18">
        <v>85</v>
      </c>
      <c r="F154" s="18">
        <v>26</v>
      </c>
      <c r="G154" s="18">
        <v>17</v>
      </c>
      <c r="H154" s="18">
        <v>0</v>
      </c>
      <c r="I154" s="18">
        <v>32</v>
      </c>
      <c r="J154" s="18">
        <v>327</v>
      </c>
      <c r="M154" t="s">
        <v>208</v>
      </c>
      <c r="N154" t="s">
        <v>209</v>
      </c>
      <c r="O154" t="str">
        <f t="shared" si="6"/>
        <v>Nikita Kucherov</v>
      </c>
      <c r="P154" s="18">
        <v>85</v>
      </c>
      <c r="R154" s="3" t="s">
        <v>237</v>
      </c>
      <c r="S154" s="3" t="s">
        <v>238</v>
      </c>
      <c r="T154" t="str">
        <f t="shared" si="7"/>
        <v>Patrice Bergeron</v>
      </c>
      <c r="U154">
        <f t="shared" si="8"/>
        <v>71</v>
      </c>
      <c r="V154">
        <v>71</v>
      </c>
    </row>
    <row r="155" spans="1:22" ht="30" x14ac:dyDescent="0.25">
      <c r="A155" s="19" t="s">
        <v>872</v>
      </c>
      <c r="B155" s="20">
        <v>78</v>
      </c>
      <c r="C155" s="20">
        <v>31</v>
      </c>
      <c r="D155" s="20">
        <v>37</v>
      </c>
      <c r="E155" s="20">
        <v>68</v>
      </c>
      <c r="F155" s="20">
        <v>36</v>
      </c>
      <c r="G155" s="20">
        <v>13</v>
      </c>
      <c r="H155" s="20">
        <v>0</v>
      </c>
      <c r="I155" s="20">
        <v>20</v>
      </c>
      <c r="J155" s="20">
        <v>304</v>
      </c>
      <c r="M155" t="s">
        <v>248</v>
      </c>
      <c r="N155" t="s">
        <v>249</v>
      </c>
      <c r="O155" t="str">
        <f t="shared" si="6"/>
        <v>Phil Kessel</v>
      </c>
      <c r="P155" s="20">
        <v>68</v>
      </c>
      <c r="R155" s="4" t="s">
        <v>166</v>
      </c>
      <c r="S155" s="4" t="s">
        <v>256</v>
      </c>
      <c r="T155" t="str">
        <f t="shared" si="7"/>
        <v>Tyler Toffoli</v>
      </c>
      <c r="U155">
        <f t="shared" si="8"/>
        <v>57</v>
      </c>
      <c r="V155">
        <v>57</v>
      </c>
    </row>
    <row r="156" spans="1:22" ht="45" x14ac:dyDescent="0.25">
      <c r="A156" s="17" t="s">
        <v>873</v>
      </c>
      <c r="B156" s="18">
        <v>78</v>
      </c>
      <c r="C156" s="18">
        <v>42</v>
      </c>
      <c r="D156" s="18">
        <v>32</v>
      </c>
      <c r="E156" s="18">
        <v>75</v>
      </c>
      <c r="F156" s="18">
        <v>8</v>
      </c>
      <c r="G156" s="18">
        <v>12</v>
      </c>
      <c r="H156" s="18">
        <v>0</v>
      </c>
      <c r="I156" s="18">
        <v>31</v>
      </c>
      <c r="J156" s="18">
        <v>294</v>
      </c>
      <c r="M156" t="s">
        <v>178</v>
      </c>
      <c r="N156" t="s">
        <v>179</v>
      </c>
      <c r="O156" t="str">
        <f t="shared" si="6"/>
        <v>Vladimir Tarasenko</v>
      </c>
      <c r="P156" s="18">
        <v>75</v>
      </c>
      <c r="R156" s="3" t="s">
        <v>176</v>
      </c>
      <c r="S156" s="3" t="s">
        <v>177</v>
      </c>
      <c r="T156" t="str">
        <f t="shared" si="7"/>
        <v>Erik Karlsson</v>
      </c>
      <c r="U156">
        <f t="shared" si="8"/>
        <v>88</v>
      </c>
      <c r="V156">
        <v>88</v>
      </c>
    </row>
    <row r="157" spans="1:22" ht="30" x14ac:dyDescent="0.25">
      <c r="A157" s="19" t="s">
        <v>874</v>
      </c>
      <c r="B157" s="20">
        <v>78</v>
      </c>
      <c r="C157" s="20">
        <v>36</v>
      </c>
      <c r="D157" s="20">
        <v>32</v>
      </c>
      <c r="E157" s="20">
        <v>68</v>
      </c>
      <c r="F157" s="20">
        <v>11</v>
      </c>
      <c r="G157" s="20">
        <v>13</v>
      </c>
      <c r="H157" s="20">
        <v>0</v>
      </c>
      <c r="I157" s="20">
        <v>60</v>
      </c>
      <c r="J157" s="20">
        <v>275</v>
      </c>
      <c r="M157" t="s">
        <v>204</v>
      </c>
      <c r="N157" t="s">
        <v>205</v>
      </c>
      <c r="O157" t="str">
        <f t="shared" si="6"/>
        <v>Corey Perry</v>
      </c>
      <c r="P157" s="20">
        <v>68</v>
      </c>
      <c r="R157" s="4" t="s">
        <v>250</v>
      </c>
      <c r="S157" s="4" t="s">
        <v>251</v>
      </c>
      <c r="T157" t="str">
        <f t="shared" si="7"/>
        <v>Wayne Simmonds</v>
      </c>
      <c r="U157">
        <f t="shared" si="8"/>
        <v>65</v>
      </c>
      <c r="V157">
        <v>65</v>
      </c>
    </row>
    <row r="158" spans="1:22" ht="30" x14ac:dyDescent="0.25">
      <c r="A158" s="17" t="s">
        <v>875</v>
      </c>
      <c r="B158" s="18">
        <v>78</v>
      </c>
      <c r="C158" s="18">
        <v>32</v>
      </c>
      <c r="D158" s="18">
        <v>28</v>
      </c>
      <c r="E158" s="18">
        <v>61</v>
      </c>
      <c r="F158" s="18">
        <v>29</v>
      </c>
      <c r="G158" s="18">
        <v>7</v>
      </c>
      <c r="H158" s="18">
        <v>0</v>
      </c>
      <c r="I158" s="18">
        <v>58</v>
      </c>
      <c r="J158" s="18">
        <v>275</v>
      </c>
      <c r="M158" t="s">
        <v>257</v>
      </c>
      <c r="N158" t="s">
        <v>272</v>
      </c>
      <c r="O158" t="str">
        <f t="shared" si="6"/>
        <v>James Neal</v>
      </c>
      <c r="P158" s="18">
        <v>61</v>
      </c>
      <c r="R158" s="3" t="s">
        <v>296</v>
      </c>
      <c r="S158" s="3" t="s">
        <v>297</v>
      </c>
      <c r="T158" t="str">
        <f t="shared" si="7"/>
        <v>Oliver Ekman-Lars…</v>
      </c>
      <c r="U158" t="e">
        <f t="shared" si="8"/>
        <v>#N/A</v>
      </c>
      <c r="V158" t="e">
        <v>#N/A</v>
      </c>
    </row>
    <row r="159" spans="1:22" ht="45" x14ac:dyDescent="0.25">
      <c r="A159" s="19" t="s">
        <v>876</v>
      </c>
      <c r="B159" s="20">
        <v>78</v>
      </c>
      <c r="C159" s="20">
        <v>34</v>
      </c>
      <c r="D159" s="20">
        <v>30</v>
      </c>
      <c r="E159" s="20">
        <v>65</v>
      </c>
      <c r="F159" s="20">
        <v>0</v>
      </c>
      <c r="G159" s="20">
        <v>11</v>
      </c>
      <c r="H159" s="20">
        <v>0</v>
      </c>
      <c r="I159" s="20">
        <v>143</v>
      </c>
      <c r="J159" s="20">
        <v>271</v>
      </c>
      <c r="M159" t="s">
        <v>250</v>
      </c>
      <c r="N159" t="s">
        <v>251</v>
      </c>
      <c r="O159" t="str">
        <f t="shared" si="6"/>
        <v>Wayne Simmonds</v>
      </c>
      <c r="P159" s="20">
        <v>65</v>
      </c>
      <c r="R159" s="4" t="s">
        <v>214</v>
      </c>
      <c r="S159" s="4" t="s">
        <v>215</v>
      </c>
      <c r="T159" t="str">
        <f t="shared" si="7"/>
        <v>Jack Eichel</v>
      </c>
      <c r="U159">
        <f t="shared" si="8"/>
        <v>54</v>
      </c>
      <c r="V159">
        <v>54</v>
      </c>
    </row>
    <row r="160" spans="1:22" ht="45" x14ac:dyDescent="0.25">
      <c r="A160" s="17" t="s">
        <v>877</v>
      </c>
      <c r="B160" s="18">
        <v>78</v>
      </c>
      <c r="C160" s="18">
        <v>27</v>
      </c>
      <c r="D160" s="18">
        <v>53</v>
      </c>
      <c r="E160" s="18">
        <v>80</v>
      </c>
      <c r="F160" s="18">
        <v>-6</v>
      </c>
      <c r="G160" s="18">
        <v>11</v>
      </c>
      <c r="H160" s="18">
        <v>2</v>
      </c>
      <c r="I160" s="18">
        <v>46</v>
      </c>
      <c r="J160" s="18">
        <v>270</v>
      </c>
      <c r="M160" t="s">
        <v>192</v>
      </c>
      <c r="N160" t="s">
        <v>193</v>
      </c>
      <c r="O160" t="str">
        <f t="shared" si="6"/>
        <v>Blake Wheeler</v>
      </c>
      <c r="P160" s="18">
        <v>80</v>
      </c>
      <c r="R160" s="3" t="s">
        <v>196</v>
      </c>
      <c r="S160" s="3" t="s">
        <v>309</v>
      </c>
      <c r="T160" t="str">
        <f t="shared" si="7"/>
        <v>Mark Giordano</v>
      </c>
      <c r="U160">
        <f t="shared" si="8"/>
        <v>52</v>
      </c>
      <c r="V160">
        <v>52</v>
      </c>
    </row>
    <row r="161" spans="1:22" ht="45" x14ac:dyDescent="0.25">
      <c r="A161" s="19" t="s">
        <v>878</v>
      </c>
      <c r="B161" s="20">
        <v>78</v>
      </c>
      <c r="C161" s="20">
        <v>27</v>
      </c>
      <c r="D161" s="20">
        <v>27</v>
      </c>
      <c r="E161" s="20">
        <v>55</v>
      </c>
      <c r="F161" s="20">
        <v>35</v>
      </c>
      <c r="G161" s="20">
        <v>9</v>
      </c>
      <c r="H161" s="20">
        <v>0</v>
      </c>
      <c r="I161" s="20">
        <v>43</v>
      </c>
      <c r="J161" s="20">
        <v>263</v>
      </c>
      <c r="M161" t="s">
        <v>351</v>
      </c>
      <c r="N161" t="s">
        <v>352</v>
      </c>
      <c r="O161" t="str">
        <f t="shared" si="6"/>
        <v>Patric Hornqvist</v>
      </c>
      <c r="P161" s="20">
        <v>55</v>
      </c>
      <c r="R161" s="4" t="s">
        <v>365</v>
      </c>
      <c r="S161" s="4" t="s">
        <v>417</v>
      </c>
      <c r="T161" t="str">
        <f t="shared" si="7"/>
        <v>Tomas Tatar</v>
      </c>
      <c r="U161">
        <f t="shared" si="8"/>
        <v>48</v>
      </c>
      <c r="V161">
        <v>48</v>
      </c>
    </row>
    <row r="162" spans="1:22" ht="30" x14ac:dyDescent="0.25">
      <c r="A162" s="17" t="s">
        <v>879</v>
      </c>
      <c r="B162" s="18">
        <v>78</v>
      </c>
      <c r="C162" s="18">
        <v>26</v>
      </c>
      <c r="D162" s="18">
        <v>44</v>
      </c>
      <c r="E162" s="18">
        <v>71</v>
      </c>
      <c r="F162" s="18">
        <v>12</v>
      </c>
      <c r="G162" s="18">
        <v>11</v>
      </c>
      <c r="H162" s="18">
        <v>1</v>
      </c>
      <c r="I162" s="18">
        <v>41</v>
      </c>
      <c r="J162" s="18">
        <v>249</v>
      </c>
      <c r="M162" t="s">
        <v>196</v>
      </c>
      <c r="N162" t="s">
        <v>247</v>
      </c>
      <c r="O162" t="str">
        <f t="shared" si="6"/>
        <v>Mark Stone</v>
      </c>
      <c r="P162" s="18">
        <v>71</v>
      </c>
      <c r="R162" s="3" t="s">
        <v>319</v>
      </c>
      <c r="S162" s="3" t="s">
        <v>320</v>
      </c>
      <c r="T162" t="str">
        <f t="shared" si="7"/>
        <v>T.J. Oshie</v>
      </c>
      <c r="U162">
        <f t="shared" si="8"/>
        <v>56</v>
      </c>
      <c r="V162">
        <v>56</v>
      </c>
    </row>
    <row r="163" spans="1:22" ht="30" x14ac:dyDescent="0.25">
      <c r="A163" s="19" t="s">
        <v>880</v>
      </c>
      <c r="B163" s="20">
        <v>78</v>
      </c>
      <c r="C163" s="20">
        <v>15</v>
      </c>
      <c r="D163" s="20">
        <v>50</v>
      </c>
      <c r="E163" s="20">
        <v>66</v>
      </c>
      <c r="F163" s="20">
        <v>6</v>
      </c>
      <c r="G163" s="20">
        <v>13</v>
      </c>
      <c r="H163" s="20">
        <v>0</v>
      </c>
      <c r="I163" s="20">
        <v>40</v>
      </c>
      <c r="J163" s="20">
        <v>237</v>
      </c>
      <c r="M163" t="s">
        <v>212</v>
      </c>
      <c r="N163" t="s">
        <v>213</v>
      </c>
      <c r="O163" t="str">
        <f t="shared" si="6"/>
        <v>Jakub Voracek</v>
      </c>
      <c r="P163" s="20">
        <v>66</v>
      </c>
      <c r="R163" s="4" t="s">
        <v>358</v>
      </c>
      <c r="S163" s="4" t="s">
        <v>359</v>
      </c>
      <c r="T163" t="str">
        <f t="shared" si="7"/>
        <v>Mikkel Boedker</v>
      </c>
      <c r="U163">
        <f t="shared" si="8"/>
        <v>58</v>
      </c>
      <c r="V163">
        <v>58</v>
      </c>
    </row>
    <row r="164" spans="1:22" ht="45" x14ac:dyDescent="0.25">
      <c r="A164" s="17" t="s">
        <v>881</v>
      </c>
      <c r="B164" s="18">
        <v>78</v>
      </c>
      <c r="C164" s="18">
        <v>28</v>
      </c>
      <c r="D164" s="18">
        <v>29</v>
      </c>
      <c r="E164" s="18">
        <v>57</v>
      </c>
      <c r="F164" s="18">
        <v>7</v>
      </c>
      <c r="G164" s="18">
        <v>8</v>
      </c>
      <c r="H164" s="18">
        <v>0</v>
      </c>
      <c r="I164" s="18">
        <v>46</v>
      </c>
      <c r="J164" s="18">
        <v>236</v>
      </c>
      <c r="M164" t="s">
        <v>312</v>
      </c>
      <c r="N164" t="s">
        <v>313</v>
      </c>
      <c r="O164" t="str">
        <f t="shared" si="6"/>
        <v>Brendan Gallagher</v>
      </c>
      <c r="P164" s="18">
        <v>57</v>
      </c>
      <c r="R164" s="3" t="s">
        <v>303</v>
      </c>
      <c r="S164" s="3" t="s">
        <v>304</v>
      </c>
      <c r="T164" t="str">
        <f t="shared" si="7"/>
        <v>Brandon Saad</v>
      </c>
      <c r="U164">
        <f t="shared" si="8"/>
        <v>54</v>
      </c>
      <c r="V164">
        <v>54</v>
      </c>
    </row>
    <row r="165" spans="1:22" ht="30" x14ac:dyDescent="0.25">
      <c r="A165" s="19" t="s">
        <v>882</v>
      </c>
      <c r="B165" s="20">
        <v>78</v>
      </c>
      <c r="C165" s="20">
        <v>29</v>
      </c>
      <c r="D165" s="20">
        <v>27</v>
      </c>
      <c r="E165" s="20">
        <v>56</v>
      </c>
      <c r="F165" s="20">
        <v>24</v>
      </c>
      <c r="G165" s="20">
        <v>9</v>
      </c>
      <c r="H165" s="20">
        <v>0</v>
      </c>
      <c r="I165" s="20">
        <v>41</v>
      </c>
      <c r="J165" s="20">
        <v>236</v>
      </c>
      <c r="M165" t="s">
        <v>319</v>
      </c>
      <c r="N165" t="s">
        <v>320</v>
      </c>
      <c r="O165" t="str">
        <f t="shared" si="6"/>
        <v>T.J. Oshie</v>
      </c>
      <c r="P165" s="20">
        <v>56</v>
      </c>
      <c r="R165" s="4" t="s">
        <v>196</v>
      </c>
      <c r="S165" s="4" t="s">
        <v>247</v>
      </c>
      <c r="T165" t="str">
        <f t="shared" si="7"/>
        <v>Mark Stone</v>
      </c>
      <c r="U165">
        <f t="shared" si="8"/>
        <v>71</v>
      </c>
      <c r="V165">
        <v>71</v>
      </c>
    </row>
    <row r="166" spans="1:22" ht="45" x14ac:dyDescent="0.25">
      <c r="A166" s="17" t="s">
        <v>883</v>
      </c>
      <c r="B166" s="18">
        <v>78</v>
      </c>
      <c r="C166" s="18">
        <v>27</v>
      </c>
      <c r="D166" s="18">
        <v>34</v>
      </c>
      <c r="E166" s="18">
        <v>62</v>
      </c>
      <c r="F166" s="18">
        <v>15</v>
      </c>
      <c r="G166" s="18">
        <v>11</v>
      </c>
      <c r="H166" s="18">
        <v>0</v>
      </c>
      <c r="I166" s="18">
        <v>39</v>
      </c>
      <c r="J166" s="18">
        <v>234</v>
      </c>
      <c r="M166" t="s">
        <v>274</v>
      </c>
      <c r="N166" t="s">
        <v>275</v>
      </c>
      <c r="O166" t="str">
        <f t="shared" si="6"/>
        <v>Mats Zuccarello</v>
      </c>
      <c r="P166" s="18">
        <v>62</v>
      </c>
      <c r="R166" s="3" t="s">
        <v>182</v>
      </c>
      <c r="S166" s="3" t="s">
        <v>183</v>
      </c>
      <c r="T166" t="str">
        <f t="shared" si="7"/>
        <v>Nicklas Backstrom</v>
      </c>
      <c r="U166">
        <f t="shared" si="8"/>
        <v>78</v>
      </c>
      <c r="V166">
        <v>78</v>
      </c>
    </row>
    <row r="167" spans="1:22" ht="30" x14ac:dyDescent="0.25">
      <c r="A167" s="19" t="s">
        <v>884</v>
      </c>
      <c r="B167" s="20">
        <v>78</v>
      </c>
      <c r="C167" s="20">
        <v>21</v>
      </c>
      <c r="D167" s="20">
        <v>28</v>
      </c>
      <c r="E167" s="20">
        <v>49</v>
      </c>
      <c r="F167" s="20">
        <v>31</v>
      </c>
      <c r="G167" s="20">
        <v>7</v>
      </c>
      <c r="H167" s="20">
        <v>3</v>
      </c>
      <c r="I167" s="20">
        <v>30</v>
      </c>
      <c r="J167" s="20">
        <v>233</v>
      </c>
      <c r="M167" t="s">
        <v>1348</v>
      </c>
      <c r="N167" t="s">
        <v>1349</v>
      </c>
      <c r="O167" t="str">
        <f t="shared" si="6"/>
        <v>Marian Hossa</v>
      </c>
      <c r="P167" s="20">
        <v>49</v>
      </c>
      <c r="R167" s="4" t="s">
        <v>401</v>
      </c>
      <c r="S167" s="4" t="s">
        <v>402</v>
      </c>
      <c r="T167" t="str">
        <f t="shared" si="7"/>
        <v>Duncan Keith</v>
      </c>
      <c r="U167">
        <f t="shared" si="8"/>
        <v>58</v>
      </c>
      <c r="V167">
        <v>58</v>
      </c>
    </row>
    <row r="168" spans="1:22" ht="30" x14ac:dyDescent="0.25">
      <c r="A168" s="17" t="s">
        <v>885</v>
      </c>
      <c r="B168" s="18">
        <v>78</v>
      </c>
      <c r="C168" s="18">
        <v>30</v>
      </c>
      <c r="D168" s="18">
        <v>26</v>
      </c>
      <c r="E168" s="18">
        <v>57</v>
      </c>
      <c r="F168" s="18">
        <v>19</v>
      </c>
      <c r="G168" s="18">
        <v>5</v>
      </c>
      <c r="H168" s="18">
        <v>0</v>
      </c>
      <c r="I168" s="18">
        <v>20</v>
      </c>
      <c r="J168" s="18">
        <v>230</v>
      </c>
      <c r="M168" t="s">
        <v>166</v>
      </c>
      <c r="N168" t="s">
        <v>256</v>
      </c>
      <c r="O168" t="str">
        <f t="shared" si="6"/>
        <v>Tyler Toffoli</v>
      </c>
      <c r="P168" s="18">
        <v>57</v>
      </c>
      <c r="R168" s="3" t="s">
        <v>419</v>
      </c>
      <c r="S168" s="3" t="s">
        <v>420</v>
      </c>
      <c r="T168" t="str">
        <f t="shared" si="7"/>
        <v>Chris Kreider</v>
      </c>
      <c r="U168">
        <f t="shared" si="8"/>
        <v>46</v>
      </c>
      <c r="V168">
        <v>46</v>
      </c>
    </row>
    <row r="169" spans="1:22" ht="45" x14ac:dyDescent="0.25">
      <c r="A169" s="19" t="s">
        <v>886</v>
      </c>
      <c r="B169" s="20">
        <v>78</v>
      </c>
      <c r="C169" s="20">
        <v>25</v>
      </c>
      <c r="D169" s="20">
        <v>24</v>
      </c>
      <c r="E169" s="20">
        <v>50</v>
      </c>
      <c r="F169" s="20">
        <v>25</v>
      </c>
      <c r="G169" s="20">
        <v>7</v>
      </c>
      <c r="H169" s="20">
        <v>0</v>
      </c>
      <c r="I169" s="20">
        <v>76</v>
      </c>
      <c r="J169" s="20">
        <v>223</v>
      </c>
      <c r="M169" t="s">
        <v>1350</v>
      </c>
      <c r="N169" t="s">
        <v>423</v>
      </c>
      <c r="O169" t="str">
        <f t="shared" si="6"/>
        <v>P.A. Parenteau</v>
      </c>
      <c r="P169" s="20">
        <v>50</v>
      </c>
      <c r="R169" s="4" t="s">
        <v>374</v>
      </c>
      <c r="S169" s="4" t="s">
        <v>385</v>
      </c>
      <c r="T169" t="str">
        <f t="shared" si="7"/>
        <v>Justin Williams</v>
      </c>
      <c r="U169">
        <f t="shared" si="8"/>
        <v>53</v>
      </c>
      <c r="V169">
        <v>53</v>
      </c>
    </row>
    <row r="170" spans="1:22" ht="30" x14ac:dyDescent="0.25">
      <c r="A170" s="17" t="s">
        <v>887</v>
      </c>
      <c r="B170" s="18">
        <v>78</v>
      </c>
      <c r="C170" s="18">
        <v>19</v>
      </c>
      <c r="D170" s="18">
        <v>34</v>
      </c>
      <c r="E170" s="18">
        <v>54</v>
      </c>
      <c r="F170" s="18">
        <v>44</v>
      </c>
      <c r="G170" s="18">
        <v>8</v>
      </c>
      <c r="H170" s="18">
        <v>0</v>
      </c>
      <c r="I170" s="18">
        <v>36</v>
      </c>
      <c r="J170" s="18">
        <v>222</v>
      </c>
      <c r="M170" t="s">
        <v>381</v>
      </c>
      <c r="N170" t="s">
        <v>382</v>
      </c>
      <c r="O170" t="str">
        <f t="shared" si="6"/>
        <v>Jiri Hudler</v>
      </c>
      <c r="P170" s="18">
        <v>54</v>
      </c>
      <c r="R170" s="3" t="s">
        <v>274</v>
      </c>
      <c r="S170" s="3" t="s">
        <v>275</v>
      </c>
      <c r="T170" t="str">
        <f t="shared" si="7"/>
        <v>Mats Zuccarello</v>
      </c>
      <c r="U170">
        <f t="shared" si="8"/>
        <v>62</v>
      </c>
      <c r="V170">
        <v>62</v>
      </c>
    </row>
    <row r="171" spans="1:22" ht="45" x14ac:dyDescent="0.25">
      <c r="A171" s="19" t="s">
        <v>888</v>
      </c>
      <c r="B171" s="20">
        <v>78</v>
      </c>
      <c r="C171" s="20">
        <v>23</v>
      </c>
      <c r="D171" s="20">
        <v>29</v>
      </c>
      <c r="E171" s="20">
        <v>53</v>
      </c>
      <c r="F171" s="20">
        <v>24</v>
      </c>
      <c r="G171" s="20">
        <v>5</v>
      </c>
      <c r="H171" s="20">
        <v>0</v>
      </c>
      <c r="I171" s="20">
        <v>45</v>
      </c>
      <c r="J171" s="20">
        <v>220</v>
      </c>
      <c r="M171" t="s">
        <v>374</v>
      </c>
      <c r="N171" t="s">
        <v>385</v>
      </c>
      <c r="O171" t="str">
        <f t="shared" si="6"/>
        <v>Justin Williams</v>
      </c>
      <c r="P171" s="20">
        <v>53</v>
      </c>
      <c r="R171" s="4" t="s">
        <v>360</v>
      </c>
      <c r="S171" s="4" t="s">
        <v>361</v>
      </c>
      <c r="T171" t="str">
        <f t="shared" si="7"/>
        <v>Mikko Koivu</v>
      </c>
      <c r="U171">
        <f t="shared" si="8"/>
        <v>55</v>
      </c>
      <c r="V171">
        <v>55</v>
      </c>
    </row>
    <row r="172" spans="1:22" ht="30" x14ac:dyDescent="0.25">
      <c r="A172" s="17" t="s">
        <v>889</v>
      </c>
      <c r="B172" s="18">
        <v>78</v>
      </c>
      <c r="C172" s="18">
        <v>26</v>
      </c>
      <c r="D172" s="18">
        <v>27</v>
      </c>
      <c r="E172" s="18">
        <v>53</v>
      </c>
      <c r="F172" s="18">
        <v>14</v>
      </c>
      <c r="G172" s="18">
        <v>7</v>
      </c>
      <c r="H172" s="18">
        <v>0</v>
      </c>
      <c r="I172" s="18">
        <v>74</v>
      </c>
      <c r="J172" s="18">
        <v>218</v>
      </c>
      <c r="M172" t="s">
        <v>231</v>
      </c>
      <c r="N172" t="s">
        <v>1351</v>
      </c>
      <c r="O172" t="str">
        <f t="shared" si="6"/>
        <v>David Backes</v>
      </c>
      <c r="P172" s="18">
        <v>53</v>
      </c>
      <c r="R172" s="3" t="s">
        <v>277</v>
      </c>
      <c r="S172" s="3" t="s">
        <v>305</v>
      </c>
      <c r="T172" t="str">
        <f t="shared" si="7"/>
        <v>Jeff Skinner</v>
      </c>
      <c r="U172">
        <f t="shared" si="8"/>
        <v>52</v>
      </c>
      <c r="V172">
        <v>52</v>
      </c>
    </row>
    <row r="173" spans="1:22" ht="30" x14ac:dyDescent="0.25">
      <c r="A173" s="19" t="s">
        <v>890</v>
      </c>
      <c r="B173" s="20">
        <v>78</v>
      </c>
      <c r="C173" s="20">
        <v>33</v>
      </c>
      <c r="D173" s="20">
        <v>30</v>
      </c>
      <c r="E173" s="20">
        <v>63</v>
      </c>
      <c r="F173" s="20">
        <v>-16</v>
      </c>
      <c r="G173" s="20">
        <v>11</v>
      </c>
      <c r="H173" s="20">
        <v>0</v>
      </c>
      <c r="I173" s="20">
        <v>38</v>
      </c>
      <c r="J173" s="20">
        <v>217</v>
      </c>
      <c r="M173" t="s">
        <v>254</v>
      </c>
      <c r="N173" t="s">
        <v>273</v>
      </c>
      <c r="O173" t="str">
        <f t="shared" si="6"/>
        <v>Kyle Palmieri</v>
      </c>
      <c r="P173" s="20">
        <v>63</v>
      </c>
      <c r="R173" s="4" t="s">
        <v>365</v>
      </c>
      <c r="S173" s="4" t="s">
        <v>369</v>
      </c>
      <c r="T173" t="str">
        <f t="shared" si="7"/>
        <v>Tomas Hertl</v>
      </c>
      <c r="U173">
        <f t="shared" si="8"/>
        <v>46</v>
      </c>
      <c r="V173">
        <v>46</v>
      </c>
    </row>
    <row r="174" spans="1:22" ht="30" x14ac:dyDescent="0.25">
      <c r="A174" s="17" t="s">
        <v>891</v>
      </c>
      <c r="B174" s="18">
        <v>78</v>
      </c>
      <c r="C174" s="18">
        <v>23</v>
      </c>
      <c r="D174" s="18">
        <v>36</v>
      </c>
      <c r="E174" s="18">
        <v>60</v>
      </c>
      <c r="F174" s="18">
        <v>5</v>
      </c>
      <c r="G174" s="18">
        <v>12</v>
      </c>
      <c r="H174" s="18">
        <v>0</v>
      </c>
      <c r="I174" s="18">
        <v>29</v>
      </c>
      <c r="J174" s="18">
        <v>217</v>
      </c>
      <c r="M174" t="s">
        <v>302</v>
      </c>
      <c r="N174" t="s">
        <v>188</v>
      </c>
      <c r="O174" t="str">
        <f t="shared" si="6"/>
        <v>Bobby Ryan</v>
      </c>
      <c r="P174" s="18">
        <v>60</v>
      </c>
      <c r="R174" s="3" t="s">
        <v>210</v>
      </c>
      <c r="S174" s="3" t="s">
        <v>211</v>
      </c>
      <c r="T174" t="str">
        <f t="shared" si="7"/>
        <v>Sean Monahan</v>
      </c>
      <c r="U174">
        <f t="shared" si="8"/>
        <v>60</v>
      </c>
      <c r="V174">
        <v>60</v>
      </c>
    </row>
    <row r="175" spans="1:22" ht="30" x14ac:dyDescent="0.25">
      <c r="A175" s="19" t="s">
        <v>892</v>
      </c>
      <c r="B175" s="20">
        <v>78</v>
      </c>
      <c r="C175" s="20">
        <v>18</v>
      </c>
      <c r="D175" s="20">
        <v>26</v>
      </c>
      <c r="E175" s="20">
        <v>45</v>
      </c>
      <c r="F175" s="20">
        <v>40</v>
      </c>
      <c r="G175" s="20">
        <v>6</v>
      </c>
      <c r="H175" s="20">
        <v>0</v>
      </c>
      <c r="I175" s="20">
        <v>27</v>
      </c>
      <c r="J175" s="20">
        <v>200</v>
      </c>
      <c r="M175" t="s">
        <v>431</v>
      </c>
      <c r="N175" t="s">
        <v>1352</v>
      </c>
      <c r="O175" t="str">
        <f t="shared" si="6"/>
        <v>Nick Schmaltz</v>
      </c>
      <c r="P175" s="20">
        <v>45</v>
      </c>
      <c r="R175" s="4" t="s">
        <v>243</v>
      </c>
      <c r="S175" s="4" t="s">
        <v>244</v>
      </c>
      <c r="T175" t="str">
        <f t="shared" si="7"/>
        <v>Jason Spezza</v>
      </c>
      <c r="U175">
        <f t="shared" si="8"/>
        <v>72</v>
      </c>
      <c r="V175">
        <v>72</v>
      </c>
    </row>
    <row r="176" spans="1:22" ht="30" x14ac:dyDescent="0.25">
      <c r="A176" s="17" t="s">
        <v>893</v>
      </c>
      <c r="B176" s="18">
        <v>78</v>
      </c>
      <c r="C176" s="18">
        <v>31</v>
      </c>
      <c r="D176" s="18">
        <v>20</v>
      </c>
      <c r="E176" s="18">
        <v>51</v>
      </c>
      <c r="F176" s="18">
        <v>-17</v>
      </c>
      <c r="G176" s="18">
        <v>8</v>
      </c>
      <c r="H176" s="18">
        <v>0</v>
      </c>
      <c r="I176" s="18">
        <v>90</v>
      </c>
      <c r="J176" s="18">
        <v>194</v>
      </c>
      <c r="M176" t="s">
        <v>1353</v>
      </c>
      <c r="N176" t="s">
        <v>1354</v>
      </c>
      <c r="O176" t="str">
        <f t="shared" si="6"/>
        <v>Shane Doan</v>
      </c>
      <c r="P176" s="18">
        <v>51</v>
      </c>
      <c r="R176" t="s">
        <v>1348</v>
      </c>
      <c r="S176" t="s">
        <v>1349</v>
      </c>
      <c r="T176" t="str">
        <f t="shared" ref="T176:T200" si="9">R176&amp;" "&amp;S176</f>
        <v>Marian Hossa</v>
      </c>
      <c r="U176">
        <f t="shared" ref="U176:U200" si="10">VLOOKUP(T176,$O$1:$P$511,2,0)</f>
        <v>49</v>
      </c>
      <c r="V176">
        <v>49</v>
      </c>
    </row>
    <row r="177" spans="1:22" ht="45" x14ac:dyDescent="0.25">
      <c r="A177" s="19" t="s">
        <v>894</v>
      </c>
      <c r="B177" s="20">
        <v>78</v>
      </c>
      <c r="C177" s="20">
        <v>21</v>
      </c>
      <c r="D177" s="20">
        <v>24</v>
      </c>
      <c r="E177" s="20">
        <v>45</v>
      </c>
      <c r="F177" s="20">
        <v>18</v>
      </c>
      <c r="G177" s="20">
        <v>2</v>
      </c>
      <c r="H177" s="20">
        <v>0</v>
      </c>
      <c r="I177" s="20">
        <v>31</v>
      </c>
      <c r="J177" s="20">
        <v>191</v>
      </c>
      <c r="M177" t="s">
        <v>442</v>
      </c>
      <c r="N177" t="s">
        <v>443</v>
      </c>
      <c r="O177" t="str">
        <f t="shared" si="6"/>
        <v>Jakob Silfverberg</v>
      </c>
      <c r="P177" s="20">
        <v>45</v>
      </c>
      <c r="R177" t="s">
        <v>1688</v>
      </c>
      <c r="S177" t="s">
        <v>1686</v>
      </c>
      <c r="T177" t="str">
        <f t="shared" si="9"/>
        <v>Tobias Rieder</v>
      </c>
      <c r="U177" t="e">
        <f t="shared" si="10"/>
        <v>#N/A</v>
      </c>
      <c r="V177" t="e">
        <v>#N/A</v>
      </c>
    </row>
    <row r="178" spans="1:22" ht="30" x14ac:dyDescent="0.25">
      <c r="A178" s="17" t="s">
        <v>895</v>
      </c>
      <c r="B178" s="18">
        <v>78</v>
      </c>
      <c r="C178" s="18">
        <v>24</v>
      </c>
      <c r="D178" s="18">
        <v>36</v>
      </c>
      <c r="E178" s="18">
        <v>60</v>
      </c>
      <c r="F178" s="18">
        <v>-15</v>
      </c>
      <c r="G178" s="18">
        <v>6</v>
      </c>
      <c r="H178" s="18">
        <v>0</v>
      </c>
      <c r="I178" s="18">
        <v>48</v>
      </c>
      <c r="J178" s="18">
        <v>187</v>
      </c>
      <c r="M178" t="s">
        <v>321</v>
      </c>
      <c r="N178" t="s">
        <v>322</v>
      </c>
      <c r="O178" t="str">
        <f t="shared" si="6"/>
        <v>Jaromir Jagr</v>
      </c>
      <c r="P178" s="18">
        <v>60</v>
      </c>
      <c r="R178" t="s">
        <v>1373</v>
      </c>
      <c r="S178" t="s">
        <v>1374</v>
      </c>
      <c r="T178" t="str">
        <f t="shared" si="9"/>
        <v>Troy Brouwer</v>
      </c>
      <c r="U178">
        <f t="shared" si="10"/>
        <v>41</v>
      </c>
      <c r="V178">
        <v>41</v>
      </c>
    </row>
    <row r="179" spans="1:22" ht="30" x14ac:dyDescent="0.25">
      <c r="A179" s="19" t="s">
        <v>896</v>
      </c>
      <c r="B179" s="20">
        <v>78</v>
      </c>
      <c r="C179" s="20">
        <v>17</v>
      </c>
      <c r="D179" s="20">
        <v>29</v>
      </c>
      <c r="E179" s="20">
        <v>47</v>
      </c>
      <c r="F179" s="20">
        <v>24</v>
      </c>
      <c r="G179" s="20">
        <v>7</v>
      </c>
      <c r="H179" s="20">
        <v>0</v>
      </c>
      <c r="I179" s="20">
        <v>13</v>
      </c>
      <c r="J179" s="20">
        <v>187</v>
      </c>
      <c r="M179" t="s">
        <v>445</v>
      </c>
      <c r="N179" t="s">
        <v>446</v>
      </c>
      <c r="O179" t="str">
        <f t="shared" si="6"/>
        <v>Teddy Purcell</v>
      </c>
      <c r="P179" s="20">
        <v>47</v>
      </c>
      <c r="R179" t="s">
        <v>1264</v>
      </c>
      <c r="S179" t="s">
        <v>1265</v>
      </c>
      <c r="T179" t="str">
        <f t="shared" si="9"/>
        <v>Jori Lehtera</v>
      </c>
      <c r="U179">
        <f t="shared" si="10"/>
        <v>36</v>
      </c>
      <c r="V179">
        <v>36</v>
      </c>
    </row>
    <row r="180" spans="1:22" ht="30" x14ac:dyDescent="0.25">
      <c r="A180" s="17" t="s">
        <v>897</v>
      </c>
      <c r="B180" s="18">
        <v>78</v>
      </c>
      <c r="C180" s="18">
        <v>16</v>
      </c>
      <c r="D180" s="18">
        <v>24</v>
      </c>
      <c r="E180" s="18">
        <v>40</v>
      </c>
      <c r="F180" s="18">
        <v>38</v>
      </c>
      <c r="G180" s="18">
        <v>4</v>
      </c>
      <c r="H180" s="18">
        <v>0</v>
      </c>
      <c r="I180" s="18">
        <v>27</v>
      </c>
      <c r="J180" s="18">
        <v>183</v>
      </c>
      <c r="M180" t="s">
        <v>188</v>
      </c>
      <c r="N180" t="s">
        <v>1355</v>
      </c>
      <c r="O180" t="str">
        <f t="shared" si="6"/>
        <v>Ryan Hartman</v>
      </c>
      <c r="P180" s="18">
        <v>40</v>
      </c>
      <c r="R180" t="s">
        <v>1242</v>
      </c>
      <c r="S180" t="s">
        <v>1243</v>
      </c>
      <c r="T180" t="str">
        <f t="shared" si="9"/>
        <v>William Nylander</v>
      </c>
      <c r="U180">
        <f t="shared" si="10"/>
        <v>52</v>
      </c>
      <c r="V180">
        <v>52</v>
      </c>
    </row>
    <row r="181" spans="1:22" ht="45" x14ac:dyDescent="0.25">
      <c r="A181" s="19" t="s">
        <v>898</v>
      </c>
      <c r="B181" s="20">
        <v>78</v>
      </c>
      <c r="C181" s="20">
        <v>25</v>
      </c>
      <c r="D181" s="20">
        <v>17</v>
      </c>
      <c r="E181" s="20">
        <v>42</v>
      </c>
      <c r="F181" s="20">
        <v>22</v>
      </c>
      <c r="G181" s="20">
        <v>1</v>
      </c>
      <c r="H181" s="20">
        <v>0</v>
      </c>
      <c r="I181" s="20">
        <v>32</v>
      </c>
      <c r="J181" s="20">
        <v>180</v>
      </c>
      <c r="M181" t="s">
        <v>231</v>
      </c>
      <c r="N181" t="s">
        <v>1356</v>
      </c>
      <c r="O181" t="str">
        <f t="shared" si="6"/>
        <v>David Pastrnak</v>
      </c>
      <c r="P181" s="20">
        <v>42</v>
      </c>
      <c r="R181" t="s">
        <v>349</v>
      </c>
      <c r="S181" t="s">
        <v>1370</v>
      </c>
      <c r="T181" t="str">
        <f t="shared" si="9"/>
        <v>Drew Stafford</v>
      </c>
      <c r="U181">
        <f t="shared" si="10"/>
        <v>40</v>
      </c>
      <c r="V181">
        <v>40</v>
      </c>
    </row>
    <row r="182" spans="1:22" ht="30" x14ac:dyDescent="0.25">
      <c r="A182" s="17" t="s">
        <v>899</v>
      </c>
      <c r="B182" s="18">
        <v>78</v>
      </c>
      <c r="C182" s="18">
        <v>31</v>
      </c>
      <c r="D182" s="18">
        <v>27</v>
      </c>
      <c r="E182" s="18">
        <v>59</v>
      </c>
      <c r="F182" s="18">
        <v>-28</v>
      </c>
      <c r="G182" s="18">
        <v>8</v>
      </c>
      <c r="H182" s="18">
        <v>0</v>
      </c>
      <c r="I182" s="18">
        <v>16</v>
      </c>
      <c r="J182" s="18">
        <v>179</v>
      </c>
      <c r="M182" t="s">
        <v>226</v>
      </c>
      <c r="N182" t="s">
        <v>227</v>
      </c>
      <c r="O182" t="str">
        <f t="shared" si="6"/>
        <v>Jordan Eberle</v>
      </c>
      <c r="P182" s="18">
        <v>59</v>
      </c>
      <c r="R182" t="s">
        <v>1410</v>
      </c>
      <c r="S182" t="s">
        <v>1526</v>
      </c>
      <c r="T182" t="str">
        <f t="shared" si="9"/>
        <v>Jake Muzzin</v>
      </c>
      <c r="U182">
        <f t="shared" si="10"/>
        <v>41</v>
      </c>
      <c r="V182">
        <v>41</v>
      </c>
    </row>
    <row r="183" spans="1:22" ht="30" x14ac:dyDescent="0.25">
      <c r="A183" s="19" t="s">
        <v>900</v>
      </c>
      <c r="B183" s="20">
        <v>78</v>
      </c>
      <c r="C183" s="20">
        <v>27</v>
      </c>
      <c r="D183" s="20">
        <v>25</v>
      </c>
      <c r="E183" s="20">
        <v>53</v>
      </c>
      <c r="F183" s="20">
        <v>-18</v>
      </c>
      <c r="G183" s="20">
        <v>6</v>
      </c>
      <c r="H183" s="20">
        <v>0</v>
      </c>
      <c r="I183" s="20">
        <v>20</v>
      </c>
      <c r="J183" s="20">
        <v>177</v>
      </c>
      <c r="M183" t="s">
        <v>329</v>
      </c>
      <c r="N183" t="s">
        <v>330</v>
      </c>
      <c r="O183" t="str">
        <f t="shared" si="6"/>
        <v>Cam Atkinson</v>
      </c>
      <c r="P183" s="20">
        <v>53</v>
      </c>
      <c r="R183" t="s">
        <v>222</v>
      </c>
      <c r="S183" t="s">
        <v>1517</v>
      </c>
      <c r="T183" t="str">
        <f t="shared" si="9"/>
        <v>Brent Seabrook</v>
      </c>
      <c r="U183">
        <f t="shared" si="10"/>
        <v>50</v>
      </c>
      <c r="V183">
        <v>50</v>
      </c>
    </row>
    <row r="184" spans="1:22" x14ac:dyDescent="0.25">
      <c r="A184" s="17" t="s">
        <v>901</v>
      </c>
      <c r="B184" s="18">
        <v>78</v>
      </c>
      <c r="C184" s="18">
        <v>23</v>
      </c>
      <c r="D184" s="18">
        <v>22</v>
      </c>
      <c r="E184" s="18">
        <v>45</v>
      </c>
      <c r="F184" s="18">
        <v>8</v>
      </c>
      <c r="G184" s="18">
        <v>5</v>
      </c>
      <c r="H184" s="18">
        <v>0</v>
      </c>
      <c r="I184" s="18">
        <v>37</v>
      </c>
      <c r="J184" s="18">
        <v>177</v>
      </c>
      <c r="M184" t="s">
        <v>1357</v>
      </c>
      <c r="N184" t="s">
        <v>1358</v>
      </c>
      <c r="O184" t="str">
        <f t="shared" si="6"/>
        <v>Joel Ward</v>
      </c>
      <c r="P184" s="18">
        <v>45</v>
      </c>
      <c r="R184" t="s">
        <v>233</v>
      </c>
      <c r="S184" t="s">
        <v>1436</v>
      </c>
      <c r="T184" t="str">
        <f t="shared" si="9"/>
        <v>Alex Killorn</v>
      </c>
      <c r="U184">
        <f t="shared" si="10"/>
        <v>49</v>
      </c>
      <c r="V184">
        <v>49</v>
      </c>
    </row>
    <row r="185" spans="1:22" ht="30" x14ac:dyDescent="0.25">
      <c r="A185" s="19" t="s">
        <v>902</v>
      </c>
      <c r="B185" s="20">
        <v>78</v>
      </c>
      <c r="C185" s="20">
        <v>13</v>
      </c>
      <c r="D185" s="20">
        <v>27</v>
      </c>
      <c r="E185" s="20">
        <v>41</v>
      </c>
      <c r="F185" s="20">
        <v>27</v>
      </c>
      <c r="G185" s="20">
        <v>3</v>
      </c>
      <c r="H185" s="20">
        <v>0</v>
      </c>
      <c r="I185" s="20">
        <v>24</v>
      </c>
      <c r="J185" s="20">
        <v>176</v>
      </c>
      <c r="M185" t="s">
        <v>1359</v>
      </c>
      <c r="N185" t="s">
        <v>1360</v>
      </c>
      <c r="O185" t="str">
        <f t="shared" si="6"/>
        <v>Ales Hemsky</v>
      </c>
      <c r="P185" s="20">
        <v>41</v>
      </c>
      <c r="R185" t="s">
        <v>333</v>
      </c>
      <c r="S185" t="s">
        <v>1434</v>
      </c>
      <c r="T185" t="str">
        <f t="shared" si="9"/>
        <v>Carl Hagelin</v>
      </c>
      <c r="U185">
        <f t="shared" si="10"/>
        <v>49</v>
      </c>
      <c r="V185">
        <v>49</v>
      </c>
    </row>
    <row r="186" spans="1:22" ht="30" x14ac:dyDescent="0.25">
      <c r="A186" s="17" t="s">
        <v>903</v>
      </c>
      <c r="B186" s="18">
        <v>78</v>
      </c>
      <c r="C186" s="18">
        <v>26</v>
      </c>
      <c r="D186" s="18">
        <v>25</v>
      </c>
      <c r="E186" s="18">
        <v>51</v>
      </c>
      <c r="F186" s="18">
        <v>-13</v>
      </c>
      <c r="G186" s="18">
        <v>6</v>
      </c>
      <c r="H186" s="18">
        <v>0</v>
      </c>
      <c r="I186" s="18">
        <v>27</v>
      </c>
      <c r="J186" s="18">
        <v>172</v>
      </c>
      <c r="M186" t="s">
        <v>428</v>
      </c>
      <c r="N186" t="s">
        <v>429</v>
      </c>
      <c r="O186" t="str">
        <f t="shared" si="6"/>
        <v>Reilly Smith</v>
      </c>
      <c r="P186" s="18">
        <v>51</v>
      </c>
      <c r="R186" t="s">
        <v>1371</v>
      </c>
      <c r="S186" t="s">
        <v>1372</v>
      </c>
      <c r="T186" t="str">
        <f t="shared" si="9"/>
        <v>Joonas Donskoi</v>
      </c>
      <c r="U186">
        <f t="shared" si="10"/>
        <v>38</v>
      </c>
      <c r="V186">
        <v>38</v>
      </c>
    </row>
    <row r="187" spans="1:22" ht="30" x14ac:dyDescent="0.25">
      <c r="A187" s="19" t="s">
        <v>904</v>
      </c>
      <c r="B187" s="20">
        <v>78</v>
      </c>
      <c r="C187" s="20">
        <v>23</v>
      </c>
      <c r="D187" s="20">
        <v>24</v>
      </c>
      <c r="E187" s="20">
        <v>47</v>
      </c>
      <c r="F187" s="20">
        <v>-12</v>
      </c>
      <c r="G187" s="20">
        <v>10</v>
      </c>
      <c r="H187" s="20">
        <v>0</v>
      </c>
      <c r="I187" s="20">
        <v>43</v>
      </c>
      <c r="J187" s="20">
        <v>171</v>
      </c>
      <c r="M187" t="s">
        <v>449</v>
      </c>
      <c r="N187" t="s">
        <v>450</v>
      </c>
      <c r="O187" t="str">
        <f t="shared" si="6"/>
        <v>Jarome Iginla</v>
      </c>
      <c r="P187" s="20">
        <v>47</v>
      </c>
      <c r="R187" t="s">
        <v>1231</v>
      </c>
      <c r="S187" t="s">
        <v>1232</v>
      </c>
      <c r="T187" t="str">
        <f t="shared" si="9"/>
        <v>Antoine Vermette</v>
      </c>
      <c r="U187">
        <f t="shared" si="10"/>
        <v>48</v>
      </c>
      <c r="V187">
        <v>48</v>
      </c>
    </row>
    <row r="188" spans="1:22" ht="45" x14ac:dyDescent="0.25">
      <c r="A188" s="17" t="s">
        <v>905</v>
      </c>
      <c r="B188" s="18">
        <v>78</v>
      </c>
      <c r="C188" s="18">
        <v>27</v>
      </c>
      <c r="D188" s="18">
        <v>28</v>
      </c>
      <c r="E188" s="18">
        <v>56</v>
      </c>
      <c r="F188" s="18">
        <v>-25</v>
      </c>
      <c r="G188" s="18">
        <v>8</v>
      </c>
      <c r="H188" s="18">
        <v>1</v>
      </c>
      <c r="I188" s="18">
        <v>11</v>
      </c>
      <c r="J188" s="18">
        <v>171</v>
      </c>
      <c r="M188" t="s">
        <v>298</v>
      </c>
      <c r="N188" t="s">
        <v>299</v>
      </c>
      <c r="O188" t="str">
        <f t="shared" si="6"/>
        <v>Loui Eriksson</v>
      </c>
      <c r="P188" s="18">
        <v>56</v>
      </c>
      <c r="R188" t="s">
        <v>1453</v>
      </c>
      <c r="S188" t="s">
        <v>1454</v>
      </c>
      <c r="T188" t="str">
        <f t="shared" si="9"/>
        <v>Andre Burakovsky</v>
      </c>
      <c r="U188">
        <f t="shared" si="10"/>
        <v>37</v>
      </c>
      <c r="V188">
        <v>37</v>
      </c>
    </row>
    <row r="189" spans="1:22" ht="30" x14ac:dyDescent="0.25">
      <c r="A189" s="19" t="s">
        <v>906</v>
      </c>
      <c r="B189" s="20">
        <v>78</v>
      </c>
      <c r="C189" s="20">
        <v>19</v>
      </c>
      <c r="D189" s="20">
        <v>20</v>
      </c>
      <c r="E189" s="20">
        <v>39</v>
      </c>
      <c r="F189" s="20">
        <v>0</v>
      </c>
      <c r="G189" s="20">
        <v>5</v>
      </c>
      <c r="H189" s="20">
        <v>0</v>
      </c>
      <c r="I189" s="20">
        <v>113</v>
      </c>
      <c r="J189" s="20">
        <v>171</v>
      </c>
      <c r="M189" t="s">
        <v>310</v>
      </c>
      <c r="N189" t="s">
        <v>1361</v>
      </c>
      <c r="O189" t="str">
        <f t="shared" si="6"/>
        <v>Andrew Shaw</v>
      </c>
      <c r="P189" s="20">
        <v>39</v>
      </c>
      <c r="R189" t="s">
        <v>1353</v>
      </c>
      <c r="S189" t="s">
        <v>1354</v>
      </c>
      <c r="T189" t="str">
        <f t="shared" si="9"/>
        <v>Shane Doan</v>
      </c>
      <c r="U189">
        <f t="shared" si="10"/>
        <v>51</v>
      </c>
      <c r="V189">
        <v>51</v>
      </c>
    </row>
    <row r="190" spans="1:22" ht="30" x14ac:dyDescent="0.25">
      <c r="A190" s="17" t="s">
        <v>907</v>
      </c>
      <c r="B190" s="18">
        <v>78</v>
      </c>
      <c r="C190" s="18">
        <v>21</v>
      </c>
      <c r="D190" s="18">
        <v>16</v>
      </c>
      <c r="E190" s="18">
        <v>37</v>
      </c>
      <c r="F190" s="18">
        <v>15</v>
      </c>
      <c r="G190" s="18">
        <v>2</v>
      </c>
      <c r="H190" s="18">
        <v>0</v>
      </c>
      <c r="I190" s="18">
        <v>37</v>
      </c>
      <c r="J190" s="18">
        <v>170</v>
      </c>
      <c r="M190" t="s">
        <v>1362</v>
      </c>
      <c r="N190" t="s">
        <v>429</v>
      </c>
      <c r="O190" t="str">
        <f t="shared" si="6"/>
        <v>Craig Smith</v>
      </c>
      <c r="P190" s="18">
        <v>37</v>
      </c>
      <c r="R190" t="s">
        <v>166</v>
      </c>
      <c r="S190" t="s">
        <v>1261</v>
      </c>
      <c r="T190" t="str">
        <f t="shared" si="9"/>
        <v>Tyler Ennis</v>
      </c>
      <c r="U190">
        <f t="shared" si="10"/>
        <v>43</v>
      </c>
      <c r="V190">
        <v>43</v>
      </c>
    </row>
    <row r="191" spans="1:22" ht="30" x14ac:dyDescent="0.25">
      <c r="A191" s="19" t="s">
        <v>908</v>
      </c>
      <c r="B191" s="20">
        <v>78</v>
      </c>
      <c r="C191" s="20">
        <v>29</v>
      </c>
      <c r="D191" s="20">
        <v>20</v>
      </c>
      <c r="E191" s="20">
        <v>50</v>
      </c>
      <c r="F191" s="20">
        <v>-6</v>
      </c>
      <c r="G191" s="20">
        <v>0</v>
      </c>
      <c r="H191" s="20">
        <v>0</v>
      </c>
      <c r="I191" s="20">
        <v>40</v>
      </c>
      <c r="J191" s="20">
        <v>163</v>
      </c>
      <c r="M191" t="s">
        <v>1363</v>
      </c>
      <c r="N191" t="s">
        <v>1364</v>
      </c>
      <c r="O191" t="str">
        <f t="shared" si="6"/>
        <v>Jannik Hansen</v>
      </c>
      <c r="P191" s="20">
        <v>50</v>
      </c>
      <c r="R191" t="s">
        <v>442</v>
      </c>
      <c r="S191" t="s">
        <v>1687</v>
      </c>
      <c r="T191" t="str">
        <f t="shared" si="9"/>
        <v>Jakob Sifverberg</v>
      </c>
      <c r="U191" t="e">
        <f t="shared" si="10"/>
        <v>#N/A</v>
      </c>
      <c r="V191" t="e">
        <v>#N/A</v>
      </c>
    </row>
    <row r="192" spans="1:22" ht="45" x14ac:dyDescent="0.25">
      <c r="A192" s="17" t="s">
        <v>909</v>
      </c>
      <c r="B192" s="18">
        <v>78</v>
      </c>
      <c r="C192" s="18">
        <v>21</v>
      </c>
      <c r="D192" s="18">
        <v>34</v>
      </c>
      <c r="E192" s="18">
        <v>55</v>
      </c>
      <c r="F192" s="18">
        <v>-25</v>
      </c>
      <c r="G192" s="18">
        <v>5</v>
      </c>
      <c r="H192" s="18">
        <v>0</v>
      </c>
      <c r="I192" s="18">
        <v>31</v>
      </c>
      <c r="J192" s="18">
        <v>159</v>
      </c>
      <c r="M192" t="s">
        <v>1365</v>
      </c>
      <c r="N192" t="s">
        <v>1366</v>
      </c>
      <c r="O192" t="str">
        <f t="shared" si="6"/>
        <v>Lee Stempniak</v>
      </c>
      <c r="P192" s="18">
        <v>55</v>
      </c>
      <c r="R192" t="s">
        <v>402</v>
      </c>
      <c r="S192" t="s">
        <v>1550</v>
      </c>
      <c r="T192" t="str">
        <f t="shared" si="9"/>
        <v>Keith Yandle</v>
      </c>
      <c r="U192">
        <f t="shared" si="10"/>
        <v>42</v>
      </c>
      <c r="V192">
        <v>42</v>
      </c>
    </row>
    <row r="193" spans="1:22" ht="30" x14ac:dyDescent="0.25">
      <c r="A193" s="19" t="s">
        <v>910</v>
      </c>
      <c r="B193" s="20">
        <v>78</v>
      </c>
      <c r="C193" s="20">
        <v>19</v>
      </c>
      <c r="D193" s="20">
        <v>24</v>
      </c>
      <c r="E193" s="20">
        <v>44</v>
      </c>
      <c r="F193" s="20">
        <v>-3</v>
      </c>
      <c r="G193" s="20">
        <v>6</v>
      </c>
      <c r="H193" s="20">
        <v>0</v>
      </c>
      <c r="I193" s="20">
        <v>35</v>
      </c>
      <c r="J193" s="20">
        <v>158</v>
      </c>
      <c r="M193" t="s">
        <v>314</v>
      </c>
      <c r="N193" t="s">
        <v>315</v>
      </c>
      <c r="O193" t="str">
        <f t="shared" si="6"/>
        <v>Gustav Nyquist</v>
      </c>
      <c r="P193" s="20">
        <v>44</v>
      </c>
      <c r="R193" t="s">
        <v>431</v>
      </c>
      <c r="S193" t="s">
        <v>1553</v>
      </c>
      <c r="T193" t="str">
        <f t="shared" si="9"/>
        <v>Nick Leddy</v>
      </c>
      <c r="U193">
        <f t="shared" si="10"/>
        <v>40</v>
      </c>
      <c r="V193">
        <v>40</v>
      </c>
    </row>
    <row r="194" spans="1:22" ht="45" x14ac:dyDescent="0.25">
      <c r="A194" s="17" t="s">
        <v>911</v>
      </c>
      <c r="B194" s="18">
        <v>78</v>
      </c>
      <c r="C194" s="18">
        <v>17</v>
      </c>
      <c r="D194" s="18">
        <v>21</v>
      </c>
      <c r="E194" s="18">
        <v>39</v>
      </c>
      <c r="F194" s="18">
        <v>4</v>
      </c>
      <c r="G194" s="18">
        <v>5</v>
      </c>
      <c r="H194" s="18">
        <v>0</v>
      </c>
      <c r="I194" s="18">
        <v>40</v>
      </c>
      <c r="J194" s="18">
        <v>151</v>
      </c>
      <c r="M194" t="s">
        <v>174</v>
      </c>
      <c r="N194" t="s">
        <v>230</v>
      </c>
      <c r="O194" t="str">
        <f t="shared" ref="O194:O257" si="11">M194&amp;" "&amp;N194</f>
        <v>Alexander Radulov</v>
      </c>
      <c r="P194" s="18">
        <v>39</v>
      </c>
      <c r="R194" t="s">
        <v>1536</v>
      </c>
      <c r="S194" t="s">
        <v>1537</v>
      </c>
      <c r="T194" t="str">
        <f t="shared" si="9"/>
        <v>Dougie Hamilton</v>
      </c>
      <c r="U194">
        <f t="shared" si="10"/>
        <v>39</v>
      </c>
      <c r="V194">
        <v>39</v>
      </c>
    </row>
    <row r="195" spans="1:22" ht="30" x14ac:dyDescent="0.25">
      <c r="A195" s="19" t="s">
        <v>912</v>
      </c>
      <c r="B195" s="20">
        <v>78</v>
      </c>
      <c r="C195" s="20">
        <v>18</v>
      </c>
      <c r="D195" s="20">
        <v>35</v>
      </c>
      <c r="E195" s="20">
        <v>54</v>
      </c>
      <c r="F195" s="20">
        <v>-56</v>
      </c>
      <c r="G195" s="20">
        <v>11</v>
      </c>
      <c r="H195" s="20">
        <v>0</v>
      </c>
      <c r="I195" s="20">
        <v>58</v>
      </c>
      <c r="J195" s="20">
        <v>148</v>
      </c>
      <c r="M195" t="s">
        <v>254</v>
      </c>
      <c r="N195" t="s">
        <v>258</v>
      </c>
      <c r="O195" t="str">
        <f t="shared" si="11"/>
        <v>Kyle Okposo</v>
      </c>
      <c r="P195" s="20">
        <v>54</v>
      </c>
      <c r="R195" t="s">
        <v>1455</v>
      </c>
      <c r="S195" t="s">
        <v>1456</v>
      </c>
      <c r="T195" t="str">
        <f t="shared" si="9"/>
        <v>Tanner Pearson</v>
      </c>
      <c r="U195">
        <f t="shared" si="10"/>
        <v>39</v>
      </c>
      <c r="V195">
        <v>39</v>
      </c>
    </row>
    <row r="196" spans="1:22" ht="30" x14ac:dyDescent="0.25">
      <c r="A196" s="17" t="s">
        <v>913</v>
      </c>
      <c r="B196" s="18">
        <v>78</v>
      </c>
      <c r="C196" s="18">
        <v>14</v>
      </c>
      <c r="D196" s="18">
        <v>22</v>
      </c>
      <c r="E196" s="18">
        <v>37</v>
      </c>
      <c r="F196" s="18">
        <v>12</v>
      </c>
      <c r="G196" s="18">
        <v>4</v>
      </c>
      <c r="H196" s="18">
        <v>0</v>
      </c>
      <c r="I196" s="18">
        <v>38</v>
      </c>
      <c r="J196" s="18">
        <v>147</v>
      </c>
      <c r="M196" t="s">
        <v>426</v>
      </c>
      <c r="N196" t="s">
        <v>451</v>
      </c>
      <c r="O196" t="str">
        <f t="shared" si="11"/>
        <v>Kevin Hayes</v>
      </c>
      <c r="P196" s="18">
        <v>37</v>
      </c>
      <c r="R196" t="s">
        <v>166</v>
      </c>
      <c r="S196" t="s">
        <v>1251</v>
      </c>
      <c r="T196" t="str">
        <f t="shared" si="9"/>
        <v>Tyler Bozak</v>
      </c>
      <c r="U196">
        <f t="shared" si="10"/>
        <v>52</v>
      </c>
      <c r="V196">
        <v>52</v>
      </c>
    </row>
    <row r="197" spans="1:22" ht="30" x14ac:dyDescent="0.25">
      <c r="A197" s="19" t="s">
        <v>914</v>
      </c>
      <c r="B197" s="20">
        <v>78</v>
      </c>
      <c r="C197" s="20">
        <v>17</v>
      </c>
      <c r="D197" s="20">
        <v>15</v>
      </c>
      <c r="E197" s="20">
        <v>32</v>
      </c>
      <c r="F197" s="20">
        <v>0</v>
      </c>
      <c r="G197" s="20">
        <v>2</v>
      </c>
      <c r="H197" s="20">
        <v>0</v>
      </c>
      <c r="I197" s="20">
        <v>29</v>
      </c>
      <c r="J197" s="20">
        <v>144</v>
      </c>
      <c r="M197" t="s">
        <v>1348</v>
      </c>
      <c r="N197" t="s">
        <v>1367</v>
      </c>
      <c r="O197" t="str">
        <f t="shared" si="11"/>
        <v>Marian Gaborik</v>
      </c>
      <c r="P197" s="20">
        <v>32</v>
      </c>
      <c r="R197" t="s">
        <v>1566</v>
      </c>
      <c r="S197" t="s">
        <v>1567</v>
      </c>
      <c r="T197" t="str">
        <f t="shared" si="9"/>
        <v>Morgan Rielly</v>
      </c>
      <c r="U197">
        <f t="shared" si="10"/>
        <v>36</v>
      </c>
      <c r="V197">
        <v>36</v>
      </c>
    </row>
    <row r="198" spans="1:22" ht="30" x14ac:dyDescent="0.25">
      <c r="A198" s="17" t="s">
        <v>915</v>
      </c>
      <c r="B198" s="18">
        <v>78</v>
      </c>
      <c r="C198" s="18">
        <v>13</v>
      </c>
      <c r="D198" s="18">
        <v>12</v>
      </c>
      <c r="E198" s="18">
        <v>26</v>
      </c>
      <c r="F198" s="18">
        <v>34</v>
      </c>
      <c r="G198" s="18">
        <v>0</v>
      </c>
      <c r="H198" s="18">
        <v>0</v>
      </c>
      <c r="I198" s="18">
        <v>30</v>
      </c>
      <c r="J198" s="18">
        <v>142</v>
      </c>
      <c r="M198" t="s">
        <v>280</v>
      </c>
      <c r="N198" t="s">
        <v>1368</v>
      </c>
      <c r="O198" t="str">
        <f t="shared" si="11"/>
        <v>Bryan Rust</v>
      </c>
      <c r="P198" s="18">
        <v>26</v>
      </c>
      <c r="R198" t="s">
        <v>1236</v>
      </c>
      <c r="S198" t="s">
        <v>1237</v>
      </c>
      <c r="T198" t="str">
        <f t="shared" si="9"/>
        <v>Mathieu Perreault</v>
      </c>
      <c r="U198">
        <f t="shared" si="10"/>
        <v>51</v>
      </c>
      <c r="V198">
        <v>51</v>
      </c>
    </row>
    <row r="199" spans="1:22" ht="30" x14ac:dyDescent="0.25">
      <c r="A199" s="19" t="s">
        <v>916</v>
      </c>
      <c r="B199" s="20">
        <v>78</v>
      </c>
      <c r="C199" s="20">
        <v>15</v>
      </c>
      <c r="D199" s="20">
        <v>17</v>
      </c>
      <c r="E199" s="20">
        <v>32</v>
      </c>
      <c r="F199" s="20">
        <v>7</v>
      </c>
      <c r="G199" s="20">
        <v>3</v>
      </c>
      <c r="H199" s="20">
        <v>0</v>
      </c>
      <c r="I199" s="20">
        <v>62</v>
      </c>
      <c r="J199" s="20">
        <v>139</v>
      </c>
      <c r="M199" t="s">
        <v>1369</v>
      </c>
      <c r="N199" t="s">
        <v>451</v>
      </c>
      <c r="O199" t="str">
        <f t="shared" si="11"/>
        <v>Jimmy Hayes</v>
      </c>
      <c r="P199" s="20">
        <v>32</v>
      </c>
      <c r="R199" t="s">
        <v>231</v>
      </c>
      <c r="S199" t="s">
        <v>1351</v>
      </c>
      <c r="T199" t="str">
        <f t="shared" si="9"/>
        <v>David Backes</v>
      </c>
      <c r="U199">
        <f t="shared" si="10"/>
        <v>53</v>
      </c>
      <c r="V199">
        <v>53</v>
      </c>
    </row>
    <row r="200" spans="1:22" ht="45" x14ac:dyDescent="0.25">
      <c r="A200" s="17" t="s">
        <v>917</v>
      </c>
      <c r="B200" s="18">
        <v>78</v>
      </c>
      <c r="C200" s="18">
        <v>22</v>
      </c>
      <c r="D200" s="18">
        <v>17</v>
      </c>
      <c r="E200" s="18">
        <v>40</v>
      </c>
      <c r="F200" s="18">
        <v>-23</v>
      </c>
      <c r="G200" s="18">
        <v>6</v>
      </c>
      <c r="H200" s="18">
        <v>1</v>
      </c>
      <c r="I200" s="18">
        <v>23</v>
      </c>
      <c r="J200" s="18">
        <v>139</v>
      </c>
      <c r="M200" t="s">
        <v>349</v>
      </c>
      <c r="N200" t="s">
        <v>1370</v>
      </c>
      <c r="O200" t="str">
        <f t="shared" si="11"/>
        <v>Drew Stafford</v>
      </c>
      <c r="P200" s="18">
        <v>40</v>
      </c>
      <c r="R200" t="s">
        <v>1388</v>
      </c>
      <c r="S200" t="s">
        <v>1389</v>
      </c>
      <c r="T200" t="str">
        <f t="shared" si="9"/>
        <v>Elias Lindholm</v>
      </c>
      <c r="U200">
        <f t="shared" si="10"/>
        <v>39</v>
      </c>
      <c r="V200">
        <v>39</v>
      </c>
    </row>
    <row r="201" spans="1:22" ht="30" x14ac:dyDescent="0.25">
      <c r="A201" s="19" t="s">
        <v>918</v>
      </c>
      <c r="B201" s="20">
        <v>78</v>
      </c>
      <c r="C201" s="20">
        <v>14</v>
      </c>
      <c r="D201" s="20">
        <v>24</v>
      </c>
      <c r="E201" s="20">
        <v>38</v>
      </c>
      <c r="F201" s="20">
        <v>8</v>
      </c>
      <c r="G201" s="20">
        <v>3</v>
      </c>
      <c r="H201" s="20">
        <v>0</v>
      </c>
      <c r="I201" s="20">
        <v>21</v>
      </c>
      <c r="J201" s="20">
        <v>139</v>
      </c>
      <c r="M201" t="s">
        <v>1371</v>
      </c>
      <c r="N201" t="s">
        <v>1372</v>
      </c>
      <c r="O201" t="str">
        <f t="shared" si="11"/>
        <v>Joonas Donskoi</v>
      </c>
      <c r="P201" s="20">
        <v>38</v>
      </c>
      <c r="R201" t="s">
        <v>1239</v>
      </c>
      <c r="S201" t="s">
        <v>1240</v>
      </c>
      <c r="T201" t="str">
        <f>R201&amp;" "&amp;S201</f>
        <v>Jean-Gabriel Pageau</v>
      </c>
      <c r="U201">
        <f>VLOOKUP(T201,$O$1:$P$511,2,0)</f>
        <v>45</v>
      </c>
      <c r="V201">
        <v>45</v>
      </c>
    </row>
    <row r="202" spans="1:22" ht="30" x14ac:dyDescent="0.25">
      <c r="A202" s="17" t="s">
        <v>919</v>
      </c>
      <c r="B202" s="18">
        <v>78</v>
      </c>
      <c r="C202" s="18">
        <v>21</v>
      </c>
      <c r="D202" s="18">
        <v>20</v>
      </c>
      <c r="E202" s="18">
        <v>41</v>
      </c>
      <c r="F202" s="18">
        <v>-20</v>
      </c>
      <c r="G202" s="18">
        <v>5</v>
      </c>
      <c r="H202" s="18">
        <v>0</v>
      </c>
      <c r="I202" s="18">
        <v>63</v>
      </c>
      <c r="J202" s="18">
        <v>137</v>
      </c>
      <c r="M202" t="s">
        <v>1373</v>
      </c>
      <c r="N202" t="s">
        <v>1374</v>
      </c>
      <c r="O202" t="str">
        <f t="shared" si="11"/>
        <v>Troy Brouwer</v>
      </c>
      <c r="P202" s="18">
        <v>41</v>
      </c>
      <c r="R202" s="3" t="s">
        <v>1249</v>
      </c>
      <c r="S202" s="3" t="s">
        <v>1597</v>
      </c>
      <c r="T202" t="str">
        <f t="shared" ref="T202:T205" si="12">R202&amp;" "&amp;S202</f>
        <v>Seth Jones</v>
      </c>
      <c r="U202">
        <f t="shared" ref="U202:U205" si="13">VLOOKUP(T202,$O$1:$P$511,2,0)</f>
        <v>32</v>
      </c>
      <c r="V202">
        <v>32</v>
      </c>
    </row>
    <row r="203" spans="1:22" ht="45" x14ac:dyDescent="0.25">
      <c r="A203" s="19" t="s">
        <v>920</v>
      </c>
      <c r="B203" s="20">
        <v>78</v>
      </c>
      <c r="C203" s="20">
        <v>19</v>
      </c>
      <c r="D203" s="20">
        <v>25</v>
      </c>
      <c r="E203" s="20">
        <v>44</v>
      </c>
      <c r="F203" s="20">
        <v>-21</v>
      </c>
      <c r="G203" s="20">
        <v>2</v>
      </c>
      <c r="H203" s="20">
        <v>0</v>
      </c>
      <c r="I203" s="20">
        <v>49</v>
      </c>
      <c r="J203" s="20">
        <v>137</v>
      </c>
      <c r="M203" t="s">
        <v>438</v>
      </c>
      <c r="N203" t="s">
        <v>439</v>
      </c>
      <c r="O203" t="str">
        <f t="shared" si="11"/>
        <v>Nino Niederreiter</v>
      </c>
      <c r="P203" s="20">
        <v>44</v>
      </c>
      <c r="R203" s="4" t="s">
        <v>231</v>
      </c>
      <c r="S203" s="4" t="s">
        <v>1356</v>
      </c>
      <c r="T203" t="str">
        <f t="shared" si="12"/>
        <v>David Pastrnak</v>
      </c>
      <c r="U203">
        <f t="shared" si="13"/>
        <v>42</v>
      </c>
      <c r="V203">
        <v>42</v>
      </c>
    </row>
    <row r="204" spans="1:22" ht="45" x14ac:dyDescent="0.25">
      <c r="A204" s="17" t="s">
        <v>921</v>
      </c>
      <c r="B204" s="18">
        <v>78</v>
      </c>
      <c r="C204" s="18">
        <v>15</v>
      </c>
      <c r="D204" s="18">
        <v>27</v>
      </c>
      <c r="E204" s="18">
        <v>42</v>
      </c>
      <c r="F204" s="18">
        <v>-21</v>
      </c>
      <c r="G204" s="18">
        <v>5</v>
      </c>
      <c r="H204" s="18">
        <v>0</v>
      </c>
      <c r="I204" s="18">
        <v>23</v>
      </c>
      <c r="J204" s="18">
        <v>136</v>
      </c>
      <c r="M204" t="s">
        <v>243</v>
      </c>
      <c r="N204" t="s">
        <v>444</v>
      </c>
      <c r="O204" t="str">
        <f t="shared" si="11"/>
        <v>Jason Pominville</v>
      </c>
      <c r="P204" s="18">
        <v>42</v>
      </c>
      <c r="R204" s="3" t="s">
        <v>1692</v>
      </c>
      <c r="S204" s="3" t="s">
        <v>1554</v>
      </c>
      <c r="T204" t="str">
        <f t="shared" si="12"/>
        <v>TJ Brodie</v>
      </c>
      <c r="U204" t="e">
        <f>VLOOKUP(T204,$O$1:$P$511,2,0)</f>
        <v>#N/A</v>
      </c>
      <c r="V204" t="e">
        <v>#N/A</v>
      </c>
    </row>
    <row r="205" spans="1:22" ht="45" x14ac:dyDescent="0.25">
      <c r="A205" s="19" t="s">
        <v>922</v>
      </c>
      <c r="B205" s="20">
        <v>78</v>
      </c>
      <c r="C205" s="20">
        <v>17</v>
      </c>
      <c r="D205" s="20">
        <v>23</v>
      </c>
      <c r="E205" s="20">
        <v>41</v>
      </c>
      <c r="F205" s="20">
        <v>-33</v>
      </c>
      <c r="G205" s="20">
        <v>6</v>
      </c>
      <c r="H205" s="20">
        <v>0</v>
      </c>
      <c r="I205" s="20">
        <v>46</v>
      </c>
      <c r="J205" s="20">
        <v>133</v>
      </c>
      <c r="M205" t="s">
        <v>208</v>
      </c>
      <c r="N205" t="s">
        <v>1375</v>
      </c>
      <c r="O205" t="str">
        <f t="shared" si="11"/>
        <v>Nikita Soshnikov</v>
      </c>
      <c r="P205" s="20">
        <v>41</v>
      </c>
      <c r="R205" s="4" t="s">
        <v>1288</v>
      </c>
      <c r="S205" s="4" t="s">
        <v>1289</v>
      </c>
      <c r="T205" t="str">
        <f t="shared" si="12"/>
        <v>Mitchell Marner</v>
      </c>
      <c r="U205">
        <f t="shared" si="13"/>
        <v>36</v>
      </c>
      <c r="V205">
        <v>36</v>
      </c>
    </row>
    <row r="206" spans="1:22" ht="30" x14ac:dyDescent="0.25">
      <c r="A206" s="17" t="s">
        <v>923</v>
      </c>
      <c r="B206" s="18">
        <v>78</v>
      </c>
      <c r="C206" s="18">
        <v>5</v>
      </c>
      <c r="D206" s="18">
        <v>14</v>
      </c>
      <c r="E206" s="18">
        <v>20</v>
      </c>
      <c r="F206" s="18">
        <v>24</v>
      </c>
      <c r="G206" s="18">
        <v>0</v>
      </c>
      <c r="H206" s="18">
        <v>0</v>
      </c>
      <c r="I206" s="18">
        <v>160</v>
      </c>
      <c r="J206" s="18">
        <v>131</v>
      </c>
      <c r="M206" t="s">
        <v>1376</v>
      </c>
      <c r="N206" t="s">
        <v>1377</v>
      </c>
      <c r="O206" t="str">
        <f t="shared" si="11"/>
        <v>Tom Wilson</v>
      </c>
      <c r="P206" s="18">
        <v>20</v>
      </c>
    </row>
    <row r="207" spans="1:22" ht="30" x14ac:dyDescent="0.25">
      <c r="A207" s="19" t="s">
        <v>924</v>
      </c>
      <c r="B207" s="20">
        <v>78</v>
      </c>
      <c r="C207" s="20">
        <v>18</v>
      </c>
      <c r="D207" s="20">
        <v>19</v>
      </c>
      <c r="E207" s="20">
        <v>37</v>
      </c>
      <c r="F207" s="20">
        <v>-31</v>
      </c>
      <c r="G207" s="20">
        <v>8</v>
      </c>
      <c r="H207" s="20">
        <v>0</v>
      </c>
      <c r="I207" s="20">
        <v>16</v>
      </c>
      <c r="J207" s="20">
        <v>131</v>
      </c>
      <c r="M207" t="s">
        <v>1378</v>
      </c>
      <c r="N207" t="s">
        <v>1379</v>
      </c>
      <c r="O207" t="str">
        <f t="shared" si="11"/>
        <v>Radim Vrbata</v>
      </c>
      <c r="P207" s="20">
        <v>37</v>
      </c>
    </row>
    <row r="208" spans="1:22" ht="30" x14ac:dyDescent="0.25">
      <c r="A208" s="17" t="s">
        <v>925</v>
      </c>
      <c r="B208" s="18">
        <v>78</v>
      </c>
      <c r="C208" s="18">
        <v>7</v>
      </c>
      <c r="D208" s="18">
        <v>8</v>
      </c>
      <c r="E208" s="18">
        <v>15</v>
      </c>
      <c r="F208" s="18">
        <v>32</v>
      </c>
      <c r="G208" s="18">
        <v>3</v>
      </c>
      <c r="H208" s="18">
        <v>0</v>
      </c>
      <c r="I208" s="18">
        <v>104</v>
      </c>
      <c r="J208" s="18">
        <v>129</v>
      </c>
      <c r="M208" t="s">
        <v>1380</v>
      </c>
      <c r="N208" t="s">
        <v>1381</v>
      </c>
      <c r="O208" t="str">
        <f t="shared" si="11"/>
        <v>Jordin Tootoo</v>
      </c>
      <c r="P208" s="18">
        <v>15</v>
      </c>
    </row>
    <row r="209" spans="1:16" ht="30" x14ac:dyDescent="0.25">
      <c r="A209" s="19" t="s">
        <v>926</v>
      </c>
      <c r="B209" s="20">
        <v>78</v>
      </c>
      <c r="C209" s="20">
        <v>8</v>
      </c>
      <c r="D209" s="20">
        <v>17</v>
      </c>
      <c r="E209" s="20">
        <v>25</v>
      </c>
      <c r="F209" s="20">
        <v>26</v>
      </c>
      <c r="G209" s="20">
        <v>0</v>
      </c>
      <c r="H209" s="20">
        <v>1</v>
      </c>
      <c r="I209" s="20">
        <v>57</v>
      </c>
      <c r="J209" s="20">
        <v>129</v>
      </c>
      <c r="M209" t="s">
        <v>413</v>
      </c>
      <c r="N209" t="s">
        <v>1382</v>
      </c>
      <c r="O209" t="str">
        <f t="shared" si="11"/>
        <v>J.T. Brown</v>
      </c>
      <c r="P209" s="20">
        <v>25</v>
      </c>
    </row>
    <row r="210" spans="1:16" ht="30" x14ac:dyDescent="0.25">
      <c r="A210" s="17" t="s">
        <v>927</v>
      </c>
      <c r="B210" s="18">
        <v>78</v>
      </c>
      <c r="C210" s="18">
        <v>10</v>
      </c>
      <c r="D210" s="18">
        <v>16</v>
      </c>
      <c r="E210" s="18">
        <v>27</v>
      </c>
      <c r="F210" s="18">
        <v>1</v>
      </c>
      <c r="G210" s="18">
        <v>1</v>
      </c>
      <c r="H210" s="18">
        <v>0</v>
      </c>
      <c r="I210" s="18">
        <v>31</v>
      </c>
      <c r="J210" s="18">
        <v>128</v>
      </c>
      <c r="M210" t="s">
        <v>300</v>
      </c>
      <c r="N210" t="s">
        <v>1382</v>
      </c>
      <c r="O210" t="str">
        <f t="shared" si="11"/>
        <v>Dustin Brown</v>
      </c>
      <c r="P210" s="18">
        <v>27</v>
      </c>
    </row>
    <row r="211" spans="1:16" ht="30" x14ac:dyDescent="0.25">
      <c r="A211" s="19" t="s">
        <v>928</v>
      </c>
      <c r="B211" s="20">
        <v>78</v>
      </c>
      <c r="C211" s="20">
        <v>14</v>
      </c>
      <c r="D211" s="20">
        <v>11</v>
      </c>
      <c r="E211" s="20">
        <v>25</v>
      </c>
      <c r="F211" s="20">
        <v>30</v>
      </c>
      <c r="G211" s="20">
        <v>0</v>
      </c>
      <c r="H211" s="20">
        <v>0</v>
      </c>
      <c r="I211" s="20">
        <v>23</v>
      </c>
      <c r="J211" s="20">
        <v>125</v>
      </c>
      <c r="M211" t="s">
        <v>1383</v>
      </c>
      <c r="N211" t="s">
        <v>1384</v>
      </c>
      <c r="O211" t="str">
        <f t="shared" si="11"/>
        <v>Richard Panik</v>
      </c>
      <c r="P211" s="20">
        <v>25</v>
      </c>
    </row>
    <row r="212" spans="1:16" x14ac:dyDescent="0.25">
      <c r="A212" s="17" t="s">
        <v>929</v>
      </c>
      <c r="B212" s="18">
        <v>78</v>
      </c>
      <c r="C212" s="18">
        <v>12</v>
      </c>
      <c r="D212" s="18">
        <v>7</v>
      </c>
      <c r="E212" s="18">
        <v>20</v>
      </c>
      <c r="F212" s="18">
        <v>34</v>
      </c>
      <c r="G212" s="18">
        <v>0</v>
      </c>
      <c r="H212" s="18">
        <v>2</v>
      </c>
      <c r="I212" s="18">
        <v>30</v>
      </c>
      <c r="J212" s="18">
        <v>124</v>
      </c>
      <c r="M212" t="s">
        <v>378</v>
      </c>
      <c r="N212" t="s">
        <v>1385</v>
      </c>
      <c r="O212" t="str">
        <f t="shared" si="11"/>
        <v>Eric Fehr</v>
      </c>
      <c r="P212" s="18">
        <v>20</v>
      </c>
    </row>
    <row r="213" spans="1:16" ht="45" x14ac:dyDescent="0.25">
      <c r="A213" s="19" t="s">
        <v>930</v>
      </c>
      <c r="B213" s="20">
        <v>78</v>
      </c>
      <c r="C213" s="20">
        <v>8</v>
      </c>
      <c r="D213" s="20">
        <v>16</v>
      </c>
      <c r="E213" s="20">
        <v>25</v>
      </c>
      <c r="F213" s="20">
        <v>34</v>
      </c>
      <c r="G213" s="20">
        <v>0</v>
      </c>
      <c r="H213" s="20">
        <v>1</v>
      </c>
      <c r="I213" s="20">
        <v>36</v>
      </c>
      <c r="J213" s="20">
        <v>124</v>
      </c>
      <c r="M213" t="s">
        <v>1376</v>
      </c>
      <c r="N213" t="s">
        <v>1386</v>
      </c>
      <c r="O213" t="str">
        <f t="shared" si="11"/>
        <v>Tom Kuhnhackl</v>
      </c>
      <c r="P213" s="20">
        <v>25</v>
      </c>
    </row>
    <row r="214" spans="1:16" ht="45" x14ac:dyDescent="0.25">
      <c r="A214" s="17" t="s">
        <v>931</v>
      </c>
      <c r="B214" s="18">
        <v>78</v>
      </c>
      <c r="C214" s="18">
        <v>22</v>
      </c>
      <c r="D214" s="18">
        <v>23</v>
      </c>
      <c r="E214" s="18">
        <v>45</v>
      </c>
      <c r="F214" s="18">
        <v>-29</v>
      </c>
      <c r="G214" s="18">
        <v>1</v>
      </c>
      <c r="H214" s="18">
        <v>0</v>
      </c>
      <c r="I214" s="18">
        <v>17</v>
      </c>
      <c r="J214" s="18">
        <v>124</v>
      </c>
      <c r="M214" t="s">
        <v>296</v>
      </c>
      <c r="N214" t="s">
        <v>1387</v>
      </c>
      <c r="O214" t="str">
        <f t="shared" si="11"/>
        <v>Oliver Bjorkstrand</v>
      </c>
      <c r="P214" s="18">
        <v>45</v>
      </c>
    </row>
    <row r="215" spans="1:16" ht="30" x14ac:dyDescent="0.25">
      <c r="A215" s="19" t="s">
        <v>932</v>
      </c>
      <c r="B215" s="20">
        <v>78</v>
      </c>
      <c r="C215" s="20">
        <v>9</v>
      </c>
      <c r="D215" s="20">
        <v>24</v>
      </c>
      <c r="E215" s="20">
        <v>34</v>
      </c>
      <c r="F215" s="20">
        <v>0</v>
      </c>
      <c r="G215" s="20">
        <v>2</v>
      </c>
      <c r="H215" s="20">
        <v>0</v>
      </c>
      <c r="I215" s="20">
        <v>34</v>
      </c>
      <c r="J215" s="20">
        <v>124</v>
      </c>
      <c r="M215" t="s">
        <v>188</v>
      </c>
      <c r="N215" t="s">
        <v>395</v>
      </c>
      <c r="O215" t="str">
        <f t="shared" si="11"/>
        <v>Ryan Strome</v>
      </c>
      <c r="P215" s="20">
        <v>34</v>
      </c>
    </row>
    <row r="216" spans="1:16" ht="45" x14ac:dyDescent="0.25">
      <c r="A216" s="17" t="s">
        <v>933</v>
      </c>
      <c r="B216" s="18">
        <v>78</v>
      </c>
      <c r="C216" s="18">
        <v>11</v>
      </c>
      <c r="D216" s="18">
        <v>28</v>
      </c>
      <c r="E216" s="18">
        <v>39</v>
      </c>
      <c r="F216" s="18">
        <v>-35</v>
      </c>
      <c r="G216" s="18">
        <v>9</v>
      </c>
      <c r="H216" s="18">
        <v>0</v>
      </c>
      <c r="I216" s="18">
        <v>29</v>
      </c>
      <c r="J216" s="18">
        <v>122</v>
      </c>
      <c r="M216" t="s">
        <v>1388</v>
      </c>
      <c r="N216" t="s">
        <v>1389</v>
      </c>
      <c r="O216" t="str">
        <f t="shared" si="11"/>
        <v>Elias Lindholm</v>
      </c>
      <c r="P216" s="18">
        <v>39</v>
      </c>
    </row>
    <row r="217" spans="1:16" ht="30" x14ac:dyDescent="0.25">
      <c r="A217" s="19" t="s">
        <v>934</v>
      </c>
      <c r="B217" s="20">
        <v>78</v>
      </c>
      <c r="C217" s="20">
        <v>16</v>
      </c>
      <c r="D217" s="20">
        <v>13</v>
      </c>
      <c r="E217" s="20">
        <v>29</v>
      </c>
      <c r="F217" s="20">
        <v>-1</v>
      </c>
      <c r="G217" s="20">
        <v>3</v>
      </c>
      <c r="H217" s="20">
        <v>0</v>
      </c>
      <c r="I217" s="20">
        <v>37</v>
      </c>
      <c r="J217" s="20">
        <v>122</v>
      </c>
      <c r="M217" t="s">
        <v>1390</v>
      </c>
      <c r="N217" t="s">
        <v>1391</v>
      </c>
      <c r="O217" t="str">
        <f t="shared" si="11"/>
        <v>Dale Weise</v>
      </c>
      <c r="P217" s="20">
        <v>29</v>
      </c>
    </row>
    <row r="218" spans="1:16" ht="30" x14ac:dyDescent="0.25">
      <c r="A218" s="17" t="s">
        <v>935</v>
      </c>
      <c r="B218" s="18">
        <v>78</v>
      </c>
      <c r="C218" s="18">
        <v>11</v>
      </c>
      <c r="D218" s="18">
        <v>10</v>
      </c>
      <c r="E218" s="18">
        <v>22</v>
      </c>
      <c r="F218" s="18">
        <v>37</v>
      </c>
      <c r="G218" s="18">
        <v>0</v>
      </c>
      <c r="H218" s="18">
        <v>0</v>
      </c>
      <c r="I218" s="18">
        <v>13</v>
      </c>
      <c r="J218" s="18">
        <v>121</v>
      </c>
      <c r="M218" t="s">
        <v>457</v>
      </c>
      <c r="N218" t="s">
        <v>1392</v>
      </c>
      <c r="O218" t="str">
        <f t="shared" si="11"/>
        <v>Michael Grabner</v>
      </c>
      <c r="P218" s="18">
        <v>22</v>
      </c>
    </row>
    <row r="219" spans="1:16" ht="30" x14ac:dyDescent="0.25">
      <c r="A219" s="19" t="s">
        <v>936</v>
      </c>
      <c r="B219" s="20">
        <v>78</v>
      </c>
      <c r="C219" s="20">
        <v>16</v>
      </c>
      <c r="D219" s="20">
        <v>20</v>
      </c>
      <c r="E219" s="20">
        <v>37</v>
      </c>
      <c r="F219" s="20">
        <v>-23</v>
      </c>
      <c r="G219" s="20">
        <v>4</v>
      </c>
      <c r="H219" s="20">
        <v>0</v>
      </c>
      <c r="I219" s="20">
        <v>44</v>
      </c>
      <c r="J219" s="20">
        <v>119</v>
      </c>
      <c r="M219" t="s">
        <v>268</v>
      </c>
      <c r="N219" t="s">
        <v>269</v>
      </c>
      <c r="O219" t="str">
        <f t="shared" si="11"/>
        <v>Patrik Laine</v>
      </c>
      <c r="P219" s="20">
        <v>37</v>
      </c>
    </row>
    <row r="220" spans="1:16" ht="45" x14ac:dyDescent="0.25">
      <c r="A220" s="17" t="s">
        <v>937</v>
      </c>
      <c r="B220" s="18">
        <v>78</v>
      </c>
      <c r="C220" s="18">
        <v>13</v>
      </c>
      <c r="D220" s="18">
        <v>9</v>
      </c>
      <c r="E220" s="18">
        <v>23</v>
      </c>
      <c r="F220" s="18">
        <v>18</v>
      </c>
      <c r="G220" s="18">
        <v>0</v>
      </c>
      <c r="H220" s="18">
        <v>1</v>
      </c>
      <c r="I220" s="18">
        <v>65</v>
      </c>
      <c r="J220" s="18">
        <v>113</v>
      </c>
      <c r="M220" t="s">
        <v>1393</v>
      </c>
      <c r="N220" t="s">
        <v>1288</v>
      </c>
      <c r="O220" t="str">
        <f t="shared" si="11"/>
        <v>Torrey Mitchell</v>
      </c>
      <c r="P220" s="18">
        <v>23</v>
      </c>
    </row>
    <row r="221" spans="1:16" ht="30" x14ac:dyDescent="0.25">
      <c r="A221" s="19" t="s">
        <v>938</v>
      </c>
      <c r="B221" s="20">
        <v>78</v>
      </c>
      <c r="C221" s="20">
        <v>19</v>
      </c>
      <c r="D221" s="20">
        <v>0</v>
      </c>
      <c r="E221" s="20">
        <v>19</v>
      </c>
      <c r="F221" s="20">
        <v>11</v>
      </c>
      <c r="G221" s="20">
        <v>0</v>
      </c>
      <c r="H221" s="20">
        <v>0</v>
      </c>
      <c r="I221" s="20">
        <v>123</v>
      </c>
      <c r="J221" s="20">
        <v>113</v>
      </c>
      <c r="M221" t="s">
        <v>166</v>
      </c>
      <c r="N221" t="s">
        <v>1394</v>
      </c>
      <c r="O221" t="str">
        <f t="shared" si="11"/>
        <v>Tyler Randell</v>
      </c>
      <c r="P221" s="20">
        <v>19</v>
      </c>
    </row>
    <row r="222" spans="1:16" ht="30" x14ac:dyDescent="0.25">
      <c r="A222" s="17" t="s">
        <v>939</v>
      </c>
      <c r="B222" s="18">
        <v>78</v>
      </c>
      <c r="C222" s="18">
        <v>10</v>
      </c>
      <c r="D222" s="18">
        <v>21</v>
      </c>
      <c r="E222" s="18">
        <v>31</v>
      </c>
      <c r="F222" s="18">
        <v>18</v>
      </c>
      <c r="G222" s="18">
        <v>0</v>
      </c>
      <c r="H222" s="18">
        <v>0</v>
      </c>
      <c r="I222" s="18">
        <v>19</v>
      </c>
      <c r="J222" s="18">
        <v>112</v>
      </c>
      <c r="M222" t="s">
        <v>1395</v>
      </c>
      <c r="N222" t="s">
        <v>1396</v>
      </c>
      <c r="O222" t="str">
        <f t="shared" si="11"/>
        <v>Jesper Fast</v>
      </c>
      <c r="P222" s="18">
        <v>31</v>
      </c>
    </row>
    <row r="223" spans="1:16" ht="30" x14ac:dyDescent="0.25">
      <c r="A223" s="19" t="s">
        <v>940</v>
      </c>
      <c r="B223" s="20">
        <v>78</v>
      </c>
      <c r="C223" s="20">
        <v>3</v>
      </c>
      <c r="D223" s="20">
        <v>5</v>
      </c>
      <c r="E223" s="20">
        <v>8</v>
      </c>
      <c r="F223" s="20">
        <v>48</v>
      </c>
      <c r="G223" s="20">
        <v>0</v>
      </c>
      <c r="H223" s="20">
        <v>0</v>
      </c>
      <c r="I223" s="20">
        <v>134</v>
      </c>
      <c r="J223" s="20">
        <v>109</v>
      </c>
      <c r="M223" t="s">
        <v>1284</v>
      </c>
      <c r="N223" t="s">
        <v>1397</v>
      </c>
      <c r="O223" t="str">
        <f t="shared" si="11"/>
        <v>Jared Boll</v>
      </c>
      <c r="P223" s="20">
        <v>8</v>
      </c>
    </row>
    <row r="224" spans="1:16" ht="30" x14ac:dyDescent="0.25">
      <c r="A224" s="17" t="s">
        <v>941</v>
      </c>
      <c r="B224" s="18">
        <v>78</v>
      </c>
      <c r="C224" s="18">
        <v>12</v>
      </c>
      <c r="D224" s="18">
        <v>15</v>
      </c>
      <c r="E224" s="18">
        <v>27</v>
      </c>
      <c r="F224" s="18">
        <v>2</v>
      </c>
      <c r="G224" s="18">
        <v>3</v>
      </c>
      <c r="H224" s="18">
        <v>0</v>
      </c>
      <c r="I224" s="18">
        <v>26</v>
      </c>
      <c r="J224" s="18">
        <v>108</v>
      </c>
      <c r="M224" t="s">
        <v>245</v>
      </c>
      <c r="N224" t="s">
        <v>1398</v>
      </c>
      <c r="O224" t="str">
        <f t="shared" si="11"/>
        <v>Matt Read</v>
      </c>
      <c r="P224" s="18">
        <v>27</v>
      </c>
    </row>
    <row r="225" spans="1:16" ht="30" x14ac:dyDescent="0.25">
      <c r="A225" s="19" t="s">
        <v>942</v>
      </c>
      <c r="B225" s="20">
        <v>78</v>
      </c>
      <c r="C225" s="20">
        <v>8</v>
      </c>
      <c r="D225" s="20">
        <v>9</v>
      </c>
      <c r="E225" s="20">
        <v>18</v>
      </c>
      <c r="F225" s="20">
        <v>8</v>
      </c>
      <c r="G225" s="20">
        <v>1</v>
      </c>
      <c r="H225" s="20">
        <v>0</v>
      </c>
      <c r="I225" s="20">
        <v>82</v>
      </c>
      <c r="J225" s="20">
        <v>107</v>
      </c>
      <c r="M225" t="s">
        <v>1399</v>
      </c>
      <c r="N225" t="s">
        <v>1400</v>
      </c>
      <c r="O225" t="str">
        <f t="shared" si="11"/>
        <v>Tommy Wingels</v>
      </c>
      <c r="P225" s="20">
        <v>18</v>
      </c>
    </row>
    <row r="226" spans="1:16" ht="30" x14ac:dyDescent="0.25">
      <c r="A226" s="17" t="s">
        <v>943</v>
      </c>
      <c r="B226" s="18">
        <v>78</v>
      </c>
      <c r="C226" s="18">
        <v>15</v>
      </c>
      <c r="D226" s="18">
        <v>13</v>
      </c>
      <c r="E226" s="18">
        <v>28</v>
      </c>
      <c r="F226" s="18">
        <v>-11</v>
      </c>
      <c r="G226" s="18">
        <v>4</v>
      </c>
      <c r="H226" s="18">
        <v>0</v>
      </c>
      <c r="I226" s="18">
        <v>23</v>
      </c>
      <c r="J226" s="18">
        <v>107</v>
      </c>
      <c r="M226" t="s">
        <v>390</v>
      </c>
      <c r="N226" t="s">
        <v>1401</v>
      </c>
      <c r="O226" t="str">
        <f t="shared" si="11"/>
        <v>Anthony Mantha</v>
      </c>
      <c r="P226" s="18">
        <v>28</v>
      </c>
    </row>
    <row r="227" spans="1:16" ht="30" x14ac:dyDescent="0.25">
      <c r="A227" s="19" t="s">
        <v>944</v>
      </c>
      <c r="B227" s="20">
        <v>78</v>
      </c>
      <c r="C227" s="20">
        <v>6</v>
      </c>
      <c r="D227" s="20">
        <v>11</v>
      </c>
      <c r="E227" s="20">
        <v>18</v>
      </c>
      <c r="F227" s="20">
        <v>-10</v>
      </c>
      <c r="G227" s="20">
        <v>0</v>
      </c>
      <c r="H227" s="20">
        <v>0</v>
      </c>
      <c r="I227" s="20">
        <v>214</v>
      </c>
      <c r="J227" s="20">
        <v>107</v>
      </c>
      <c r="M227" t="s">
        <v>265</v>
      </c>
      <c r="N227" t="s">
        <v>1402</v>
      </c>
      <c r="O227" t="str">
        <f t="shared" si="11"/>
        <v>Derek Dorsett</v>
      </c>
      <c r="P227" s="20">
        <v>18</v>
      </c>
    </row>
    <row r="228" spans="1:16" ht="45" x14ac:dyDescent="0.25">
      <c r="A228" s="17" t="s">
        <v>945</v>
      </c>
      <c r="B228" s="18">
        <v>78</v>
      </c>
      <c r="C228" s="18">
        <v>10</v>
      </c>
      <c r="D228" s="18">
        <v>14</v>
      </c>
      <c r="E228" s="18">
        <v>25</v>
      </c>
      <c r="F228" s="18">
        <v>-8</v>
      </c>
      <c r="G228" s="18">
        <v>4</v>
      </c>
      <c r="H228" s="18">
        <v>0</v>
      </c>
      <c r="I228" s="18">
        <v>54</v>
      </c>
      <c r="J228" s="18">
        <v>101</v>
      </c>
      <c r="M228" t="s">
        <v>233</v>
      </c>
      <c r="N228" t="s">
        <v>1403</v>
      </c>
      <c r="O228" t="str">
        <f t="shared" si="11"/>
        <v>Alex Burrows</v>
      </c>
      <c r="P228" s="18">
        <v>25</v>
      </c>
    </row>
    <row r="229" spans="1:16" ht="45" x14ac:dyDescent="0.25">
      <c r="A229" s="19" t="s">
        <v>946</v>
      </c>
      <c r="B229" s="20">
        <v>78</v>
      </c>
      <c r="C229" s="20">
        <v>17</v>
      </c>
      <c r="D229" s="20">
        <v>8</v>
      </c>
      <c r="E229" s="20">
        <v>25</v>
      </c>
      <c r="F229" s="20">
        <v>3</v>
      </c>
      <c r="G229" s="20">
        <v>0</v>
      </c>
      <c r="H229" s="20">
        <v>1</v>
      </c>
      <c r="I229" s="20">
        <v>34</v>
      </c>
      <c r="J229" s="20">
        <v>100</v>
      </c>
      <c r="M229" t="s">
        <v>1404</v>
      </c>
      <c r="N229" t="s">
        <v>1405</v>
      </c>
      <c r="O229" t="str">
        <f t="shared" si="11"/>
        <v>Cal Clutterbuck</v>
      </c>
      <c r="P229" s="20">
        <v>25</v>
      </c>
    </row>
    <row r="230" spans="1:16" ht="30" x14ac:dyDescent="0.25">
      <c r="A230" s="17" t="s">
        <v>947</v>
      </c>
      <c r="B230" s="18">
        <v>78</v>
      </c>
      <c r="C230" s="18">
        <v>12</v>
      </c>
      <c r="D230" s="18">
        <v>18</v>
      </c>
      <c r="E230" s="18">
        <v>30</v>
      </c>
      <c r="F230" s="18">
        <v>-23</v>
      </c>
      <c r="G230" s="18">
        <v>3</v>
      </c>
      <c r="H230" s="18">
        <v>0</v>
      </c>
      <c r="I230" s="18">
        <v>75</v>
      </c>
      <c r="J230" s="18">
        <v>99</v>
      </c>
      <c r="M230" t="s">
        <v>419</v>
      </c>
      <c r="N230" t="s">
        <v>1406</v>
      </c>
      <c r="O230" t="str">
        <f t="shared" si="11"/>
        <v>Chris Stewart</v>
      </c>
      <c r="P230" s="18">
        <v>30</v>
      </c>
    </row>
    <row r="231" spans="1:16" ht="30" x14ac:dyDescent="0.25">
      <c r="A231" s="19" t="s">
        <v>948</v>
      </c>
      <c r="B231" s="20">
        <v>78</v>
      </c>
      <c r="C231" s="20">
        <v>5</v>
      </c>
      <c r="D231" s="20">
        <v>8</v>
      </c>
      <c r="E231" s="20">
        <v>14</v>
      </c>
      <c r="F231" s="20">
        <v>7</v>
      </c>
      <c r="G231" s="20">
        <v>0</v>
      </c>
      <c r="H231" s="20">
        <v>0</v>
      </c>
      <c r="I231" s="20">
        <v>171</v>
      </c>
      <c r="J231" s="20">
        <v>97</v>
      </c>
      <c r="M231" t="s">
        <v>419</v>
      </c>
      <c r="N231" t="s">
        <v>1407</v>
      </c>
      <c r="O231" t="str">
        <f t="shared" si="11"/>
        <v>Chris Neil</v>
      </c>
      <c r="P231" s="20">
        <v>14</v>
      </c>
    </row>
    <row r="232" spans="1:16" ht="30" x14ac:dyDescent="0.25">
      <c r="A232" s="17" t="s">
        <v>949</v>
      </c>
      <c r="B232" s="18">
        <v>78</v>
      </c>
      <c r="C232" s="18">
        <v>6</v>
      </c>
      <c r="D232" s="18">
        <v>16</v>
      </c>
      <c r="E232" s="18">
        <v>23</v>
      </c>
      <c r="F232" s="18">
        <v>12</v>
      </c>
      <c r="G232" s="18">
        <v>1</v>
      </c>
      <c r="H232" s="18">
        <v>2</v>
      </c>
      <c r="I232" s="18">
        <v>21</v>
      </c>
      <c r="J232" s="18">
        <v>93</v>
      </c>
      <c r="M232" t="s">
        <v>1408</v>
      </c>
      <c r="N232" t="s">
        <v>1409</v>
      </c>
      <c r="O232" t="str">
        <f t="shared" si="11"/>
        <v>Curtis Lazar</v>
      </c>
      <c r="P232" s="18">
        <v>23</v>
      </c>
    </row>
    <row r="233" spans="1:16" ht="45" x14ac:dyDescent="0.25">
      <c r="A233" s="19" t="s">
        <v>950</v>
      </c>
      <c r="B233" s="20">
        <v>78</v>
      </c>
      <c r="C233" s="20">
        <v>11</v>
      </c>
      <c r="D233" s="20">
        <v>9</v>
      </c>
      <c r="E233" s="20">
        <v>21</v>
      </c>
      <c r="F233" s="20">
        <v>-6</v>
      </c>
      <c r="G233" s="20">
        <v>0</v>
      </c>
      <c r="H233" s="20">
        <v>0</v>
      </c>
      <c r="I233" s="20">
        <v>76</v>
      </c>
      <c r="J233" s="20">
        <v>93</v>
      </c>
      <c r="M233" t="s">
        <v>1410</v>
      </c>
      <c r="N233" t="s">
        <v>1411</v>
      </c>
      <c r="O233" t="str">
        <f t="shared" si="11"/>
        <v>Jake Virtanen</v>
      </c>
      <c r="P233" s="20">
        <v>21</v>
      </c>
    </row>
    <row r="234" spans="1:16" ht="30" x14ac:dyDescent="0.25">
      <c r="A234" s="17" t="s">
        <v>951</v>
      </c>
      <c r="B234" s="18">
        <v>78</v>
      </c>
      <c r="C234" s="18">
        <v>9</v>
      </c>
      <c r="D234" s="18">
        <v>14</v>
      </c>
      <c r="E234" s="18">
        <v>24</v>
      </c>
      <c r="F234" s="18">
        <v>3</v>
      </c>
      <c r="G234" s="18">
        <v>1</v>
      </c>
      <c r="H234" s="18">
        <v>0</v>
      </c>
      <c r="I234" s="18">
        <v>23</v>
      </c>
      <c r="J234" s="18">
        <v>89</v>
      </c>
      <c r="M234" t="s">
        <v>1412</v>
      </c>
      <c r="N234" t="s">
        <v>1413</v>
      </c>
      <c r="O234" t="str">
        <f t="shared" si="11"/>
        <v>Nikolay Kulemin</v>
      </c>
      <c r="P234" s="18">
        <v>24</v>
      </c>
    </row>
    <row r="235" spans="1:16" ht="45" x14ac:dyDescent="0.25">
      <c r="A235" s="19" t="s">
        <v>952</v>
      </c>
      <c r="B235" s="20">
        <v>78</v>
      </c>
      <c r="C235" s="20">
        <v>11</v>
      </c>
      <c r="D235" s="20">
        <v>19</v>
      </c>
      <c r="E235" s="20">
        <v>30</v>
      </c>
      <c r="F235" s="20">
        <v>-32</v>
      </c>
      <c r="G235" s="20">
        <v>4</v>
      </c>
      <c r="H235" s="20">
        <v>0</v>
      </c>
      <c r="I235" s="20">
        <v>31</v>
      </c>
      <c r="J235" s="20">
        <v>89</v>
      </c>
      <c r="M235" t="s">
        <v>1414</v>
      </c>
      <c r="N235" t="s">
        <v>1415</v>
      </c>
      <c r="O235" t="str">
        <f t="shared" si="11"/>
        <v>Nail Yakupov</v>
      </c>
      <c r="P235" s="20">
        <v>30</v>
      </c>
    </row>
    <row r="236" spans="1:16" ht="45" x14ac:dyDescent="0.25">
      <c r="A236" s="17" t="s">
        <v>953</v>
      </c>
      <c r="B236" s="18">
        <v>78</v>
      </c>
      <c r="C236" s="18">
        <v>15</v>
      </c>
      <c r="D236" s="18">
        <v>19</v>
      </c>
      <c r="E236" s="18">
        <v>34</v>
      </c>
      <c r="F236" s="18">
        <v>-43</v>
      </c>
      <c r="G236" s="18">
        <v>4</v>
      </c>
      <c r="H236" s="18">
        <v>0</v>
      </c>
      <c r="I236" s="18">
        <v>37</v>
      </c>
      <c r="J236" s="18">
        <v>88</v>
      </c>
      <c r="M236" t="s">
        <v>379</v>
      </c>
      <c r="N236" t="s">
        <v>380</v>
      </c>
      <c r="O236" t="str">
        <f t="shared" si="11"/>
        <v>Jesse Puljujarvi</v>
      </c>
      <c r="P236" s="18">
        <v>34</v>
      </c>
    </row>
    <row r="237" spans="1:16" ht="30" x14ac:dyDescent="0.25">
      <c r="A237" s="19" t="s">
        <v>954</v>
      </c>
      <c r="B237" s="20">
        <v>78</v>
      </c>
      <c r="C237" s="20">
        <v>9</v>
      </c>
      <c r="D237" s="20">
        <v>7</v>
      </c>
      <c r="E237" s="20">
        <v>17</v>
      </c>
      <c r="F237" s="20">
        <v>13</v>
      </c>
      <c r="G237" s="20">
        <v>0</v>
      </c>
      <c r="H237" s="20">
        <v>0</v>
      </c>
      <c r="I237" s="20">
        <v>46</v>
      </c>
      <c r="J237" s="20">
        <v>86</v>
      </c>
      <c r="M237" t="s">
        <v>176</v>
      </c>
      <c r="N237" t="s">
        <v>1416</v>
      </c>
      <c r="O237" t="str">
        <f t="shared" si="11"/>
        <v>Erik Condra</v>
      </c>
      <c r="P237" s="20">
        <v>17</v>
      </c>
    </row>
    <row r="238" spans="1:16" ht="30" x14ac:dyDescent="0.25">
      <c r="A238" s="17" t="s">
        <v>955</v>
      </c>
      <c r="B238" s="18">
        <v>78</v>
      </c>
      <c r="C238" s="18">
        <v>7</v>
      </c>
      <c r="D238" s="18">
        <v>6</v>
      </c>
      <c r="E238" s="18">
        <v>13</v>
      </c>
      <c r="F238" s="18">
        <v>7</v>
      </c>
      <c r="G238" s="18">
        <v>0</v>
      </c>
      <c r="H238" s="18">
        <v>0</v>
      </c>
      <c r="I238" s="18">
        <v>59</v>
      </c>
      <c r="J238" s="18">
        <v>85</v>
      </c>
      <c r="M238" t="s">
        <v>188</v>
      </c>
      <c r="N238" t="s">
        <v>1417</v>
      </c>
      <c r="O238" t="str">
        <f t="shared" si="11"/>
        <v>Ryan Garbutt</v>
      </c>
      <c r="P238" s="18">
        <v>13</v>
      </c>
    </row>
    <row r="239" spans="1:16" ht="30" x14ac:dyDescent="0.25">
      <c r="A239" s="19" t="s">
        <v>956</v>
      </c>
      <c r="B239" s="20">
        <v>78</v>
      </c>
      <c r="C239" s="20">
        <v>6</v>
      </c>
      <c r="D239" s="20">
        <v>12</v>
      </c>
      <c r="E239" s="20">
        <v>19</v>
      </c>
      <c r="F239" s="20">
        <v>7</v>
      </c>
      <c r="G239" s="20">
        <v>0</v>
      </c>
      <c r="H239" s="20">
        <v>0</v>
      </c>
      <c r="I239" s="20">
        <v>36</v>
      </c>
      <c r="J239" s="20">
        <v>85</v>
      </c>
      <c r="M239" t="s">
        <v>1418</v>
      </c>
      <c r="N239" t="s">
        <v>1419</v>
      </c>
      <c r="O239" t="str">
        <f t="shared" si="11"/>
        <v>Dmitrij Jaskin</v>
      </c>
      <c r="P239" s="20">
        <v>19</v>
      </c>
    </row>
    <row r="240" spans="1:16" ht="45" x14ac:dyDescent="0.25">
      <c r="A240" s="17" t="s">
        <v>957</v>
      </c>
      <c r="B240" s="18">
        <v>78</v>
      </c>
      <c r="C240" s="18">
        <v>7</v>
      </c>
      <c r="D240" s="18">
        <v>7</v>
      </c>
      <c r="E240" s="18">
        <v>14</v>
      </c>
      <c r="F240" s="18">
        <v>18</v>
      </c>
      <c r="G240" s="18">
        <v>0</v>
      </c>
      <c r="H240" s="18">
        <v>0</v>
      </c>
      <c r="I240" s="18">
        <v>34</v>
      </c>
      <c r="J240" s="18">
        <v>81</v>
      </c>
      <c r="M240" t="s">
        <v>1420</v>
      </c>
      <c r="N240" t="s">
        <v>1421</v>
      </c>
      <c r="O240" t="str">
        <f t="shared" si="11"/>
        <v>Miikka Salomaki</v>
      </c>
      <c r="P240" s="18">
        <v>14</v>
      </c>
    </row>
    <row r="241" spans="1:16" ht="30" x14ac:dyDescent="0.25">
      <c r="A241" s="19" t="s">
        <v>958</v>
      </c>
      <c r="B241" s="20">
        <v>78</v>
      </c>
      <c r="C241" s="20">
        <v>6</v>
      </c>
      <c r="D241" s="20">
        <v>11</v>
      </c>
      <c r="E241" s="20">
        <v>18</v>
      </c>
      <c r="F241" s="20">
        <v>-34</v>
      </c>
      <c r="G241" s="20">
        <v>0</v>
      </c>
      <c r="H241" s="20">
        <v>0</v>
      </c>
      <c r="I241" s="20">
        <v>210</v>
      </c>
      <c r="J241" s="20">
        <v>78</v>
      </c>
      <c r="M241" t="s">
        <v>1235</v>
      </c>
      <c r="N241" t="s">
        <v>1422</v>
      </c>
      <c r="O241" t="str">
        <f t="shared" si="11"/>
        <v>Zack Kassian</v>
      </c>
      <c r="P241" s="20">
        <v>18</v>
      </c>
    </row>
    <row r="242" spans="1:16" ht="30" x14ac:dyDescent="0.25">
      <c r="A242" s="17" t="s">
        <v>959</v>
      </c>
      <c r="B242" s="18">
        <v>78</v>
      </c>
      <c r="C242" s="18">
        <v>11</v>
      </c>
      <c r="D242" s="18">
        <v>12</v>
      </c>
      <c r="E242" s="18">
        <v>23</v>
      </c>
      <c r="F242" s="18">
        <v>-21</v>
      </c>
      <c r="G242" s="18">
        <v>1</v>
      </c>
      <c r="H242" s="18">
        <v>0</v>
      </c>
      <c r="I242" s="18">
        <v>24</v>
      </c>
      <c r="J242" s="18">
        <v>78</v>
      </c>
      <c r="M242" t="s">
        <v>1308</v>
      </c>
      <c r="N242" t="s">
        <v>1423</v>
      </c>
      <c r="O242" t="str">
        <f t="shared" si="11"/>
        <v>Colton Sceviour</v>
      </c>
      <c r="P242" s="18">
        <v>23</v>
      </c>
    </row>
    <row r="243" spans="1:16" ht="30" x14ac:dyDescent="0.25">
      <c r="A243" s="19" t="s">
        <v>960</v>
      </c>
      <c r="B243" s="20">
        <v>78</v>
      </c>
      <c r="C243" s="20">
        <v>11</v>
      </c>
      <c r="D243" s="20">
        <v>20</v>
      </c>
      <c r="E243" s="20">
        <v>32</v>
      </c>
      <c r="F243" s="20">
        <v>-41</v>
      </c>
      <c r="G243" s="20">
        <v>3</v>
      </c>
      <c r="H243" s="20">
        <v>0</v>
      </c>
      <c r="I243" s="20">
        <v>13</v>
      </c>
      <c r="J243" s="20">
        <v>77</v>
      </c>
      <c r="M243" t="s">
        <v>1262</v>
      </c>
      <c r="N243" t="s">
        <v>1324</v>
      </c>
      <c r="O243" t="str">
        <f t="shared" si="11"/>
        <v>Brian Gionta</v>
      </c>
      <c r="P243" s="20">
        <v>32</v>
      </c>
    </row>
    <row r="244" spans="1:16" ht="30" x14ac:dyDescent="0.25">
      <c r="A244" s="17" t="s">
        <v>961</v>
      </c>
      <c r="B244" s="18">
        <v>78</v>
      </c>
      <c r="C244" s="18">
        <v>10</v>
      </c>
      <c r="D244" s="18">
        <v>11</v>
      </c>
      <c r="E244" s="18">
        <v>22</v>
      </c>
      <c r="F244" s="18">
        <v>-11</v>
      </c>
      <c r="G244" s="18">
        <v>0</v>
      </c>
      <c r="H244" s="18">
        <v>0</v>
      </c>
      <c r="I244" s="18">
        <v>18</v>
      </c>
      <c r="J244" s="18">
        <v>74</v>
      </c>
      <c r="M244" t="s">
        <v>1424</v>
      </c>
      <c r="N244" t="s">
        <v>1425</v>
      </c>
      <c r="O244" t="str">
        <f t="shared" si="11"/>
        <v>Emerson Etem</v>
      </c>
      <c r="P244" s="18">
        <v>22</v>
      </c>
    </row>
    <row r="245" spans="1:16" ht="45" x14ac:dyDescent="0.25">
      <c r="A245" s="19" t="s">
        <v>962</v>
      </c>
      <c r="B245" s="20">
        <v>78</v>
      </c>
      <c r="C245" s="20">
        <v>9</v>
      </c>
      <c r="D245" s="20">
        <v>11</v>
      </c>
      <c r="E245" s="20">
        <v>20</v>
      </c>
      <c r="F245" s="20">
        <v>-14</v>
      </c>
      <c r="G245" s="20">
        <v>2</v>
      </c>
      <c r="H245" s="20">
        <v>0</v>
      </c>
      <c r="I245" s="20">
        <v>27</v>
      </c>
      <c r="J245" s="20">
        <v>72</v>
      </c>
      <c r="M245" t="s">
        <v>360</v>
      </c>
      <c r="N245" t="s">
        <v>1426</v>
      </c>
      <c r="O245" t="str">
        <f t="shared" si="11"/>
        <v>Mikko Rantanen</v>
      </c>
      <c r="P245" s="20">
        <v>20</v>
      </c>
    </row>
    <row r="246" spans="1:16" ht="30" x14ac:dyDescent="0.25">
      <c r="A246" s="17" t="s">
        <v>963</v>
      </c>
      <c r="B246" s="18">
        <v>78</v>
      </c>
      <c r="C246" s="18">
        <v>0</v>
      </c>
      <c r="D246" s="18">
        <v>11</v>
      </c>
      <c r="E246" s="18">
        <v>11</v>
      </c>
      <c r="F246" s="18">
        <v>24</v>
      </c>
      <c r="G246" s="18">
        <v>0</v>
      </c>
      <c r="H246" s="18">
        <v>0</v>
      </c>
      <c r="I246" s="18">
        <v>14</v>
      </c>
      <c r="J246" s="18">
        <v>72</v>
      </c>
      <c r="M246" t="s">
        <v>1427</v>
      </c>
      <c r="N246" t="s">
        <v>1428</v>
      </c>
      <c r="O246" t="str">
        <f t="shared" si="11"/>
        <v>Stanislav Galiev</v>
      </c>
      <c r="P246" s="18">
        <v>11</v>
      </c>
    </row>
    <row r="247" spans="1:16" ht="30" x14ac:dyDescent="0.25">
      <c r="A247" s="19" t="s">
        <v>964</v>
      </c>
      <c r="B247" s="20">
        <v>78</v>
      </c>
      <c r="C247" s="20">
        <v>8</v>
      </c>
      <c r="D247" s="20">
        <v>12</v>
      </c>
      <c r="E247" s="20">
        <v>20</v>
      </c>
      <c r="F247" s="20">
        <v>-12</v>
      </c>
      <c r="G247" s="20">
        <v>0</v>
      </c>
      <c r="H247" s="20">
        <v>1</v>
      </c>
      <c r="I247" s="20">
        <v>23</v>
      </c>
      <c r="J247" s="20">
        <v>64</v>
      </c>
      <c r="M247" t="s">
        <v>1357</v>
      </c>
      <c r="N247" t="s">
        <v>1429</v>
      </c>
      <c r="O247" t="str">
        <f t="shared" si="11"/>
        <v>Joel Armia</v>
      </c>
      <c r="P247" s="20">
        <v>20</v>
      </c>
    </row>
    <row r="248" spans="1:16" ht="30" x14ac:dyDescent="0.25">
      <c r="A248" s="17" t="s">
        <v>965</v>
      </c>
      <c r="B248" s="18">
        <v>78</v>
      </c>
      <c r="C248" s="18">
        <v>7</v>
      </c>
      <c r="D248" s="18">
        <v>6</v>
      </c>
      <c r="E248" s="18">
        <v>13</v>
      </c>
      <c r="F248" s="18">
        <v>-8</v>
      </c>
      <c r="G248" s="18">
        <v>0</v>
      </c>
      <c r="H248" s="18">
        <v>0</v>
      </c>
      <c r="I248" s="18">
        <v>65</v>
      </c>
      <c r="J248" s="18">
        <v>59</v>
      </c>
      <c r="M248" t="s">
        <v>231</v>
      </c>
      <c r="N248" t="s">
        <v>1430</v>
      </c>
      <c r="O248" t="str">
        <f t="shared" si="11"/>
        <v>David Clarkson</v>
      </c>
      <c r="P248" s="18">
        <v>13</v>
      </c>
    </row>
    <row r="249" spans="1:16" ht="45" x14ac:dyDescent="0.25">
      <c r="A249" s="19" t="s">
        <v>966</v>
      </c>
      <c r="B249" s="20">
        <v>78</v>
      </c>
      <c r="C249" s="20">
        <v>8</v>
      </c>
      <c r="D249" s="20">
        <v>6</v>
      </c>
      <c r="E249" s="20">
        <v>14</v>
      </c>
      <c r="F249" s="20">
        <v>-10</v>
      </c>
      <c r="G249" s="20">
        <v>1</v>
      </c>
      <c r="H249" s="20">
        <v>0</v>
      </c>
      <c r="I249" s="20">
        <v>41</v>
      </c>
      <c r="J249" s="20">
        <v>56</v>
      </c>
      <c r="M249" t="s">
        <v>233</v>
      </c>
      <c r="N249" t="s">
        <v>1431</v>
      </c>
      <c r="O249" t="str">
        <f t="shared" si="11"/>
        <v>Alex Chiasson</v>
      </c>
      <c r="P249" s="20">
        <v>14</v>
      </c>
    </row>
    <row r="250" spans="1:16" ht="45" x14ac:dyDescent="0.25">
      <c r="A250" s="17" t="s">
        <v>967</v>
      </c>
      <c r="B250" s="18">
        <v>78</v>
      </c>
      <c r="C250" s="18">
        <v>6</v>
      </c>
      <c r="D250" s="18">
        <v>6</v>
      </c>
      <c r="E250" s="18">
        <v>12</v>
      </c>
      <c r="F250" s="18">
        <v>-11</v>
      </c>
      <c r="G250" s="18">
        <v>0</v>
      </c>
      <c r="H250" s="18">
        <v>0</v>
      </c>
      <c r="I250" s="18">
        <v>76</v>
      </c>
      <c r="J250" s="18">
        <v>53</v>
      </c>
      <c r="M250" t="s">
        <v>419</v>
      </c>
      <c r="N250" t="s">
        <v>1432</v>
      </c>
      <c r="O250" t="str">
        <f t="shared" si="11"/>
        <v>Chris Thorburn</v>
      </c>
      <c r="P250" s="18">
        <v>12</v>
      </c>
    </row>
    <row r="251" spans="1:16" ht="30.75" thickBot="1" x14ac:dyDescent="0.3">
      <c r="A251" s="19" t="s">
        <v>968</v>
      </c>
      <c r="B251" s="20">
        <v>78</v>
      </c>
      <c r="C251" s="20">
        <v>12</v>
      </c>
      <c r="D251" s="20">
        <v>9</v>
      </c>
      <c r="E251" s="20">
        <v>22</v>
      </c>
      <c r="F251" s="20">
        <v>-48</v>
      </c>
      <c r="G251" s="20">
        <v>3</v>
      </c>
      <c r="H251" s="20">
        <v>0</v>
      </c>
      <c r="I251" s="20">
        <v>27</v>
      </c>
      <c r="J251" s="20">
        <v>44</v>
      </c>
      <c r="M251" t="s">
        <v>1433</v>
      </c>
      <c r="N251" t="s">
        <v>421</v>
      </c>
      <c r="O251" t="str">
        <f t="shared" si="11"/>
        <v>Beau Bennett</v>
      </c>
      <c r="P251" s="20">
        <v>22</v>
      </c>
    </row>
    <row r="252" spans="1:16" ht="30.75" thickTop="1" x14ac:dyDescent="0.25">
      <c r="A252" s="15" t="s">
        <v>969</v>
      </c>
      <c r="B252" s="16">
        <v>78</v>
      </c>
      <c r="C252" s="16">
        <v>41</v>
      </c>
      <c r="D252" s="16">
        <v>51</v>
      </c>
      <c r="E252" s="16">
        <v>92</v>
      </c>
      <c r="F252" s="16">
        <v>31</v>
      </c>
      <c r="G252" s="16">
        <v>17</v>
      </c>
      <c r="H252" s="16">
        <v>2</v>
      </c>
      <c r="I252" s="16">
        <v>75</v>
      </c>
      <c r="J252" s="16">
        <v>365</v>
      </c>
      <c r="M252" t="s">
        <v>158</v>
      </c>
      <c r="N252" t="s">
        <v>159</v>
      </c>
      <c r="O252" t="str">
        <f t="shared" si="11"/>
        <v>Jamie Benn</v>
      </c>
      <c r="P252" s="16">
        <v>92</v>
      </c>
    </row>
    <row r="253" spans="1:16" ht="45" x14ac:dyDescent="0.25">
      <c r="A253" s="17" t="s">
        <v>970</v>
      </c>
      <c r="B253" s="18">
        <v>78</v>
      </c>
      <c r="C253" s="18">
        <v>52</v>
      </c>
      <c r="D253" s="18">
        <v>24</v>
      </c>
      <c r="E253" s="18">
        <v>76</v>
      </c>
      <c r="F253" s="18">
        <v>24</v>
      </c>
      <c r="G253" s="18">
        <v>14</v>
      </c>
      <c r="H253" s="18">
        <v>0</v>
      </c>
      <c r="I253" s="18">
        <v>52</v>
      </c>
      <c r="J253" s="18">
        <v>360</v>
      </c>
      <c r="M253" t="s">
        <v>233</v>
      </c>
      <c r="N253" t="s">
        <v>175</v>
      </c>
      <c r="O253" t="str">
        <f t="shared" si="11"/>
        <v>Alex Ovechkin</v>
      </c>
      <c r="P253" s="18">
        <v>76</v>
      </c>
    </row>
    <row r="254" spans="1:16" ht="30" x14ac:dyDescent="0.25">
      <c r="A254" s="19" t="s">
        <v>971</v>
      </c>
      <c r="B254" s="20">
        <v>78</v>
      </c>
      <c r="C254" s="20">
        <v>33</v>
      </c>
      <c r="D254" s="20">
        <v>51</v>
      </c>
      <c r="E254" s="20">
        <v>84</v>
      </c>
      <c r="F254" s="20">
        <v>29</v>
      </c>
      <c r="G254" s="20">
        <v>12</v>
      </c>
      <c r="H254" s="20">
        <v>0</v>
      </c>
      <c r="I254" s="20">
        <v>46</v>
      </c>
      <c r="J254" s="20">
        <v>311</v>
      </c>
      <c r="M254" t="s">
        <v>198</v>
      </c>
      <c r="N254" t="s">
        <v>199</v>
      </c>
      <c r="O254" t="str">
        <f t="shared" si="11"/>
        <v>Artemi Panarin</v>
      </c>
      <c r="P254" s="20">
        <v>84</v>
      </c>
    </row>
    <row r="255" spans="1:16" ht="45" x14ac:dyDescent="0.25">
      <c r="A255" s="17" t="s">
        <v>972</v>
      </c>
      <c r="B255" s="18">
        <v>78</v>
      </c>
      <c r="C255" s="18">
        <v>42</v>
      </c>
      <c r="D255" s="18">
        <v>25</v>
      </c>
      <c r="E255" s="18">
        <v>67</v>
      </c>
      <c r="F255" s="18">
        <v>27</v>
      </c>
      <c r="G255" s="18">
        <v>5</v>
      </c>
      <c r="H255" s="18">
        <v>3</v>
      </c>
      <c r="I255" s="18">
        <v>88</v>
      </c>
      <c r="J255" s="18">
        <v>297</v>
      </c>
      <c r="M255" t="s">
        <v>307</v>
      </c>
      <c r="N255" t="s">
        <v>308</v>
      </c>
      <c r="O255" t="str">
        <f t="shared" si="11"/>
        <v>Brad Marchand</v>
      </c>
      <c r="P255" s="18">
        <v>67</v>
      </c>
    </row>
    <row r="256" spans="1:16" ht="45" x14ac:dyDescent="0.25">
      <c r="A256" s="19" t="s">
        <v>973</v>
      </c>
      <c r="B256" s="20">
        <v>78</v>
      </c>
      <c r="C256" s="20">
        <v>32</v>
      </c>
      <c r="D256" s="20">
        <v>34</v>
      </c>
      <c r="E256" s="20">
        <v>66</v>
      </c>
      <c r="F256" s="20">
        <v>8</v>
      </c>
      <c r="G256" s="20">
        <v>11</v>
      </c>
      <c r="H256" s="20">
        <v>0</v>
      </c>
      <c r="I256" s="20">
        <v>38</v>
      </c>
      <c r="J256" s="20">
        <v>269</v>
      </c>
      <c r="M256" t="s">
        <v>216</v>
      </c>
      <c r="N256" t="s">
        <v>217</v>
      </c>
      <c r="O256" t="str">
        <f t="shared" si="11"/>
        <v>Max Pacioretty</v>
      </c>
      <c r="P256" s="20">
        <v>66</v>
      </c>
    </row>
    <row r="257" spans="1:16" ht="45" x14ac:dyDescent="0.25">
      <c r="A257" s="17" t="s">
        <v>974</v>
      </c>
      <c r="B257" s="18">
        <v>78</v>
      </c>
      <c r="C257" s="18">
        <v>31</v>
      </c>
      <c r="D257" s="18">
        <v>45</v>
      </c>
      <c r="E257" s="18">
        <v>77</v>
      </c>
      <c r="F257" s="18">
        <v>5</v>
      </c>
      <c r="G257" s="18">
        <v>13</v>
      </c>
      <c r="H257" s="18">
        <v>0</v>
      </c>
      <c r="I257" s="18">
        <v>23</v>
      </c>
      <c r="J257" s="18">
        <v>267</v>
      </c>
      <c r="M257" t="s">
        <v>172</v>
      </c>
      <c r="N257" t="s">
        <v>173</v>
      </c>
      <c r="O257" t="str">
        <f t="shared" si="11"/>
        <v>Johnny Gaudreau</v>
      </c>
      <c r="P257" s="18">
        <v>77</v>
      </c>
    </row>
    <row r="258" spans="1:16" ht="45" x14ac:dyDescent="0.25">
      <c r="A258" s="19" t="s">
        <v>975</v>
      </c>
      <c r="B258" s="20">
        <v>78</v>
      </c>
      <c r="C258" s="20">
        <v>32</v>
      </c>
      <c r="D258" s="20">
        <v>31</v>
      </c>
      <c r="E258" s="20">
        <v>64</v>
      </c>
      <c r="F258" s="20">
        <v>12</v>
      </c>
      <c r="G258" s="20">
        <v>13</v>
      </c>
      <c r="H258" s="20">
        <v>0</v>
      </c>
      <c r="I258" s="20">
        <v>39</v>
      </c>
      <c r="J258" s="20">
        <v>265</v>
      </c>
      <c r="M258" t="s">
        <v>194</v>
      </c>
      <c r="N258" t="s">
        <v>195</v>
      </c>
      <c r="O258" t="str">
        <f t="shared" ref="O258:O321" si="14">M258&amp;" "&amp;N258</f>
        <v>Filip Forsberg</v>
      </c>
      <c r="P258" s="20">
        <v>64</v>
      </c>
    </row>
    <row r="259" spans="1:16" ht="30" x14ac:dyDescent="0.25">
      <c r="A259" s="17" t="s">
        <v>976</v>
      </c>
      <c r="B259" s="18">
        <v>78</v>
      </c>
      <c r="C259" s="18">
        <v>22</v>
      </c>
      <c r="D259" s="18">
        <v>34</v>
      </c>
      <c r="E259" s="18">
        <v>57</v>
      </c>
      <c r="F259" s="18">
        <v>24</v>
      </c>
      <c r="G259" s="18">
        <v>13</v>
      </c>
      <c r="H259" s="18">
        <v>0</v>
      </c>
      <c r="I259" s="18">
        <v>29</v>
      </c>
      <c r="J259" s="18">
        <v>251</v>
      </c>
      <c r="M259" t="s">
        <v>162</v>
      </c>
      <c r="N259" t="s">
        <v>306</v>
      </c>
      <c r="O259" t="str">
        <f t="shared" si="14"/>
        <v>Patrick Sharp</v>
      </c>
      <c r="P259" s="18">
        <v>57</v>
      </c>
    </row>
    <row r="260" spans="1:16" ht="45" x14ac:dyDescent="0.25">
      <c r="A260" s="19" t="s">
        <v>977</v>
      </c>
      <c r="B260" s="20">
        <v>78</v>
      </c>
      <c r="C260" s="20">
        <v>32</v>
      </c>
      <c r="D260" s="20">
        <v>35</v>
      </c>
      <c r="E260" s="20">
        <v>67</v>
      </c>
      <c r="F260" s="20">
        <v>10</v>
      </c>
      <c r="G260" s="20">
        <v>9</v>
      </c>
      <c r="H260" s="20">
        <v>0</v>
      </c>
      <c r="I260" s="20">
        <v>19</v>
      </c>
      <c r="J260" s="20">
        <v>248</v>
      </c>
      <c r="M260" t="s">
        <v>290</v>
      </c>
      <c r="N260" t="s">
        <v>291</v>
      </c>
      <c r="O260" t="str">
        <f t="shared" si="14"/>
        <v>Mike Hoffman</v>
      </c>
      <c r="P260" s="20">
        <v>67</v>
      </c>
    </row>
    <row r="261" spans="1:16" ht="30" x14ac:dyDescent="0.25">
      <c r="A261" s="17" t="s">
        <v>978</v>
      </c>
      <c r="B261" s="18">
        <v>78</v>
      </c>
      <c r="C261" s="18">
        <v>32</v>
      </c>
      <c r="D261" s="18">
        <v>36</v>
      </c>
      <c r="E261" s="18">
        <v>68</v>
      </c>
      <c r="F261" s="18">
        <v>-6</v>
      </c>
      <c r="G261" s="18">
        <v>12</v>
      </c>
      <c r="H261" s="18">
        <v>0</v>
      </c>
      <c r="I261" s="18">
        <v>38</v>
      </c>
      <c r="J261" s="18">
        <v>245</v>
      </c>
      <c r="M261" t="s">
        <v>264</v>
      </c>
      <c r="N261" t="s">
        <v>253</v>
      </c>
      <c r="O261" t="str">
        <f t="shared" si="14"/>
        <v>Daniel Sedin</v>
      </c>
      <c r="P261" s="18">
        <v>68</v>
      </c>
    </row>
    <row r="262" spans="1:16" ht="30" x14ac:dyDescent="0.25">
      <c r="A262" s="19" t="s">
        <v>979</v>
      </c>
      <c r="B262" s="20">
        <v>78</v>
      </c>
      <c r="C262" s="20">
        <v>21</v>
      </c>
      <c r="D262" s="20">
        <v>40</v>
      </c>
      <c r="E262" s="20">
        <v>62</v>
      </c>
      <c r="F262" s="20">
        <v>10</v>
      </c>
      <c r="G262" s="20">
        <v>12</v>
      </c>
      <c r="H262" s="20">
        <v>0</v>
      </c>
      <c r="I262" s="20">
        <v>73</v>
      </c>
      <c r="J262" s="20">
        <v>241</v>
      </c>
      <c r="M262" t="s">
        <v>174</v>
      </c>
      <c r="N262" t="s">
        <v>276</v>
      </c>
      <c r="O262" t="str">
        <f t="shared" si="14"/>
        <v>Alexander Steen</v>
      </c>
      <c r="P262" s="20">
        <v>62</v>
      </c>
    </row>
    <row r="263" spans="1:16" ht="30" x14ac:dyDescent="0.25">
      <c r="A263" s="17" t="s">
        <v>980</v>
      </c>
      <c r="B263" s="18">
        <v>78</v>
      </c>
      <c r="C263" s="18">
        <v>20</v>
      </c>
      <c r="D263" s="18">
        <v>38</v>
      </c>
      <c r="E263" s="18">
        <v>58</v>
      </c>
      <c r="F263" s="18">
        <v>32</v>
      </c>
      <c r="G263" s="18">
        <v>11</v>
      </c>
      <c r="H263" s="18">
        <v>0</v>
      </c>
      <c r="I263" s="18">
        <v>10</v>
      </c>
      <c r="J263" s="18">
        <v>230</v>
      </c>
      <c r="M263" t="s">
        <v>358</v>
      </c>
      <c r="N263" t="s">
        <v>359</v>
      </c>
      <c r="O263" t="str">
        <f t="shared" si="14"/>
        <v>Mikkel Boedker</v>
      </c>
      <c r="P263" s="18">
        <v>58</v>
      </c>
    </row>
    <row r="264" spans="1:16" ht="45" x14ac:dyDescent="0.25">
      <c r="A264" s="19" t="s">
        <v>981</v>
      </c>
      <c r="B264" s="20">
        <v>78</v>
      </c>
      <c r="C264" s="20">
        <v>28</v>
      </c>
      <c r="D264" s="20">
        <v>49</v>
      </c>
      <c r="E264" s="20">
        <v>77</v>
      </c>
      <c r="F264" s="20">
        <v>-18</v>
      </c>
      <c r="G264" s="20">
        <v>9</v>
      </c>
      <c r="H264" s="20">
        <v>0</v>
      </c>
      <c r="I264" s="20">
        <v>33</v>
      </c>
      <c r="J264" s="20">
        <v>227</v>
      </c>
      <c r="M264" t="s">
        <v>457</v>
      </c>
      <c r="N264" t="s">
        <v>458</v>
      </c>
      <c r="O264" t="str">
        <f t="shared" si="14"/>
        <v>Michael Cammalleri</v>
      </c>
      <c r="P264" s="20">
        <v>77</v>
      </c>
    </row>
    <row r="265" spans="1:16" ht="30" x14ac:dyDescent="0.25">
      <c r="A265" s="17" t="s">
        <v>982</v>
      </c>
      <c r="B265" s="18">
        <v>78</v>
      </c>
      <c r="C265" s="18">
        <v>22</v>
      </c>
      <c r="D265" s="18">
        <v>37</v>
      </c>
      <c r="E265" s="18">
        <v>60</v>
      </c>
      <c r="F265" s="18">
        <v>26</v>
      </c>
      <c r="G265" s="18">
        <v>11</v>
      </c>
      <c r="H265" s="18">
        <v>0</v>
      </c>
      <c r="I265" s="18">
        <v>34</v>
      </c>
      <c r="J265" s="18">
        <v>226</v>
      </c>
      <c r="M265" t="s">
        <v>218</v>
      </c>
      <c r="N265" t="s">
        <v>396</v>
      </c>
      <c r="O265" t="str">
        <f t="shared" si="14"/>
        <v>Jonathan Drouin</v>
      </c>
      <c r="P265" s="18">
        <v>60</v>
      </c>
    </row>
    <row r="266" spans="1:16" ht="30" x14ac:dyDescent="0.25">
      <c r="A266" s="19" t="s">
        <v>983</v>
      </c>
      <c r="B266" s="20">
        <v>78</v>
      </c>
      <c r="C266" s="20">
        <v>22</v>
      </c>
      <c r="D266" s="20">
        <v>29</v>
      </c>
      <c r="E266" s="20">
        <v>51</v>
      </c>
      <c r="F266" s="20">
        <v>24</v>
      </c>
      <c r="G266" s="20">
        <v>6</v>
      </c>
      <c r="H266" s="20">
        <v>1</v>
      </c>
      <c r="I266" s="20">
        <v>46</v>
      </c>
      <c r="J266" s="20">
        <v>225</v>
      </c>
      <c r="M266" t="s">
        <v>345</v>
      </c>
      <c r="N266" t="s">
        <v>346</v>
      </c>
      <c r="O266" t="str">
        <f t="shared" si="14"/>
        <v>Rick Nash</v>
      </c>
      <c r="P266" s="20">
        <v>51</v>
      </c>
    </row>
    <row r="267" spans="1:16" x14ac:dyDescent="0.25">
      <c r="A267" s="17" t="s">
        <v>984</v>
      </c>
      <c r="B267" s="18">
        <v>78</v>
      </c>
      <c r="C267" s="18">
        <v>26</v>
      </c>
      <c r="D267" s="18">
        <v>37</v>
      </c>
      <c r="E267" s="18">
        <v>64</v>
      </c>
      <c r="F267" s="18">
        <v>-9</v>
      </c>
      <c r="G267" s="18">
        <v>6</v>
      </c>
      <c r="H267" s="18">
        <v>0</v>
      </c>
      <c r="I267" s="18">
        <v>54</v>
      </c>
      <c r="J267" s="18">
        <v>221</v>
      </c>
      <c r="M267" t="s">
        <v>224</v>
      </c>
      <c r="N267" t="s">
        <v>225</v>
      </c>
      <c r="O267" t="str">
        <f t="shared" si="14"/>
        <v>Taylor Hall</v>
      </c>
      <c r="P267" s="18">
        <v>64</v>
      </c>
    </row>
    <row r="268" spans="1:16" ht="30" x14ac:dyDescent="0.25">
      <c r="A268" s="19" t="s">
        <v>985</v>
      </c>
      <c r="B268" s="20">
        <v>78</v>
      </c>
      <c r="C268" s="20">
        <v>18</v>
      </c>
      <c r="D268" s="20">
        <v>30</v>
      </c>
      <c r="E268" s="20">
        <v>49</v>
      </c>
      <c r="F268" s="20">
        <v>43</v>
      </c>
      <c r="G268" s="20">
        <v>0</v>
      </c>
      <c r="H268" s="20">
        <v>0</v>
      </c>
      <c r="I268" s="20">
        <v>36</v>
      </c>
      <c r="J268" s="20">
        <v>218</v>
      </c>
      <c r="M268" t="s">
        <v>333</v>
      </c>
      <c r="N268" t="s">
        <v>1434</v>
      </c>
      <c r="O268" t="str">
        <f t="shared" si="14"/>
        <v>Carl Hagelin</v>
      </c>
      <c r="P268" s="20">
        <v>49</v>
      </c>
    </row>
    <row r="269" spans="1:16" ht="30" x14ac:dyDescent="0.25">
      <c r="A269" s="17" t="s">
        <v>986</v>
      </c>
      <c r="B269" s="18">
        <v>78</v>
      </c>
      <c r="C269" s="18">
        <v>29</v>
      </c>
      <c r="D269" s="18">
        <v>33</v>
      </c>
      <c r="E269" s="18">
        <v>62</v>
      </c>
      <c r="F269" s="18">
        <v>-30</v>
      </c>
      <c r="G269" s="18">
        <v>11</v>
      </c>
      <c r="H269" s="18">
        <v>0</v>
      </c>
      <c r="I269" s="18">
        <v>60</v>
      </c>
      <c r="J269" s="18">
        <v>217</v>
      </c>
      <c r="M269" t="s">
        <v>353</v>
      </c>
      <c r="N269" t="s">
        <v>354</v>
      </c>
      <c r="O269" t="str">
        <f t="shared" si="14"/>
        <v>Zach Parise</v>
      </c>
      <c r="P269" s="18">
        <v>62</v>
      </c>
    </row>
    <row r="270" spans="1:16" ht="30" x14ac:dyDescent="0.25">
      <c r="A270" s="19" t="s">
        <v>987</v>
      </c>
      <c r="B270" s="20">
        <v>78</v>
      </c>
      <c r="C270" s="20">
        <v>23</v>
      </c>
      <c r="D270" s="20">
        <v>33</v>
      </c>
      <c r="E270" s="20">
        <v>56</v>
      </c>
      <c r="F270" s="20">
        <v>20</v>
      </c>
      <c r="G270" s="20">
        <v>7</v>
      </c>
      <c r="H270" s="20">
        <v>1</v>
      </c>
      <c r="I270" s="20">
        <v>33</v>
      </c>
      <c r="J270" s="20">
        <v>213</v>
      </c>
      <c r="M270" t="s">
        <v>356</v>
      </c>
      <c r="N270" t="s">
        <v>357</v>
      </c>
      <c r="O270" t="str">
        <f t="shared" si="14"/>
        <v>Ondrej Palat</v>
      </c>
      <c r="P270" s="20">
        <v>56</v>
      </c>
    </row>
    <row r="271" spans="1:16" ht="30" x14ac:dyDescent="0.25">
      <c r="A271" s="17" t="s">
        <v>988</v>
      </c>
      <c r="B271" s="18">
        <v>78</v>
      </c>
      <c r="C271" s="18">
        <v>18</v>
      </c>
      <c r="D271" s="18">
        <v>26</v>
      </c>
      <c r="E271" s="18">
        <v>44</v>
      </c>
      <c r="F271" s="18">
        <v>44</v>
      </c>
      <c r="G271" s="18">
        <v>4</v>
      </c>
      <c r="H271" s="18">
        <v>0</v>
      </c>
      <c r="I271" s="18">
        <v>53</v>
      </c>
      <c r="J271" s="18">
        <v>212</v>
      </c>
      <c r="M271" t="s">
        <v>419</v>
      </c>
      <c r="N271" t="s">
        <v>1435</v>
      </c>
      <c r="O271" t="str">
        <f t="shared" si="14"/>
        <v>Chris Kunitz</v>
      </c>
      <c r="P271" s="18">
        <v>44</v>
      </c>
    </row>
    <row r="272" spans="1:16" ht="45" x14ac:dyDescent="0.25">
      <c r="A272" s="19" t="s">
        <v>989</v>
      </c>
      <c r="B272" s="20">
        <v>78</v>
      </c>
      <c r="C272" s="20">
        <v>23</v>
      </c>
      <c r="D272" s="20">
        <v>35</v>
      </c>
      <c r="E272" s="20">
        <v>59</v>
      </c>
      <c r="F272" s="20">
        <v>-2</v>
      </c>
      <c r="G272" s="20">
        <v>8</v>
      </c>
      <c r="H272" s="20">
        <v>1</v>
      </c>
      <c r="I272" s="20">
        <v>77</v>
      </c>
      <c r="J272" s="20">
        <v>210</v>
      </c>
      <c r="M272" t="s">
        <v>262</v>
      </c>
      <c r="N272" t="s">
        <v>263</v>
      </c>
      <c r="O272" t="str">
        <f t="shared" si="14"/>
        <v>Gabriel Landeskog</v>
      </c>
      <c r="P272" s="20">
        <v>59</v>
      </c>
    </row>
    <row r="273" spans="1:17" ht="45" x14ac:dyDescent="0.25">
      <c r="A273" s="17" t="s">
        <v>990</v>
      </c>
      <c r="B273" s="18">
        <v>78</v>
      </c>
      <c r="C273" s="18">
        <v>19</v>
      </c>
      <c r="D273" s="18">
        <v>33</v>
      </c>
      <c r="E273" s="18">
        <v>53</v>
      </c>
      <c r="F273" s="18">
        <v>24</v>
      </c>
      <c r="G273" s="18">
        <v>9</v>
      </c>
      <c r="H273" s="18">
        <v>0</v>
      </c>
      <c r="I273" s="18">
        <v>17</v>
      </c>
      <c r="J273" s="18">
        <v>205</v>
      </c>
      <c r="M273" t="s">
        <v>335</v>
      </c>
      <c r="N273" t="s">
        <v>336</v>
      </c>
      <c r="O273" t="str">
        <f t="shared" si="14"/>
        <v>Marcus Johansson</v>
      </c>
      <c r="P273" s="18">
        <v>53</v>
      </c>
    </row>
    <row r="274" spans="1:17" ht="30" x14ac:dyDescent="0.25">
      <c r="A274" s="19" t="s">
        <v>991</v>
      </c>
      <c r="B274" s="20">
        <v>78</v>
      </c>
      <c r="C274" s="20">
        <v>26</v>
      </c>
      <c r="D274" s="20">
        <v>22</v>
      </c>
      <c r="E274" s="20">
        <v>49</v>
      </c>
      <c r="F274" s="20">
        <v>9</v>
      </c>
      <c r="G274" s="20">
        <v>7</v>
      </c>
      <c r="H274" s="20">
        <v>1</v>
      </c>
      <c r="I274" s="20">
        <v>46</v>
      </c>
      <c r="J274" s="20">
        <v>204</v>
      </c>
      <c r="M274" t="s">
        <v>310</v>
      </c>
      <c r="N274" t="s">
        <v>311</v>
      </c>
      <c r="O274" t="str">
        <f t="shared" si="14"/>
        <v>Andrew Ladd</v>
      </c>
      <c r="P274" s="20">
        <v>49</v>
      </c>
    </row>
    <row r="275" spans="1:17" ht="30" x14ac:dyDescent="0.25">
      <c r="A275" s="17" t="s">
        <v>992</v>
      </c>
      <c r="B275" s="18">
        <v>78</v>
      </c>
      <c r="C275" s="18">
        <v>24</v>
      </c>
      <c r="D275" s="18">
        <v>23</v>
      </c>
      <c r="E275" s="18">
        <v>47</v>
      </c>
      <c r="F275" s="18">
        <v>8</v>
      </c>
      <c r="G275" s="18">
        <v>11</v>
      </c>
      <c r="H275" s="18">
        <v>0</v>
      </c>
      <c r="I275" s="18">
        <v>15</v>
      </c>
      <c r="J275" s="18">
        <v>201</v>
      </c>
      <c r="M275" t="s">
        <v>162</v>
      </c>
      <c r="N275" t="s">
        <v>394</v>
      </c>
      <c r="O275" t="str">
        <f t="shared" si="14"/>
        <v>Patrick Marleau</v>
      </c>
      <c r="P275" s="18">
        <v>47</v>
      </c>
    </row>
    <row r="276" spans="1:17" ht="30" x14ac:dyDescent="0.25">
      <c r="A276" s="19" t="s">
        <v>993</v>
      </c>
      <c r="B276" s="20">
        <v>78</v>
      </c>
      <c r="C276" s="20">
        <v>24</v>
      </c>
      <c r="D276" s="20">
        <v>21</v>
      </c>
      <c r="E276" s="20">
        <v>46</v>
      </c>
      <c r="F276" s="20">
        <v>22</v>
      </c>
      <c r="G276" s="20">
        <v>5</v>
      </c>
      <c r="H276" s="20">
        <v>0</v>
      </c>
      <c r="I276" s="20">
        <v>66</v>
      </c>
      <c r="J276" s="20">
        <v>200</v>
      </c>
      <c r="M276" t="s">
        <v>419</v>
      </c>
      <c r="N276" t="s">
        <v>420</v>
      </c>
      <c r="O276" t="str">
        <f t="shared" si="14"/>
        <v>Chris Kreider</v>
      </c>
      <c r="P276" s="20">
        <v>46</v>
      </c>
    </row>
    <row r="277" spans="1:17" ht="30" x14ac:dyDescent="0.25">
      <c r="A277" s="17" t="s">
        <v>994</v>
      </c>
      <c r="B277" s="18">
        <v>78</v>
      </c>
      <c r="C277" s="18">
        <v>18</v>
      </c>
      <c r="D277" s="18">
        <v>31</v>
      </c>
      <c r="E277" s="18">
        <v>49</v>
      </c>
      <c r="F277" s="18">
        <v>24</v>
      </c>
      <c r="G277" s="18">
        <v>3</v>
      </c>
      <c r="H277" s="18">
        <v>0</v>
      </c>
      <c r="I277" s="18">
        <v>69</v>
      </c>
      <c r="J277" s="18">
        <v>199</v>
      </c>
      <c r="M277" t="s">
        <v>233</v>
      </c>
      <c r="N277" t="s">
        <v>1436</v>
      </c>
      <c r="O277" t="str">
        <f t="shared" si="14"/>
        <v>Alex Killorn</v>
      </c>
      <c r="P277" s="18">
        <v>49</v>
      </c>
    </row>
    <row r="278" spans="1:17" ht="45" x14ac:dyDescent="0.25">
      <c r="A278" s="19" t="s">
        <v>995</v>
      </c>
      <c r="B278" s="20">
        <v>78</v>
      </c>
      <c r="C278" s="20">
        <v>29</v>
      </c>
      <c r="D278" s="20">
        <v>29</v>
      </c>
      <c r="E278" s="20">
        <v>59</v>
      </c>
      <c r="F278" s="20">
        <v>-21</v>
      </c>
      <c r="G278" s="20">
        <v>9</v>
      </c>
      <c r="H278" s="20">
        <v>0</v>
      </c>
      <c r="I278" s="20">
        <v>15</v>
      </c>
      <c r="J278" s="20">
        <v>199</v>
      </c>
      <c r="M278" t="s">
        <v>257</v>
      </c>
      <c r="N278" t="s">
        <v>1437</v>
      </c>
      <c r="O278" t="str">
        <f t="shared" si="14"/>
        <v>James van</v>
      </c>
      <c r="P278" s="20">
        <v>59</v>
      </c>
      <c r="Q278" t="s">
        <v>1233</v>
      </c>
    </row>
    <row r="279" spans="1:17" ht="30" x14ac:dyDescent="0.25">
      <c r="A279" s="17" t="s">
        <v>996</v>
      </c>
      <c r="B279" s="18">
        <v>78</v>
      </c>
      <c r="C279" s="18">
        <v>22</v>
      </c>
      <c r="D279" s="18">
        <v>23</v>
      </c>
      <c r="E279" s="18">
        <v>46</v>
      </c>
      <c r="F279" s="18">
        <v>19</v>
      </c>
      <c r="G279" s="18">
        <v>3</v>
      </c>
      <c r="H279" s="18">
        <v>0</v>
      </c>
      <c r="I279" s="18">
        <v>25</v>
      </c>
      <c r="J279" s="18">
        <v>195</v>
      </c>
      <c r="M279" t="s">
        <v>365</v>
      </c>
      <c r="N279" t="s">
        <v>369</v>
      </c>
      <c r="O279" t="str">
        <f t="shared" si="14"/>
        <v>Tomas Hertl</v>
      </c>
      <c r="P279" s="18">
        <v>46</v>
      </c>
    </row>
    <row r="280" spans="1:17" ht="30" x14ac:dyDescent="0.25">
      <c r="A280" s="19" t="s">
        <v>997</v>
      </c>
      <c r="B280" s="20">
        <v>78</v>
      </c>
      <c r="C280" s="20">
        <v>29</v>
      </c>
      <c r="D280" s="20">
        <v>13</v>
      </c>
      <c r="E280" s="20">
        <v>42</v>
      </c>
      <c r="F280" s="20">
        <v>26</v>
      </c>
      <c r="G280" s="20">
        <v>3</v>
      </c>
      <c r="H280" s="20">
        <v>0</v>
      </c>
      <c r="I280" s="20">
        <v>36</v>
      </c>
      <c r="J280" s="20">
        <v>190</v>
      </c>
      <c r="M280" t="s">
        <v>264</v>
      </c>
      <c r="N280" t="s">
        <v>1438</v>
      </c>
      <c r="O280" t="str">
        <f t="shared" si="14"/>
        <v>Daniel Carr</v>
      </c>
      <c r="P280" s="20">
        <v>42</v>
      </c>
    </row>
    <row r="281" spans="1:17" ht="30" x14ac:dyDescent="0.25">
      <c r="A281" s="17" t="s">
        <v>998</v>
      </c>
      <c r="B281" s="18">
        <v>78</v>
      </c>
      <c r="C281" s="18">
        <v>33</v>
      </c>
      <c r="D281" s="18">
        <v>21</v>
      </c>
      <c r="E281" s="18">
        <v>54</v>
      </c>
      <c r="F281" s="18">
        <v>-14</v>
      </c>
      <c r="G281" s="18">
        <v>5</v>
      </c>
      <c r="H281" s="18">
        <v>0</v>
      </c>
      <c r="I281" s="18">
        <v>13</v>
      </c>
      <c r="J281" s="18">
        <v>189</v>
      </c>
      <c r="M281" t="s">
        <v>303</v>
      </c>
      <c r="N281" t="s">
        <v>304</v>
      </c>
      <c r="O281" t="str">
        <f t="shared" si="14"/>
        <v>Brandon Saad</v>
      </c>
      <c r="P281" s="18">
        <v>54</v>
      </c>
    </row>
    <row r="282" spans="1:17" ht="45" x14ac:dyDescent="0.25">
      <c r="A282" s="19" t="s">
        <v>999</v>
      </c>
      <c r="B282" s="20">
        <v>78</v>
      </c>
      <c r="C282" s="20">
        <v>19</v>
      </c>
      <c r="D282" s="20">
        <v>39</v>
      </c>
      <c r="E282" s="20">
        <v>59</v>
      </c>
      <c r="F282" s="20">
        <v>-20</v>
      </c>
      <c r="G282" s="20">
        <v>7</v>
      </c>
      <c r="H282" s="20">
        <v>0</v>
      </c>
      <c r="I282" s="20">
        <v>51</v>
      </c>
      <c r="J282" s="20">
        <v>188</v>
      </c>
      <c r="M282" t="s">
        <v>218</v>
      </c>
      <c r="N282" t="s">
        <v>219</v>
      </c>
      <c r="O282" t="str">
        <f t="shared" si="14"/>
        <v>Jonathan Huberdeau</v>
      </c>
      <c r="P282" s="20">
        <v>59</v>
      </c>
    </row>
    <row r="283" spans="1:17" ht="30" x14ac:dyDescent="0.25">
      <c r="A283" s="17" t="s">
        <v>1000</v>
      </c>
      <c r="B283" s="18">
        <v>78</v>
      </c>
      <c r="C283" s="18">
        <v>30</v>
      </c>
      <c r="D283" s="18">
        <v>18</v>
      </c>
      <c r="E283" s="18">
        <v>49</v>
      </c>
      <c r="F283" s="18">
        <v>-20</v>
      </c>
      <c r="G283" s="18">
        <v>8</v>
      </c>
      <c r="H283" s="18">
        <v>0</v>
      </c>
      <c r="I283" s="18">
        <v>71</v>
      </c>
      <c r="J283" s="18">
        <v>187</v>
      </c>
      <c r="M283" t="s">
        <v>343</v>
      </c>
      <c r="N283" t="s">
        <v>344</v>
      </c>
      <c r="O283" t="str">
        <f t="shared" si="14"/>
        <v>Boone Jenner</v>
      </c>
      <c r="P283" s="18">
        <v>49</v>
      </c>
    </row>
    <row r="284" spans="1:17" ht="30" x14ac:dyDescent="0.25">
      <c r="A284" s="19" t="s">
        <v>1001</v>
      </c>
      <c r="B284" s="20">
        <v>78</v>
      </c>
      <c r="C284" s="20">
        <v>29</v>
      </c>
      <c r="D284" s="20">
        <v>23</v>
      </c>
      <c r="E284" s="20">
        <v>52</v>
      </c>
      <c r="F284" s="20">
        <v>-25</v>
      </c>
      <c r="G284" s="20">
        <v>4</v>
      </c>
      <c r="H284" s="20">
        <v>0</v>
      </c>
      <c r="I284" s="20">
        <v>46</v>
      </c>
      <c r="J284" s="20">
        <v>186</v>
      </c>
      <c r="M284" t="s">
        <v>277</v>
      </c>
      <c r="N284" t="s">
        <v>305</v>
      </c>
      <c r="O284" t="str">
        <f t="shared" si="14"/>
        <v>Jeff Skinner</v>
      </c>
      <c r="P284" s="20">
        <v>52</v>
      </c>
    </row>
    <row r="285" spans="1:17" ht="45" x14ac:dyDescent="0.25">
      <c r="A285" s="17" t="s">
        <v>1002</v>
      </c>
      <c r="B285" s="18">
        <v>78</v>
      </c>
      <c r="C285" s="18">
        <v>15</v>
      </c>
      <c r="D285" s="18">
        <v>36</v>
      </c>
      <c r="E285" s="18">
        <v>51</v>
      </c>
      <c r="F285" s="18">
        <v>-7</v>
      </c>
      <c r="G285" s="18">
        <v>11</v>
      </c>
      <c r="H285" s="18">
        <v>0</v>
      </c>
      <c r="I285" s="18">
        <v>25</v>
      </c>
      <c r="J285" s="18">
        <v>184</v>
      </c>
      <c r="M285" t="s">
        <v>252</v>
      </c>
      <c r="N285" t="s">
        <v>364</v>
      </c>
      <c r="O285" t="str">
        <f t="shared" si="14"/>
        <v>Henrik Zetterberg</v>
      </c>
      <c r="P285" s="18">
        <v>51</v>
      </c>
    </row>
    <row r="286" spans="1:17" ht="30" x14ac:dyDescent="0.25">
      <c r="A286" s="19" t="s">
        <v>1003</v>
      </c>
      <c r="B286" s="20">
        <v>78</v>
      </c>
      <c r="C286" s="20">
        <v>17</v>
      </c>
      <c r="D286" s="20">
        <v>23</v>
      </c>
      <c r="E286" s="20">
        <v>40</v>
      </c>
      <c r="F286" s="20">
        <v>21</v>
      </c>
      <c r="G286" s="20">
        <v>4</v>
      </c>
      <c r="H286" s="20">
        <v>0</v>
      </c>
      <c r="I286" s="20">
        <v>62</v>
      </c>
      <c r="J286" s="20">
        <v>182</v>
      </c>
      <c r="M286" t="s">
        <v>245</v>
      </c>
      <c r="N286" t="s">
        <v>1439</v>
      </c>
      <c r="O286" t="str">
        <f t="shared" si="14"/>
        <v>Matt Beleskey</v>
      </c>
      <c r="P286" s="20">
        <v>40</v>
      </c>
    </row>
    <row r="287" spans="1:17" ht="45" x14ac:dyDescent="0.25">
      <c r="A287" s="17" t="s">
        <v>1004</v>
      </c>
      <c r="B287" s="18">
        <v>78</v>
      </c>
      <c r="C287" s="18">
        <v>16</v>
      </c>
      <c r="D287" s="18">
        <v>19</v>
      </c>
      <c r="E287" s="18">
        <v>36</v>
      </c>
      <c r="F287" s="18">
        <v>40</v>
      </c>
      <c r="G287" s="18">
        <v>4</v>
      </c>
      <c r="H287" s="18">
        <v>0</v>
      </c>
      <c r="I287" s="18">
        <v>51</v>
      </c>
      <c r="J287" s="18">
        <v>181</v>
      </c>
      <c r="M287" t="s">
        <v>1408</v>
      </c>
      <c r="N287" t="s">
        <v>1440</v>
      </c>
      <c r="O287" t="str">
        <f t="shared" si="14"/>
        <v>Curtis McKenzie</v>
      </c>
      <c r="P287" s="18">
        <v>36</v>
      </c>
    </row>
    <row r="288" spans="1:17" ht="30" x14ac:dyDescent="0.25">
      <c r="A288" s="19" t="s">
        <v>1005</v>
      </c>
      <c r="B288" s="20">
        <v>78</v>
      </c>
      <c r="C288" s="20">
        <v>24</v>
      </c>
      <c r="D288" s="20">
        <v>26</v>
      </c>
      <c r="E288" s="20">
        <v>50</v>
      </c>
      <c r="F288" s="20">
        <v>-21</v>
      </c>
      <c r="G288" s="20">
        <v>7</v>
      </c>
      <c r="H288" s="20">
        <v>0</v>
      </c>
      <c r="I288" s="20">
        <v>106</v>
      </c>
      <c r="J288" s="20">
        <v>175</v>
      </c>
      <c r="M288" t="s">
        <v>392</v>
      </c>
      <c r="N288" t="s">
        <v>393</v>
      </c>
      <c r="O288" t="str">
        <f t="shared" si="14"/>
        <v>Scott Hartnell</v>
      </c>
      <c r="P288" s="20">
        <v>50</v>
      </c>
    </row>
    <row r="289" spans="1:16" ht="45" x14ac:dyDescent="0.25">
      <c r="A289" s="17" t="s">
        <v>1006</v>
      </c>
      <c r="B289" s="18">
        <v>78</v>
      </c>
      <c r="C289" s="18">
        <v>20</v>
      </c>
      <c r="D289" s="18">
        <v>22</v>
      </c>
      <c r="E289" s="18">
        <v>43</v>
      </c>
      <c r="F289" s="18">
        <v>-10</v>
      </c>
      <c r="G289" s="18">
        <v>6</v>
      </c>
      <c r="H289" s="18">
        <v>0</v>
      </c>
      <c r="I289" s="18">
        <v>136</v>
      </c>
      <c r="J289" s="18">
        <v>174</v>
      </c>
      <c r="M289" t="s">
        <v>374</v>
      </c>
      <c r="N289" t="s">
        <v>1441</v>
      </c>
      <c r="O289" t="str">
        <f t="shared" si="14"/>
        <v>Justin Abdelkader</v>
      </c>
      <c r="P289" s="18">
        <v>43</v>
      </c>
    </row>
    <row r="290" spans="1:16" ht="30" x14ac:dyDescent="0.25">
      <c r="A290" s="19" t="s">
        <v>1007</v>
      </c>
      <c r="B290" s="20">
        <v>78</v>
      </c>
      <c r="C290" s="20">
        <v>17</v>
      </c>
      <c r="D290" s="20">
        <v>39</v>
      </c>
      <c r="E290" s="20">
        <v>56</v>
      </c>
      <c r="F290" s="20">
        <v>-11</v>
      </c>
      <c r="G290" s="20">
        <v>6</v>
      </c>
      <c r="H290" s="20">
        <v>0</v>
      </c>
      <c r="I290" s="20">
        <v>42</v>
      </c>
      <c r="J290" s="20">
        <v>174</v>
      </c>
      <c r="M290" t="s">
        <v>323</v>
      </c>
      <c r="N290" t="s">
        <v>324</v>
      </c>
      <c r="O290" t="str">
        <f t="shared" si="14"/>
        <v>Jussi Jokinen</v>
      </c>
      <c r="P290" s="20">
        <v>56</v>
      </c>
    </row>
    <row r="291" spans="1:16" ht="30" x14ac:dyDescent="0.25">
      <c r="A291" s="17" t="s">
        <v>1008</v>
      </c>
      <c r="B291" s="18">
        <v>78</v>
      </c>
      <c r="C291" s="18">
        <v>25</v>
      </c>
      <c r="D291" s="18">
        <v>19</v>
      </c>
      <c r="E291" s="18">
        <v>44</v>
      </c>
      <c r="F291" s="18">
        <v>-41</v>
      </c>
      <c r="G291" s="18">
        <v>3</v>
      </c>
      <c r="H291" s="18">
        <v>0</v>
      </c>
      <c r="I291" s="18">
        <v>124</v>
      </c>
      <c r="J291" s="18">
        <v>173</v>
      </c>
      <c r="M291" t="s">
        <v>1442</v>
      </c>
      <c r="N291" t="s">
        <v>163</v>
      </c>
      <c r="O291" t="str">
        <f t="shared" si="14"/>
        <v>Evander Kane</v>
      </c>
      <c r="P291" s="18">
        <v>44</v>
      </c>
    </row>
    <row r="292" spans="1:16" ht="30" x14ac:dyDescent="0.25">
      <c r="A292" s="19" t="s">
        <v>1009</v>
      </c>
      <c r="B292" s="20">
        <v>78</v>
      </c>
      <c r="C292" s="20">
        <v>21</v>
      </c>
      <c r="D292" s="20">
        <v>26</v>
      </c>
      <c r="E292" s="20">
        <v>48</v>
      </c>
      <c r="F292" s="20">
        <v>-1</v>
      </c>
      <c r="G292" s="20">
        <v>8</v>
      </c>
      <c r="H292" s="20">
        <v>0</v>
      </c>
      <c r="I292" s="20">
        <v>23</v>
      </c>
      <c r="J292" s="20">
        <v>172</v>
      </c>
      <c r="M292" t="s">
        <v>365</v>
      </c>
      <c r="N292" t="s">
        <v>417</v>
      </c>
      <c r="O292" t="str">
        <f t="shared" si="14"/>
        <v>Tomas Tatar</v>
      </c>
      <c r="P292" s="20">
        <v>48</v>
      </c>
    </row>
    <row r="293" spans="1:16" ht="30" x14ac:dyDescent="0.25">
      <c r="A293" s="17" t="s">
        <v>1010</v>
      </c>
      <c r="B293" s="18">
        <v>78</v>
      </c>
      <c r="C293" s="18">
        <v>22</v>
      </c>
      <c r="D293" s="18">
        <v>33</v>
      </c>
      <c r="E293" s="18">
        <v>56</v>
      </c>
      <c r="F293" s="18">
        <v>-22</v>
      </c>
      <c r="G293" s="18">
        <v>7</v>
      </c>
      <c r="H293" s="18">
        <v>0</v>
      </c>
      <c r="I293" s="18">
        <v>50</v>
      </c>
      <c r="J293" s="18">
        <v>171</v>
      </c>
      <c r="M293" t="s">
        <v>1443</v>
      </c>
      <c r="N293" t="s">
        <v>1444</v>
      </c>
      <c r="O293" t="str">
        <f t="shared" si="14"/>
        <v>Benoit Pouliot</v>
      </c>
      <c r="P293" s="18">
        <v>56</v>
      </c>
    </row>
    <row r="294" spans="1:16" ht="30" x14ac:dyDescent="0.25">
      <c r="A294" s="19" t="s">
        <v>1011</v>
      </c>
      <c r="B294" s="20">
        <v>78</v>
      </c>
      <c r="C294" s="20">
        <v>18</v>
      </c>
      <c r="D294" s="20">
        <v>22</v>
      </c>
      <c r="E294" s="20">
        <v>41</v>
      </c>
      <c r="F294" s="20">
        <v>17</v>
      </c>
      <c r="G294" s="20">
        <v>4</v>
      </c>
      <c r="H294" s="20">
        <v>0</v>
      </c>
      <c r="I294" s="20">
        <v>39</v>
      </c>
      <c r="J294" s="20">
        <v>170</v>
      </c>
      <c r="M294" t="s">
        <v>1369</v>
      </c>
      <c r="N294" t="s">
        <v>1445</v>
      </c>
      <c r="O294" t="str">
        <f t="shared" si="14"/>
        <v>Jimmy Vesey</v>
      </c>
      <c r="P294" s="20">
        <v>41</v>
      </c>
    </row>
    <row r="295" spans="1:16" ht="30" x14ac:dyDescent="0.25">
      <c r="A295" s="17" t="s">
        <v>1012</v>
      </c>
      <c r="B295" s="18">
        <v>78</v>
      </c>
      <c r="C295" s="18">
        <v>17</v>
      </c>
      <c r="D295" s="18">
        <v>32</v>
      </c>
      <c r="E295" s="18">
        <v>49</v>
      </c>
      <c r="F295" s="18">
        <v>0</v>
      </c>
      <c r="G295" s="18">
        <v>7</v>
      </c>
      <c r="H295" s="18">
        <v>0</v>
      </c>
      <c r="I295" s="18">
        <v>20</v>
      </c>
      <c r="J295" s="18">
        <v>168</v>
      </c>
      <c r="M295" t="s">
        <v>260</v>
      </c>
      <c r="N295" t="s">
        <v>261</v>
      </c>
      <c r="O295" t="str">
        <f t="shared" si="14"/>
        <v>Jaden Schwartz</v>
      </c>
      <c r="P295" s="18">
        <v>49</v>
      </c>
    </row>
    <row r="296" spans="1:16" ht="45" x14ac:dyDescent="0.25">
      <c r="A296" s="19" t="s">
        <v>1013</v>
      </c>
      <c r="B296" s="20">
        <v>78</v>
      </c>
      <c r="C296" s="20">
        <v>27</v>
      </c>
      <c r="D296" s="20">
        <v>22</v>
      </c>
      <c r="E296" s="20">
        <v>49</v>
      </c>
      <c r="F296" s="20">
        <v>-14</v>
      </c>
      <c r="G296" s="20">
        <v>5</v>
      </c>
      <c r="H296" s="20">
        <v>0</v>
      </c>
      <c r="I296" s="20">
        <v>56</v>
      </c>
      <c r="J296" s="20">
        <v>168</v>
      </c>
      <c r="M296" t="s">
        <v>1446</v>
      </c>
      <c r="N296" t="s">
        <v>1447</v>
      </c>
      <c r="O296" t="str">
        <f t="shared" si="14"/>
        <v>Leo Komarov</v>
      </c>
      <c r="P296" s="20">
        <v>49</v>
      </c>
    </row>
    <row r="297" spans="1:16" ht="30" x14ac:dyDescent="0.25">
      <c r="A297" s="17" t="s">
        <v>1014</v>
      </c>
      <c r="B297" s="18">
        <v>78</v>
      </c>
      <c r="C297" s="18">
        <v>13</v>
      </c>
      <c r="D297" s="18">
        <v>14</v>
      </c>
      <c r="E297" s="18">
        <v>28</v>
      </c>
      <c r="F297" s="18">
        <v>35</v>
      </c>
      <c r="G297" s="18">
        <v>0</v>
      </c>
      <c r="H297" s="18">
        <v>0</v>
      </c>
      <c r="I297" s="18">
        <v>142</v>
      </c>
      <c r="J297" s="18">
        <v>167</v>
      </c>
      <c r="M297" t="s">
        <v>1231</v>
      </c>
      <c r="N297" t="s">
        <v>1448</v>
      </c>
      <c r="O297" t="str">
        <f t="shared" si="14"/>
        <v>Antoine Roussel</v>
      </c>
      <c r="P297" s="18">
        <v>28</v>
      </c>
    </row>
    <row r="298" spans="1:16" ht="30" x14ac:dyDescent="0.25">
      <c r="A298" s="19" t="s">
        <v>1015</v>
      </c>
      <c r="B298" s="20">
        <v>78</v>
      </c>
      <c r="C298" s="20">
        <v>14</v>
      </c>
      <c r="D298" s="20">
        <v>27</v>
      </c>
      <c r="E298" s="20">
        <v>42</v>
      </c>
      <c r="F298" s="20">
        <v>1</v>
      </c>
      <c r="G298" s="20">
        <v>5</v>
      </c>
      <c r="H298" s="20">
        <v>0</v>
      </c>
      <c r="I298" s="20">
        <v>80</v>
      </c>
      <c r="J298" s="20">
        <v>166</v>
      </c>
      <c r="M298" t="s">
        <v>231</v>
      </c>
      <c r="N298" t="s">
        <v>447</v>
      </c>
      <c r="O298" t="str">
        <f t="shared" si="14"/>
        <v>David Perron</v>
      </c>
      <c r="P298" s="20">
        <v>42</v>
      </c>
    </row>
    <row r="299" spans="1:16" ht="30" x14ac:dyDescent="0.25">
      <c r="A299" s="17" t="s">
        <v>1016</v>
      </c>
      <c r="B299" s="18">
        <v>78</v>
      </c>
      <c r="C299" s="18">
        <v>19</v>
      </c>
      <c r="D299" s="18">
        <v>19</v>
      </c>
      <c r="E299" s="18">
        <v>38</v>
      </c>
      <c r="F299" s="18">
        <v>9</v>
      </c>
      <c r="G299" s="18">
        <v>0</v>
      </c>
      <c r="H299" s="18">
        <v>2</v>
      </c>
      <c r="I299" s="18">
        <v>31</v>
      </c>
      <c r="J299" s="18">
        <v>156</v>
      </c>
      <c r="M299" t="s">
        <v>457</v>
      </c>
      <c r="N299" t="s">
        <v>1449</v>
      </c>
      <c r="O299" t="str">
        <f t="shared" si="14"/>
        <v>Michael Frolik</v>
      </c>
      <c r="P299" s="18">
        <v>38</v>
      </c>
    </row>
    <row r="300" spans="1:16" ht="30" x14ac:dyDescent="0.25">
      <c r="A300" s="19" t="s">
        <v>1017</v>
      </c>
      <c r="B300" s="20">
        <v>78</v>
      </c>
      <c r="C300" s="20">
        <v>15</v>
      </c>
      <c r="D300" s="20">
        <v>21</v>
      </c>
      <c r="E300" s="20">
        <v>37</v>
      </c>
      <c r="F300" s="20">
        <v>-7</v>
      </c>
      <c r="G300" s="20">
        <v>9</v>
      </c>
      <c r="H300" s="20">
        <v>0</v>
      </c>
      <c r="I300" s="20">
        <v>57</v>
      </c>
      <c r="J300" s="20">
        <v>155</v>
      </c>
      <c r="M300" t="s">
        <v>1450</v>
      </c>
      <c r="N300" t="s">
        <v>1365</v>
      </c>
      <c r="O300" t="str">
        <f t="shared" si="14"/>
        <v>Anders Lee</v>
      </c>
      <c r="P300" s="20">
        <v>37</v>
      </c>
    </row>
    <row r="301" spans="1:16" ht="30" x14ac:dyDescent="0.25">
      <c r="A301" s="17" t="s">
        <v>1018</v>
      </c>
      <c r="B301" s="18">
        <v>78</v>
      </c>
      <c r="C301" s="18">
        <v>18</v>
      </c>
      <c r="D301" s="18">
        <v>16</v>
      </c>
      <c r="E301" s="18">
        <v>34</v>
      </c>
      <c r="F301" s="18">
        <v>17</v>
      </c>
      <c r="G301" s="18">
        <v>3</v>
      </c>
      <c r="H301" s="18">
        <v>0</v>
      </c>
      <c r="I301" s="18">
        <v>28</v>
      </c>
      <c r="J301" s="18">
        <v>153</v>
      </c>
      <c r="M301" t="s">
        <v>426</v>
      </c>
      <c r="N301" t="s">
        <v>1451</v>
      </c>
      <c r="O301" t="str">
        <f t="shared" si="14"/>
        <v>Kevin Fiala</v>
      </c>
      <c r="P301" s="18">
        <v>34</v>
      </c>
    </row>
    <row r="302" spans="1:16" ht="30" x14ac:dyDescent="0.25">
      <c r="A302" s="19" t="s">
        <v>1019</v>
      </c>
      <c r="B302" s="20">
        <v>78</v>
      </c>
      <c r="C302" s="20">
        <v>12</v>
      </c>
      <c r="D302" s="20">
        <v>28</v>
      </c>
      <c r="E302" s="20">
        <v>41</v>
      </c>
      <c r="F302" s="20">
        <v>21</v>
      </c>
      <c r="G302" s="20">
        <v>0</v>
      </c>
      <c r="H302" s="20">
        <v>0</v>
      </c>
      <c r="I302" s="20">
        <v>13</v>
      </c>
      <c r="J302" s="20">
        <v>153</v>
      </c>
      <c r="M302" t="s">
        <v>1452</v>
      </c>
      <c r="N302" t="s">
        <v>1377</v>
      </c>
      <c r="O302" t="str">
        <f t="shared" si="14"/>
        <v>Colin Wilson</v>
      </c>
      <c r="P302" s="20">
        <v>41</v>
      </c>
    </row>
    <row r="303" spans="1:16" ht="45" x14ac:dyDescent="0.25">
      <c r="A303" s="17" t="s">
        <v>1020</v>
      </c>
      <c r="B303" s="18">
        <v>78</v>
      </c>
      <c r="C303" s="18">
        <v>17</v>
      </c>
      <c r="D303" s="18">
        <v>19</v>
      </c>
      <c r="E303" s="18">
        <v>37</v>
      </c>
      <c r="F303" s="18">
        <v>24</v>
      </c>
      <c r="G303" s="18">
        <v>1</v>
      </c>
      <c r="H303" s="18">
        <v>0</v>
      </c>
      <c r="I303" s="18">
        <v>17</v>
      </c>
      <c r="J303" s="18">
        <v>152</v>
      </c>
      <c r="M303" t="s">
        <v>1453</v>
      </c>
      <c r="N303" t="s">
        <v>1454</v>
      </c>
      <c r="O303" t="str">
        <f t="shared" si="14"/>
        <v>Andre Burakovsky</v>
      </c>
      <c r="P303" s="18">
        <v>37</v>
      </c>
    </row>
    <row r="304" spans="1:16" ht="30" x14ac:dyDescent="0.25">
      <c r="A304" s="19" t="s">
        <v>1021</v>
      </c>
      <c r="B304" s="20">
        <v>78</v>
      </c>
      <c r="C304" s="20">
        <v>17</v>
      </c>
      <c r="D304" s="20">
        <v>25</v>
      </c>
      <c r="E304" s="20">
        <v>42</v>
      </c>
      <c r="F304" s="20">
        <v>-9</v>
      </c>
      <c r="G304" s="20">
        <v>7</v>
      </c>
      <c r="H304" s="20">
        <v>0</v>
      </c>
      <c r="I304" s="20">
        <v>26</v>
      </c>
      <c r="J304" s="20">
        <v>152</v>
      </c>
      <c r="M304" t="s">
        <v>383</v>
      </c>
      <c r="N304" t="s">
        <v>384</v>
      </c>
      <c r="O304" t="str">
        <f t="shared" si="14"/>
        <v>Nikolaj Ehlers</v>
      </c>
      <c r="P304" s="20">
        <v>42</v>
      </c>
    </row>
    <row r="305" spans="1:16" ht="30" x14ac:dyDescent="0.25">
      <c r="A305" s="17" t="s">
        <v>1022</v>
      </c>
      <c r="B305" s="18">
        <v>78</v>
      </c>
      <c r="C305" s="18">
        <v>16</v>
      </c>
      <c r="D305" s="18">
        <v>22</v>
      </c>
      <c r="E305" s="18">
        <v>39</v>
      </c>
      <c r="F305" s="18">
        <v>10</v>
      </c>
      <c r="G305" s="18">
        <v>2</v>
      </c>
      <c r="H305" s="18">
        <v>0</v>
      </c>
      <c r="I305" s="18">
        <v>19</v>
      </c>
      <c r="J305" s="18">
        <v>149</v>
      </c>
      <c r="M305" t="s">
        <v>1455</v>
      </c>
      <c r="N305" t="s">
        <v>1456</v>
      </c>
      <c r="O305" t="str">
        <f t="shared" si="14"/>
        <v>Tanner Pearson</v>
      </c>
      <c r="P305" s="18">
        <v>39</v>
      </c>
    </row>
    <row r="306" spans="1:16" ht="30" x14ac:dyDescent="0.25">
      <c r="A306" s="19" t="s">
        <v>1023</v>
      </c>
      <c r="B306" s="20">
        <v>78</v>
      </c>
      <c r="C306" s="20">
        <v>7</v>
      </c>
      <c r="D306" s="20">
        <v>15</v>
      </c>
      <c r="E306" s="20">
        <v>22</v>
      </c>
      <c r="F306" s="20">
        <v>59</v>
      </c>
      <c r="G306" s="20">
        <v>0</v>
      </c>
      <c r="H306" s="20">
        <v>0</v>
      </c>
      <c r="I306" s="20">
        <v>39</v>
      </c>
      <c r="J306" s="20">
        <v>144</v>
      </c>
      <c r="M306" t="s">
        <v>264</v>
      </c>
      <c r="N306" t="s">
        <v>1457</v>
      </c>
      <c r="O306" t="str">
        <f t="shared" si="14"/>
        <v>Daniel Winnik</v>
      </c>
      <c r="P306" s="20">
        <v>22</v>
      </c>
    </row>
    <row r="307" spans="1:16" ht="30" x14ac:dyDescent="0.25">
      <c r="A307" s="17" t="s">
        <v>1024</v>
      </c>
      <c r="B307" s="18">
        <v>78</v>
      </c>
      <c r="C307" s="18">
        <v>19</v>
      </c>
      <c r="D307" s="18">
        <v>24</v>
      </c>
      <c r="E307" s="18">
        <v>44</v>
      </c>
      <c r="F307" s="18">
        <v>-26</v>
      </c>
      <c r="G307" s="18">
        <v>7</v>
      </c>
      <c r="H307" s="18">
        <v>0</v>
      </c>
      <c r="I307" s="18">
        <v>34</v>
      </c>
      <c r="J307" s="18">
        <v>140</v>
      </c>
      <c r="M307" t="s">
        <v>376</v>
      </c>
      <c r="N307" t="s">
        <v>377</v>
      </c>
      <c r="O307" t="str">
        <f t="shared" si="14"/>
        <v>Thomas Vanek</v>
      </c>
      <c r="P307" s="18">
        <v>44</v>
      </c>
    </row>
    <row r="308" spans="1:16" ht="30" x14ac:dyDescent="0.25">
      <c r="A308" s="19" t="s">
        <v>1025</v>
      </c>
      <c r="B308" s="20">
        <v>78</v>
      </c>
      <c r="C308" s="20">
        <v>19</v>
      </c>
      <c r="D308" s="20">
        <v>17</v>
      </c>
      <c r="E308" s="20">
        <v>36</v>
      </c>
      <c r="F308" s="20">
        <v>-2</v>
      </c>
      <c r="G308" s="20">
        <v>4</v>
      </c>
      <c r="H308" s="20">
        <v>0</v>
      </c>
      <c r="I308" s="20">
        <v>41</v>
      </c>
      <c r="J308" s="20">
        <v>138</v>
      </c>
      <c r="M308" t="s">
        <v>397</v>
      </c>
      <c r="N308" t="s">
        <v>421</v>
      </c>
      <c r="O308" t="str">
        <f t="shared" si="14"/>
        <v>Sam Bennett</v>
      </c>
      <c r="P308" s="20">
        <v>36</v>
      </c>
    </row>
    <row r="309" spans="1:16" ht="30" x14ac:dyDescent="0.25">
      <c r="A309" s="17" t="s">
        <v>1026</v>
      </c>
      <c r="B309" s="18">
        <v>78</v>
      </c>
      <c r="C309" s="18">
        <v>13</v>
      </c>
      <c r="D309" s="18">
        <v>27</v>
      </c>
      <c r="E309" s="18">
        <v>41</v>
      </c>
      <c r="F309" s="18">
        <v>-24</v>
      </c>
      <c r="G309" s="18">
        <v>8</v>
      </c>
      <c r="H309" s="18">
        <v>0</v>
      </c>
      <c r="I309" s="18">
        <v>57</v>
      </c>
      <c r="J309" s="18">
        <v>136</v>
      </c>
      <c r="M309" t="s">
        <v>431</v>
      </c>
      <c r="N309" t="s">
        <v>448</v>
      </c>
      <c r="O309" t="str">
        <f t="shared" si="14"/>
        <v>Nick Foligno</v>
      </c>
      <c r="P309" s="18">
        <v>41</v>
      </c>
    </row>
    <row r="310" spans="1:16" ht="45" x14ac:dyDescent="0.25">
      <c r="A310" s="19" t="s">
        <v>1027</v>
      </c>
      <c r="B310" s="20">
        <v>78</v>
      </c>
      <c r="C310" s="20">
        <v>11</v>
      </c>
      <c r="D310" s="20">
        <v>25</v>
      </c>
      <c r="E310" s="20">
        <v>37</v>
      </c>
      <c r="F310" s="20">
        <v>14</v>
      </c>
      <c r="G310" s="20">
        <v>0</v>
      </c>
      <c r="H310" s="20">
        <v>1</v>
      </c>
      <c r="I310" s="20">
        <v>22</v>
      </c>
      <c r="J310" s="20">
        <v>136</v>
      </c>
      <c r="M310" t="s">
        <v>310</v>
      </c>
      <c r="N310" t="s">
        <v>1458</v>
      </c>
      <c r="O310" t="str">
        <f t="shared" si="14"/>
        <v>Andrew Cogliano</v>
      </c>
      <c r="P310" s="20">
        <v>37</v>
      </c>
    </row>
    <row r="311" spans="1:16" ht="30" x14ac:dyDescent="0.25">
      <c r="A311" s="17" t="s">
        <v>1028</v>
      </c>
      <c r="B311" s="18">
        <v>78</v>
      </c>
      <c r="C311" s="18">
        <v>20</v>
      </c>
      <c r="D311" s="18">
        <v>22</v>
      </c>
      <c r="E311" s="18">
        <v>42</v>
      </c>
      <c r="F311" s="18">
        <v>-13</v>
      </c>
      <c r="G311" s="18">
        <v>5</v>
      </c>
      <c r="H311" s="18">
        <v>0</v>
      </c>
      <c r="I311" s="18">
        <v>41</v>
      </c>
      <c r="J311" s="18">
        <v>134</v>
      </c>
      <c r="M311" t="s">
        <v>390</v>
      </c>
      <c r="N311" t="s">
        <v>391</v>
      </c>
      <c r="O311" t="str">
        <f t="shared" si="14"/>
        <v>Anthony Duclair</v>
      </c>
      <c r="P311" s="18">
        <v>42</v>
      </c>
    </row>
    <row r="312" spans="1:16" ht="30" x14ac:dyDescent="0.25">
      <c r="A312" s="19" t="s">
        <v>1029</v>
      </c>
      <c r="B312" s="20">
        <v>78</v>
      </c>
      <c r="C312" s="20">
        <v>14</v>
      </c>
      <c r="D312" s="20">
        <v>10</v>
      </c>
      <c r="E312" s="20">
        <v>24</v>
      </c>
      <c r="F312" s="20">
        <v>34</v>
      </c>
      <c r="G312" s="20">
        <v>0</v>
      </c>
      <c r="H312" s="20">
        <v>0</v>
      </c>
      <c r="I312" s="20">
        <v>23</v>
      </c>
      <c r="J312" s="20">
        <v>131</v>
      </c>
      <c r="M312" t="s">
        <v>1459</v>
      </c>
      <c r="N312" t="s">
        <v>1460</v>
      </c>
      <c r="O312" t="str">
        <f t="shared" si="14"/>
        <v>Conor Sheary</v>
      </c>
      <c r="P312" s="20">
        <v>24</v>
      </c>
    </row>
    <row r="313" spans="1:16" ht="30" x14ac:dyDescent="0.25">
      <c r="A313" s="17" t="s">
        <v>1030</v>
      </c>
      <c r="B313" s="18">
        <v>78</v>
      </c>
      <c r="C313" s="18">
        <v>12</v>
      </c>
      <c r="D313" s="18">
        <v>23</v>
      </c>
      <c r="E313" s="18">
        <v>36</v>
      </c>
      <c r="F313" s="18">
        <v>-5</v>
      </c>
      <c r="G313" s="18">
        <v>4</v>
      </c>
      <c r="H313" s="18">
        <v>0</v>
      </c>
      <c r="I313" s="18">
        <v>61</v>
      </c>
      <c r="J313" s="18">
        <v>131</v>
      </c>
      <c r="M313" t="s">
        <v>192</v>
      </c>
      <c r="N313" t="s">
        <v>1461</v>
      </c>
      <c r="O313" t="str">
        <f t="shared" si="14"/>
        <v>Blake Comeau</v>
      </c>
      <c r="P313" s="18">
        <v>36</v>
      </c>
    </row>
    <row r="314" spans="1:16" ht="30" x14ac:dyDescent="0.25">
      <c r="A314" s="19" t="s">
        <v>1031</v>
      </c>
      <c r="B314" s="20">
        <v>78</v>
      </c>
      <c r="C314" s="20">
        <v>17</v>
      </c>
      <c r="D314" s="20">
        <v>20</v>
      </c>
      <c r="E314" s="20">
        <v>38</v>
      </c>
      <c r="F314" s="20">
        <v>-11</v>
      </c>
      <c r="G314" s="20">
        <v>4</v>
      </c>
      <c r="H314" s="20">
        <v>0</v>
      </c>
      <c r="I314" s="20">
        <v>39</v>
      </c>
      <c r="J314" s="20">
        <v>130</v>
      </c>
      <c r="M314" t="s">
        <v>1462</v>
      </c>
      <c r="N314" t="s">
        <v>1463</v>
      </c>
      <c r="O314" t="str">
        <f t="shared" si="14"/>
        <v>Matthew Tkachuk</v>
      </c>
      <c r="P314" s="20">
        <v>38</v>
      </c>
    </row>
    <row r="315" spans="1:16" ht="45" x14ac:dyDescent="0.25">
      <c r="A315" s="17" t="s">
        <v>1032</v>
      </c>
      <c r="B315" s="18">
        <v>78</v>
      </c>
      <c r="C315" s="18">
        <v>14</v>
      </c>
      <c r="D315" s="18">
        <v>17</v>
      </c>
      <c r="E315" s="18">
        <v>32</v>
      </c>
      <c r="F315" s="18">
        <v>4</v>
      </c>
      <c r="G315" s="18">
        <v>3</v>
      </c>
      <c r="H315" s="18">
        <v>0</v>
      </c>
      <c r="I315" s="18">
        <v>37</v>
      </c>
      <c r="J315" s="18">
        <v>130</v>
      </c>
      <c r="M315" t="s">
        <v>1464</v>
      </c>
      <c r="N315" t="s">
        <v>1465</v>
      </c>
      <c r="O315" t="str">
        <f t="shared" si="14"/>
        <v>Clarke MacArthur</v>
      </c>
      <c r="P315" s="18">
        <v>32</v>
      </c>
    </row>
    <row r="316" spans="1:16" ht="45" x14ac:dyDescent="0.25">
      <c r="A316" s="19" t="s">
        <v>1033</v>
      </c>
      <c r="B316" s="20">
        <v>78</v>
      </c>
      <c r="C316" s="20">
        <v>8</v>
      </c>
      <c r="D316" s="20">
        <v>20</v>
      </c>
      <c r="E316" s="20">
        <v>28</v>
      </c>
      <c r="F316" s="20">
        <v>26</v>
      </c>
      <c r="G316" s="20">
        <v>1</v>
      </c>
      <c r="H316" s="20">
        <v>0</v>
      </c>
      <c r="I316" s="20">
        <v>15</v>
      </c>
      <c r="J316" s="20">
        <v>129</v>
      </c>
      <c r="M316" t="s">
        <v>1466</v>
      </c>
      <c r="N316" t="s">
        <v>1467</v>
      </c>
      <c r="O316" t="str">
        <f t="shared" si="14"/>
        <v>Valeri Nichushkin</v>
      </c>
      <c r="P316" s="20">
        <v>28</v>
      </c>
    </row>
    <row r="317" spans="1:16" ht="30" x14ac:dyDescent="0.25">
      <c r="A317" s="17" t="s">
        <v>1034</v>
      </c>
      <c r="B317" s="18">
        <v>78</v>
      </c>
      <c r="C317" s="18">
        <v>17</v>
      </c>
      <c r="D317" s="18">
        <v>31</v>
      </c>
      <c r="E317" s="18">
        <v>49</v>
      </c>
      <c r="F317" s="18">
        <v>-42</v>
      </c>
      <c r="G317" s="18">
        <v>4</v>
      </c>
      <c r="H317" s="18">
        <v>0</v>
      </c>
      <c r="I317" s="18">
        <v>75</v>
      </c>
      <c r="J317" s="18">
        <v>129</v>
      </c>
      <c r="M317" t="s">
        <v>282</v>
      </c>
      <c r="N317" t="s">
        <v>283</v>
      </c>
      <c r="O317" t="str">
        <f t="shared" si="14"/>
        <v>Milan Lucic</v>
      </c>
      <c r="P317" s="18">
        <v>49</v>
      </c>
    </row>
    <row r="318" spans="1:16" ht="30" x14ac:dyDescent="0.25">
      <c r="A318" s="19" t="s">
        <v>1035</v>
      </c>
      <c r="B318" s="20">
        <v>78</v>
      </c>
      <c r="C318" s="20">
        <v>19</v>
      </c>
      <c r="D318" s="20">
        <v>25</v>
      </c>
      <c r="E318" s="20">
        <v>44</v>
      </c>
      <c r="F318" s="20">
        <v>-23</v>
      </c>
      <c r="G318" s="20">
        <v>5</v>
      </c>
      <c r="H318" s="20">
        <v>0</v>
      </c>
      <c r="I318" s="20">
        <v>13</v>
      </c>
      <c r="J318" s="20">
        <v>128</v>
      </c>
      <c r="M318" t="s">
        <v>1468</v>
      </c>
      <c r="N318" t="s">
        <v>1469</v>
      </c>
      <c r="O318" t="str">
        <f t="shared" si="14"/>
        <v>Reid Boucher</v>
      </c>
      <c r="P318" s="20">
        <v>44</v>
      </c>
    </row>
    <row r="319" spans="1:16" ht="45" x14ac:dyDescent="0.25">
      <c r="A319" s="17" t="s">
        <v>1036</v>
      </c>
      <c r="B319" s="18">
        <v>78</v>
      </c>
      <c r="C319" s="18">
        <v>11</v>
      </c>
      <c r="D319" s="18">
        <v>11</v>
      </c>
      <c r="E319" s="18">
        <v>23</v>
      </c>
      <c r="F319" s="18">
        <v>13</v>
      </c>
      <c r="G319" s="18">
        <v>0</v>
      </c>
      <c r="H319" s="18">
        <v>0</v>
      </c>
      <c r="I319" s="18">
        <v>52</v>
      </c>
      <c r="J319" s="18">
        <v>127</v>
      </c>
      <c r="M319" t="s">
        <v>1470</v>
      </c>
      <c r="N319" t="s">
        <v>1471</v>
      </c>
      <c r="O319" t="str">
        <f t="shared" si="14"/>
        <v>Viktor Arvidsson</v>
      </c>
      <c r="P319" s="18">
        <v>23</v>
      </c>
    </row>
    <row r="320" spans="1:16" ht="30" x14ac:dyDescent="0.25">
      <c r="A320" s="19" t="s">
        <v>1037</v>
      </c>
      <c r="B320" s="20">
        <v>78</v>
      </c>
      <c r="C320" s="20">
        <v>17</v>
      </c>
      <c r="D320" s="20">
        <v>17</v>
      </c>
      <c r="E320" s="20">
        <v>35</v>
      </c>
      <c r="F320" s="20">
        <v>-15</v>
      </c>
      <c r="G320" s="20">
        <v>3</v>
      </c>
      <c r="H320" s="20">
        <v>0</v>
      </c>
      <c r="I320" s="20">
        <v>30</v>
      </c>
      <c r="J320" s="20">
        <v>124</v>
      </c>
      <c r="M320" t="s">
        <v>243</v>
      </c>
      <c r="N320" t="s">
        <v>1472</v>
      </c>
      <c r="O320" t="str">
        <f t="shared" si="14"/>
        <v>Jason Chimera</v>
      </c>
      <c r="P320" s="20">
        <v>35</v>
      </c>
    </row>
    <row r="321" spans="1:16" ht="30" x14ac:dyDescent="0.25">
      <c r="A321" s="17" t="s">
        <v>1038</v>
      </c>
      <c r="B321" s="18">
        <v>78</v>
      </c>
      <c r="C321" s="18">
        <v>14</v>
      </c>
      <c r="D321" s="18">
        <v>17</v>
      </c>
      <c r="E321" s="18">
        <v>32</v>
      </c>
      <c r="F321" s="18">
        <v>7</v>
      </c>
      <c r="G321" s="18">
        <v>1</v>
      </c>
      <c r="H321" s="18">
        <v>0</v>
      </c>
      <c r="I321" s="18">
        <v>28</v>
      </c>
      <c r="J321" s="18">
        <v>123</v>
      </c>
      <c r="M321" t="s">
        <v>457</v>
      </c>
      <c r="N321" t="s">
        <v>1473</v>
      </c>
      <c r="O321" t="str">
        <f t="shared" si="14"/>
        <v>Michael Raffl</v>
      </c>
      <c r="P321" s="18">
        <v>32</v>
      </c>
    </row>
    <row r="322" spans="1:16" ht="30" x14ac:dyDescent="0.25">
      <c r="A322" s="19" t="s">
        <v>1039</v>
      </c>
      <c r="B322" s="20">
        <v>78</v>
      </c>
      <c r="C322" s="20">
        <v>10</v>
      </c>
      <c r="D322" s="20">
        <v>14</v>
      </c>
      <c r="E322" s="20">
        <v>25</v>
      </c>
      <c r="F322" s="20">
        <v>25</v>
      </c>
      <c r="G322" s="20">
        <v>0</v>
      </c>
      <c r="H322" s="20">
        <v>0</v>
      </c>
      <c r="I322" s="20">
        <v>10</v>
      </c>
      <c r="J322" s="20">
        <v>114</v>
      </c>
      <c r="M322" t="s">
        <v>1353</v>
      </c>
      <c r="N322" t="s">
        <v>1474</v>
      </c>
      <c r="O322" t="str">
        <f t="shared" ref="O322:O385" si="15">M322&amp;" "&amp;N322</f>
        <v>Shane Prince</v>
      </c>
      <c r="P322" s="20">
        <v>25</v>
      </c>
    </row>
    <row r="323" spans="1:16" ht="45" x14ac:dyDescent="0.25">
      <c r="A323" s="17" t="s">
        <v>1040</v>
      </c>
      <c r="B323" s="18">
        <v>72</v>
      </c>
      <c r="C323" s="18">
        <v>18</v>
      </c>
      <c r="D323" s="18">
        <v>15</v>
      </c>
      <c r="E323" s="18">
        <v>34</v>
      </c>
      <c r="F323" s="18">
        <v>-12</v>
      </c>
      <c r="G323" s="18">
        <v>4</v>
      </c>
      <c r="H323" s="18">
        <v>0</v>
      </c>
      <c r="I323" s="18">
        <v>16</v>
      </c>
      <c r="J323" s="18">
        <v>110</v>
      </c>
      <c r="M323" t="s">
        <v>1475</v>
      </c>
      <c r="N323" t="s">
        <v>1476</v>
      </c>
      <c r="O323" t="str">
        <f t="shared" si="15"/>
        <v>Sven Baertschi</v>
      </c>
      <c r="P323" s="18">
        <v>34</v>
      </c>
    </row>
    <row r="324" spans="1:16" ht="30" x14ac:dyDescent="0.25">
      <c r="A324" s="19" t="s">
        <v>1041</v>
      </c>
      <c r="B324" s="20">
        <v>78</v>
      </c>
      <c r="C324" s="20">
        <v>13</v>
      </c>
      <c r="D324" s="20">
        <v>19</v>
      </c>
      <c r="E324" s="20">
        <v>33</v>
      </c>
      <c r="F324" s="20">
        <v>-5</v>
      </c>
      <c r="G324" s="20">
        <v>3</v>
      </c>
      <c r="H324" s="20">
        <v>0</v>
      </c>
      <c r="I324" s="20">
        <v>24</v>
      </c>
      <c r="J324" s="20">
        <v>109</v>
      </c>
      <c r="M324" t="s">
        <v>1477</v>
      </c>
      <c r="N324" t="s">
        <v>1478</v>
      </c>
      <c r="O324" t="str">
        <f t="shared" si="15"/>
        <v>Josh Bailey</v>
      </c>
      <c r="P324" s="20">
        <v>33</v>
      </c>
    </row>
    <row r="325" spans="1:16" ht="30" x14ac:dyDescent="0.25">
      <c r="A325" s="17" t="s">
        <v>1042</v>
      </c>
      <c r="B325" s="18">
        <v>78</v>
      </c>
      <c r="C325" s="18">
        <v>22</v>
      </c>
      <c r="D325" s="18">
        <v>5</v>
      </c>
      <c r="E325" s="18">
        <v>27</v>
      </c>
      <c r="F325" s="18">
        <v>-20</v>
      </c>
      <c r="G325" s="18">
        <v>4</v>
      </c>
      <c r="H325" s="18">
        <v>0</v>
      </c>
      <c r="I325" s="18">
        <v>25</v>
      </c>
      <c r="J325" s="18">
        <v>105</v>
      </c>
      <c r="M325" t="s">
        <v>1479</v>
      </c>
      <c r="N325" t="s">
        <v>1480</v>
      </c>
      <c r="O325" t="str">
        <f t="shared" si="15"/>
        <v>Joffrey Lupul</v>
      </c>
      <c r="P325" s="18">
        <v>27</v>
      </c>
    </row>
    <row r="326" spans="1:16" ht="30" x14ac:dyDescent="0.25">
      <c r="A326" s="19" t="s">
        <v>1043</v>
      </c>
      <c r="B326" s="20">
        <v>78</v>
      </c>
      <c r="C326" s="20">
        <v>21</v>
      </c>
      <c r="D326" s="20">
        <v>15</v>
      </c>
      <c r="E326" s="20">
        <v>37</v>
      </c>
      <c r="F326" s="20">
        <v>-37</v>
      </c>
      <c r="G326" s="20">
        <v>5</v>
      </c>
      <c r="H326" s="20">
        <v>0</v>
      </c>
      <c r="I326" s="20">
        <v>35</v>
      </c>
      <c r="J326" s="20">
        <v>105</v>
      </c>
      <c r="M326" t="s">
        <v>158</v>
      </c>
      <c r="N326" t="s">
        <v>1481</v>
      </c>
      <c r="O326" t="str">
        <f t="shared" si="15"/>
        <v>Jamie McGinn</v>
      </c>
      <c r="P326" s="20">
        <v>37</v>
      </c>
    </row>
    <row r="327" spans="1:16" ht="30" x14ac:dyDescent="0.25">
      <c r="A327" s="17" t="s">
        <v>1044</v>
      </c>
      <c r="B327" s="18">
        <v>78</v>
      </c>
      <c r="C327" s="18">
        <v>15</v>
      </c>
      <c r="D327" s="18">
        <v>19</v>
      </c>
      <c r="E327" s="18">
        <v>34</v>
      </c>
      <c r="F327" s="18">
        <v>-34</v>
      </c>
      <c r="G327" s="18">
        <v>4</v>
      </c>
      <c r="H327" s="18">
        <v>0</v>
      </c>
      <c r="I327" s="18">
        <v>43</v>
      </c>
      <c r="J327" s="18">
        <v>99</v>
      </c>
      <c r="M327" t="s">
        <v>1482</v>
      </c>
      <c r="N327" t="s">
        <v>1483</v>
      </c>
      <c r="O327" t="str">
        <f t="shared" si="15"/>
        <v>Christian Dvorak</v>
      </c>
      <c r="P327" s="18">
        <v>34</v>
      </c>
    </row>
    <row r="328" spans="1:16" ht="45" x14ac:dyDescent="0.25">
      <c r="A328" s="19" t="s">
        <v>1045</v>
      </c>
      <c r="B328" s="20">
        <v>78</v>
      </c>
      <c r="C328" s="20">
        <v>11</v>
      </c>
      <c r="D328" s="20">
        <v>2</v>
      </c>
      <c r="E328" s="20">
        <v>13</v>
      </c>
      <c r="F328" s="20">
        <v>16</v>
      </c>
      <c r="G328" s="20">
        <v>0</v>
      </c>
      <c r="H328" s="20">
        <v>0</v>
      </c>
      <c r="I328" s="20">
        <v>37</v>
      </c>
      <c r="J328" s="20">
        <v>97</v>
      </c>
      <c r="M328" t="s">
        <v>1484</v>
      </c>
      <c r="N328" t="s">
        <v>1485</v>
      </c>
      <c r="O328" t="str">
        <f t="shared" si="15"/>
        <v>Mason Raymond</v>
      </c>
      <c r="P328" s="20">
        <v>13</v>
      </c>
    </row>
    <row r="329" spans="1:16" ht="30" x14ac:dyDescent="0.25">
      <c r="A329" s="17" t="s">
        <v>1046</v>
      </c>
      <c r="B329" s="18">
        <v>78</v>
      </c>
      <c r="C329" s="18">
        <v>9</v>
      </c>
      <c r="D329" s="18">
        <v>10</v>
      </c>
      <c r="E329" s="18">
        <v>20</v>
      </c>
      <c r="F329" s="18">
        <v>11</v>
      </c>
      <c r="G329" s="18">
        <v>0</v>
      </c>
      <c r="H329" s="18">
        <v>0</v>
      </c>
      <c r="I329" s="18">
        <v>19</v>
      </c>
      <c r="J329" s="18">
        <v>91</v>
      </c>
      <c r="M329" t="s">
        <v>245</v>
      </c>
      <c r="N329" t="s">
        <v>1486</v>
      </c>
      <c r="O329" t="str">
        <f t="shared" si="15"/>
        <v>Matt Nieto</v>
      </c>
      <c r="P329" s="18">
        <v>20</v>
      </c>
    </row>
    <row r="330" spans="1:16" ht="30" x14ac:dyDescent="0.25">
      <c r="A330" s="19" t="s">
        <v>1047</v>
      </c>
      <c r="B330" s="20">
        <v>78</v>
      </c>
      <c r="C330" s="20">
        <v>11</v>
      </c>
      <c r="D330" s="20">
        <v>10</v>
      </c>
      <c r="E330" s="20">
        <v>21</v>
      </c>
      <c r="F330" s="20">
        <v>4</v>
      </c>
      <c r="G330" s="20">
        <v>0</v>
      </c>
      <c r="H330" s="20">
        <v>0</v>
      </c>
      <c r="I330" s="20">
        <v>40</v>
      </c>
      <c r="J330" s="20">
        <v>90</v>
      </c>
      <c r="M330" t="s">
        <v>1487</v>
      </c>
      <c r="N330" t="s">
        <v>1488</v>
      </c>
      <c r="O330" t="str">
        <f t="shared" si="15"/>
        <v>Dwight King</v>
      </c>
      <c r="P330" s="20">
        <v>21</v>
      </c>
    </row>
    <row r="331" spans="1:16" ht="30" x14ac:dyDescent="0.25">
      <c r="A331" s="17" t="s">
        <v>1048</v>
      </c>
      <c r="B331" s="18">
        <v>78</v>
      </c>
      <c r="C331" s="18">
        <v>12</v>
      </c>
      <c r="D331" s="18">
        <v>14</v>
      </c>
      <c r="E331" s="18">
        <v>26</v>
      </c>
      <c r="F331" s="18">
        <v>-15</v>
      </c>
      <c r="G331" s="18">
        <v>0</v>
      </c>
      <c r="H331" s="18">
        <v>0</v>
      </c>
      <c r="I331" s="18">
        <v>51</v>
      </c>
      <c r="J331" s="18">
        <v>89</v>
      </c>
      <c r="M331" t="s">
        <v>245</v>
      </c>
      <c r="N331" t="s">
        <v>1489</v>
      </c>
      <c r="O331" t="str">
        <f t="shared" si="15"/>
        <v>Matt Calvert</v>
      </c>
      <c r="P331" s="18">
        <v>26</v>
      </c>
    </row>
    <row r="332" spans="1:16" ht="30" x14ac:dyDescent="0.25">
      <c r="A332" s="19" t="s">
        <v>1049</v>
      </c>
      <c r="B332" s="20">
        <v>78</v>
      </c>
      <c r="C332" s="20">
        <v>14</v>
      </c>
      <c r="D332" s="20">
        <v>12</v>
      </c>
      <c r="E332" s="20">
        <v>26</v>
      </c>
      <c r="F332" s="20">
        <v>-27</v>
      </c>
      <c r="G332" s="20">
        <v>1</v>
      </c>
      <c r="H332" s="20">
        <v>1</v>
      </c>
      <c r="I332" s="20">
        <v>31</v>
      </c>
      <c r="J332" s="20">
        <v>86</v>
      </c>
      <c r="M332" t="s">
        <v>243</v>
      </c>
      <c r="N332" t="s">
        <v>1490</v>
      </c>
      <c r="O332" t="str">
        <f t="shared" si="15"/>
        <v>Jason Zucker</v>
      </c>
      <c r="P332" s="20">
        <v>26</v>
      </c>
    </row>
    <row r="333" spans="1:16" ht="30" x14ac:dyDescent="0.25">
      <c r="A333" s="17" t="s">
        <v>1050</v>
      </c>
      <c r="B333" s="18">
        <v>78</v>
      </c>
      <c r="C333" s="18">
        <v>8</v>
      </c>
      <c r="D333" s="18">
        <v>4</v>
      </c>
      <c r="E333" s="18">
        <v>13</v>
      </c>
      <c r="F333" s="18">
        <v>-1</v>
      </c>
      <c r="G333" s="18">
        <v>0</v>
      </c>
      <c r="H333" s="18">
        <v>0</v>
      </c>
      <c r="I333" s="18">
        <v>145</v>
      </c>
      <c r="J333" s="18">
        <v>84</v>
      </c>
      <c r="M333" t="s">
        <v>1244</v>
      </c>
      <c r="N333" t="s">
        <v>1491</v>
      </c>
      <c r="O333" t="str">
        <f t="shared" si="15"/>
        <v>Cody McLeod</v>
      </c>
      <c r="P333" s="18">
        <v>13</v>
      </c>
    </row>
    <row r="334" spans="1:16" ht="30" x14ac:dyDescent="0.25">
      <c r="A334" s="19" t="s">
        <v>1051</v>
      </c>
      <c r="B334" s="20">
        <v>78</v>
      </c>
      <c r="C334" s="20">
        <v>4</v>
      </c>
      <c r="D334" s="20">
        <v>4</v>
      </c>
      <c r="E334" s="20">
        <v>9</v>
      </c>
      <c r="F334" s="20">
        <v>7</v>
      </c>
      <c r="G334" s="20">
        <v>0</v>
      </c>
      <c r="H334" s="20">
        <v>0</v>
      </c>
      <c r="I334" s="20">
        <v>80</v>
      </c>
      <c r="J334" s="20">
        <v>83</v>
      </c>
      <c r="M334" t="s">
        <v>431</v>
      </c>
      <c r="N334" t="s">
        <v>1492</v>
      </c>
      <c r="O334" t="str">
        <f t="shared" si="15"/>
        <v>Nick Ritchie</v>
      </c>
      <c r="P334" s="20">
        <v>9</v>
      </c>
    </row>
    <row r="335" spans="1:16" ht="30" x14ac:dyDescent="0.25">
      <c r="A335" s="17" t="s">
        <v>1052</v>
      </c>
      <c r="B335" s="18">
        <v>78</v>
      </c>
      <c r="C335" s="18">
        <v>6</v>
      </c>
      <c r="D335" s="18">
        <v>9</v>
      </c>
      <c r="E335" s="18">
        <v>16</v>
      </c>
      <c r="F335" s="18">
        <v>4</v>
      </c>
      <c r="G335" s="18">
        <v>0</v>
      </c>
      <c r="H335" s="18">
        <v>1</v>
      </c>
      <c r="I335" s="18">
        <v>50</v>
      </c>
      <c r="J335" s="18">
        <v>82</v>
      </c>
      <c r="M335" t="s">
        <v>1493</v>
      </c>
      <c r="N335" t="s">
        <v>1494</v>
      </c>
      <c r="O335" t="str">
        <f t="shared" si="15"/>
        <v>Scottie Upshall</v>
      </c>
      <c r="P335" s="18">
        <v>16</v>
      </c>
    </row>
    <row r="336" spans="1:16" ht="45" x14ac:dyDescent="0.25">
      <c r="A336" s="19" t="s">
        <v>1053</v>
      </c>
      <c r="B336" s="20">
        <v>78</v>
      </c>
      <c r="C336" s="20">
        <v>11</v>
      </c>
      <c r="D336" s="20">
        <v>15</v>
      </c>
      <c r="E336" s="20">
        <v>27</v>
      </c>
      <c r="F336" s="20">
        <v>-27</v>
      </c>
      <c r="G336" s="20">
        <v>5</v>
      </c>
      <c r="H336" s="20">
        <v>0</v>
      </c>
      <c r="I336" s="20">
        <v>32</v>
      </c>
      <c r="J336" s="20">
        <v>79</v>
      </c>
      <c r="M336" t="s">
        <v>282</v>
      </c>
      <c r="N336" t="s">
        <v>1495</v>
      </c>
      <c r="O336" t="str">
        <f t="shared" si="15"/>
        <v>Milan Michalek</v>
      </c>
      <c r="P336" s="20">
        <v>27</v>
      </c>
    </row>
    <row r="337" spans="1:17" ht="30" x14ac:dyDescent="0.25">
      <c r="A337" s="17" t="s">
        <v>1054</v>
      </c>
      <c r="B337" s="18">
        <v>78</v>
      </c>
      <c r="C337" s="18">
        <v>4</v>
      </c>
      <c r="D337" s="18">
        <v>9</v>
      </c>
      <c r="E337" s="18">
        <v>14</v>
      </c>
      <c r="F337" s="18">
        <v>5</v>
      </c>
      <c r="G337" s="18">
        <v>0</v>
      </c>
      <c r="H337" s="18">
        <v>0</v>
      </c>
      <c r="I337" s="18">
        <v>72</v>
      </c>
      <c r="J337" s="18">
        <v>78</v>
      </c>
      <c r="M337" t="s">
        <v>254</v>
      </c>
      <c r="N337" t="s">
        <v>1496</v>
      </c>
      <c r="O337" t="str">
        <f t="shared" si="15"/>
        <v>Kyle Clifford</v>
      </c>
      <c r="P337" s="18">
        <v>14</v>
      </c>
    </row>
    <row r="338" spans="1:17" ht="30" x14ac:dyDescent="0.25">
      <c r="A338" s="19" t="s">
        <v>1055</v>
      </c>
      <c r="B338" s="20">
        <v>78</v>
      </c>
      <c r="C338" s="20">
        <v>3</v>
      </c>
      <c r="D338" s="20">
        <v>2</v>
      </c>
      <c r="E338" s="20">
        <v>5</v>
      </c>
      <c r="F338" s="20">
        <v>7</v>
      </c>
      <c r="G338" s="20">
        <v>0</v>
      </c>
      <c r="H338" s="20">
        <v>0</v>
      </c>
      <c r="I338" s="20">
        <v>145</v>
      </c>
      <c r="J338" s="20">
        <v>75</v>
      </c>
      <c r="M338" t="s">
        <v>303</v>
      </c>
      <c r="N338" t="s">
        <v>1497</v>
      </c>
      <c r="O338" t="str">
        <f t="shared" si="15"/>
        <v>Brandon Bollig</v>
      </c>
      <c r="P338" s="20">
        <v>5</v>
      </c>
    </row>
    <row r="339" spans="1:17" ht="45" x14ac:dyDescent="0.25">
      <c r="A339" s="17" t="s">
        <v>1056</v>
      </c>
      <c r="B339" s="18">
        <v>78</v>
      </c>
      <c r="C339" s="18">
        <v>13</v>
      </c>
      <c r="D339" s="18">
        <v>15</v>
      </c>
      <c r="E339" s="18">
        <v>29</v>
      </c>
      <c r="F339" s="18">
        <v>-49</v>
      </c>
      <c r="G339" s="18">
        <v>4</v>
      </c>
      <c r="H339" s="18">
        <v>0</v>
      </c>
      <c r="I339" s="18">
        <v>79</v>
      </c>
      <c r="J339" s="18">
        <v>73</v>
      </c>
      <c r="M339" t="s">
        <v>162</v>
      </c>
      <c r="N339" t="s">
        <v>1498</v>
      </c>
      <c r="O339" t="str">
        <f t="shared" si="15"/>
        <v>Patrick Maroon</v>
      </c>
      <c r="P339" s="18">
        <v>29</v>
      </c>
    </row>
    <row r="340" spans="1:17" ht="45" x14ac:dyDescent="0.25">
      <c r="A340" s="19" t="s">
        <v>1057</v>
      </c>
      <c r="B340" s="20">
        <v>78</v>
      </c>
      <c r="C340" s="20">
        <v>13</v>
      </c>
      <c r="D340" s="20">
        <v>18</v>
      </c>
      <c r="E340" s="20">
        <v>31</v>
      </c>
      <c r="F340" s="20">
        <v>-43</v>
      </c>
      <c r="G340" s="20">
        <v>0</v>
      </c>
      <c r="H340" s="20">
        <v>0</v>
      </c>
      <c r="I340" s="20">
        <v>44</v>
      </c>
      <c r="J340" s="20">
        <v>72</v>
      </c>
      <c r="M340" t="s">
        <v>248</v>
      </c>
      <c r="N340" t="s">
        <v>1499</v>
      </c>
      <c r="O340" t="str">
        <f t="shared" si="15"/>
        <v>Phil Di</v>
      </c>
      <c r="P340" s="20">
        <v>31</v>
      </c>
      <c r="Q340" t="s">
        <v>1241</v>
      </c>
    </row>
    <row r="341" spans="1:17" ht="30" x14ac:dyDescent="0.25">
      <c r="A341" s="17" t="s">
        <v>1058</v>
      </c>
      <c r="B341" s="18">
        <v>78</v>
      </c>
      <c r="C341" s="18">
        <v>4</v>
      </c>
      <c r="D341" s="18">
        <v>14</v>
      </c>
      <c r="E341" s="18">
        <v>18</v>
      </c>
      <c r="F341" s="18">
        <v>-12</v>
      </c>
      <c r="G341" s="18">
        <v>1</v>
      </c>
      <c r="H341" s="18">
        <v>0</v>
      </c>
      <c r="I341" s="18">
        <v>52</v>
      </c>
      <c r="J341" s="18">
        <v>72</v>
      </c>
      <c r="M341" t="s">
        <v>1500</v>
      </c>
      <c r="N341" t="s">
        <v>1501</v>
      </c>
      <c r="O341" t="str">
        <f t="shared" si="15"/>
        <v>Micheal Ferland</v>
      </c>
      <c r="P341" s="18">
        <v>18</v>
      </c>
    </row>
    <row r="342" spans="1:17" ht="60" x14ac:dyDescent="0.25">
      <c r="A342" s="19" t="s">
        <v>1059</v>
      </c>
      <c r="B342" s="20">
        <v>78</v>
      </c>
      <c r="C342" s="20">
        <v>7</v>
      </c>
      <c r="D342" s="20">
        <v>8</v>
      </c>
      <c r="E342" s="20">
        <v>16</v>
      </c>
      <c r="F342" s="20">
        <v>-7</v>
      </c>
      <c r="G342" s="20">
        <v>0</v>
      </c>
      <c r="H342" s="20">
        <v>1</v>
      </c>
      <c r="I342" s="20">
        <v>40</v>
      </c>
      <c r="J342" s="20">
        <v>66</v>
      </c>
      <c r="M342" t="s">
        <v>1502</v>
      </c>
      <c r="N342" t="s">
        <v>1503</v>
      </c>
      <c r="O342" t="str">
        <f t="shared" si="15"/>
        <v>Pierre-Edouard Bellemare</v>
      </c>
      <c r="P342" s="20">
        <v>16</v>
      </c>
    </row>
    <row r="343" spans="1:17" ht="30" x14ac:dyDescent="0.25">
      <c r="A343" s="17" t="s">
        <v>1060</v>
      </c>
      <c r="B343" s="18">
        <v>78</v>
      </c>
      <c r="C343" s="18">
        <v>10</v>
      </c>
      <c r="D343" s="18">
        <v>13</v>
      </c>
      <c r="E343" s="18">
        <v>23</v>
      </c>
      <c r="F343" s="18">
        <v>-35</v>
      </c>
      <c r="G343" s="18">
        <v>1</v>
      </c>
      <c r="H343" s="18">
        <v>1</v>
      </c>
      <c r="I343" s="18">
        <v>93</v>
      </c>
      <c r="J343" s="18">
        <v>65</v>
      </c>
      <c r="M343" t="s">
        <v>335</v>
      </c>
      <c r="N343" t="s">
        <v>448</v>
      </c>
      <c r="O343" t="str">
        <f t="shared" si="15"/>
        <v>Marcus Foligno</v>
      </c>
      <c r="P343" s="18">
        <v>23</v>
      </c>
    </row>
    <row r="344" spans="1:17" ht="45" x14ac:dyDescent="0.25">
      <c r="A344" s="19" t="s">
        <v>1061</v>
      </c>
      <c r="B344" s="20">
        <v>78</v>
      </c>
      <c r="C344" s="20">
        <v>9</v>
      </c>
      <c r="D344" s="20">
        <v>14</v>
      </c>
      <c r="E344" s="20">
        <v>23</v>
      </c>
      <c r="F344" s="20">
        <v>-21</v>
      </c>
      <c r="G344" s="20">
        <v>0</v>
      </c>
      <c r="H344" s="20">
        <v>0</v>
      </c>
      <c r="I344" s="20">
        <v>15</v>
      </c>
      <c r="J344" s="20">
        <v>61</v>
      </c>
      <c r="M344" t="s">
        <v>226</v>
      </c>
      <c r="N344" t="s">
        <v>1504</v>
      </c>
      <c r="O344" t="str">
        <f t="shared" si="15"/>
        <v>Jordan Martinook</v>
      </c>
      <c r="P344" s="20">
        <v>23</v>
      </c>
    </row>
    <row r="345" spans="1:17" ht="30" x14ac:dyDescent="0.25">
      <c r="A345" s="17" t="s">
        <v>1062</v>
      </c>
      <c r="B345" s="18">
        <v>78</v>
      </c>
      <c r="C345" s="18">
        <v>3</v>
      </c>
      <c r="D345" s="18">
        <v>8</v>
      </c>
      <c r="E345" s="18">
        <v>12</v>
      </c>
      <c r="F345" s="18">
        <v>0</v>
      </c>
      <c r="G345" s="18">
        <v>0</v>
      </c>
      <c r="H345" s="18">
        <v>1</v>
      </c>
      <c r="I345" s="18">
        <v>51</v>
      </c>
      <c r="J345" s="18">
        <v>59</v>
      </c>
      <c r="M345" t="s">
        <v>1505</v>
      </c>
      <c r="N345" t="s">
        <v>1506</v>
      </c>
      <c r="O345" t="str">
        <f t="shared" si="15"/>
        <v>Lance Bouma</v>
      </c>
      <c r="P345" s="18">
        <v>12</v>
      </c>
    </row>
    <row r="346" spans="1:17" ht="30" x14ac:dyDescent="0.25">
      <c r="A346" s="19" t="s">
        <v>1063</v>
      </c>
      <c r="B346" s="20">
        <v>78</v>
      </c>
      <c r="C346" s="20">
        <v>8</v>
      </c>
      <c r="D346" s="20">
        <v>7</v>
      </c>
      <c r="E346" s="20">
        <v>16</v>
      </c>
      <c r="F346" s="20">
        <v>-35</v>
      </c>
      <c r="G346" s="20">
        <v>0</v>
      </c>
      <c r="H346" s="20">
        <v>0</v>
      </c>
      <c r="I346" s="20">
        <v>143</v>
      </c>
      <c r="J346" s="20">
        <v>58</v>
      </c>
      <c r="M346" t="s">
        <v>245</v>
      </c>
      <c r="N346" t="s">
        <v>367</v>
      </c>
      <c r="O346" t="str">
        <f t="shared" si="15"/>
        <v>Matt Martin</v>
      </c>
      <c r="P346" s="20">
        <v>16</v>
      </c>
    </row>
    <row r="347" spans="1:17" ht="30" x14ac:dyDescent="0.25">
      <c r="A347" s="17" t="s">
        <v>1064</v>
      </c>
      <c r="B347" s="18">
        <v>78</v>
      </c>
      <c r="C347" s="18">
        <v>7</v>
      </c>
      <c r="D347" s="18">
        <v>9</v>
      </c>
      <c r="E347" s="18">
        <v>17</v>
      </c>
      <c r="F347" s="18">
        <v>-16</v>
      </c>
      <c r="G347" s="18">
        <v>0</v>
      </c>
      <c r="H347" s="18">
        <v>0</v>
      </c>
      <c r="I347" s="18">
        <v>53</v>
      </c>
      <c r="J347" s="18">
        <v>56</v>
      </c>
      <c r="M347" t="s">
        <v>339</v>
      </c>
      <c r="N347" t="s">
        <v>1507</v>
      </c>
      <c r="O347" t="str">
        <f t="shared" si="15"/>
        <v>Adam Lowry</v>
      </c>
      <c r="P347" s="18">
        <v>17</v>
      </c>
    </row>
    <row r="348" spans="1:17" ht="45" x14ac:dyDescent="0.25">
      <c r="A348" s="19" t="s">
        <v>1065</v>
      </c>
      <c r="B348" s="20">
        <v>78</v>
      </c>
      <c r="C348" s="20">
        <v>6</v>
      </c>
      <c r="D348" s="20">
        <v>8</v>
      </c>
      <c r="E348" s="20">
        <v>14</v>
      </c>
      <c r="F348" s="20">
        <v>-22</v>
      </c>
      <c r="G348" s="20">
        <v>0</v>
      </c>
      <c r="H348" s="20">
        <v>1</v>
      </c>
      <c r="I348" s="20">
        <v>102</v>
      </c>
      <c r="J348" s="20">
        <v>53</v>
      </c>
      <c r="M348" t="s">
        <v>245</v>
      </c>
      <c r="N348" t="s">
        <v>1508</v>
      </c>
      <c r="O348" t="str">
        <f t="shared" si="15"/>
        <v>Matt Hendricks</v>
      </c>
      <c r="P348" s="20">
        <v>14</v>
      </c>
    </row>
    <row r="349" spans="1:17" ht="30" x14ac:dyDescent="0.25">
      <c r="A349" s="17" t="s">
        <v>1066</v>
      </c>
      <c r="B349" s="18">
        <v>78</v>
      </c>
      <c r="C349" s="18">
        <v>7</v>
      </c>
      <c r="D349" s="18">
        <v>10</v>
      </c>
      <c r="E349" s="18">
        <v>17</v>
      </c>
      <c r="F349" s="18">
        <v>-15</v>
      </c>
      <c r="G349" s="18">
        <v>0</v>
      </c>
      <c r="H349" s="18">
        <v>0</v>
      </c>
      <c r="I349" s="18">
        <v>22</v>
      </c>
      <c r="J349" s="18">
        <v>51</v>
      </c>
      <c r="M349" t="s">
        <v>431</v>
      </c>
      <c r="N349" t="s">
        <v>341</v>
      </c>
      <c r="O349" t="str">
        <f t="shared" si="15"/>
        <v>Nick Paul</v>
      </c>
      <c r="P349" s="18">
        <v>17</v>
      </c>
    </row>
    <row r="350" spans="1:17" ht="30" x14ac:dyDescent="0.25">
      <c r="A350" s="19" t="s">
        <v>1067</v>
      </c>
      <c r="B350" s="20">
        <v>78</v>
      </c>
      <c r="C350" s="20">
        <v>11</v>
      </c>
      <c r="D350" s="20">
        <v>7</v>
      </c>
      <c r="E350" s="20">
        <v>18</v>
      </c>
      <c r="F350" s="20">
        <v>-36</v>
      </c>
      <c r="G350" s="20">
        <v>2</v>
      </c>
      <c r="H350" s="20">
        <v>0</v>
      </c>
      <c r="I350" s="20">
        <v>34</v>
      </c>
      <c r="J350" s="20">
        <v>44</v>
      </c>
      <c r="M350" t="s">
        <v>1509</v>
      </c>
      <c r="N350" t="s">
        <v>1510</v>
      </c>
      <c r="O350" t="str">
        <f t="shared" si="15"/>
        <v>Johan Larsson</v>
      </c>
      <c r="P350" s="20">
        <v>18</v>
      </c>
    </row>
    <row r="351" spans="1:17" ht="30" x14ac:dyDescent="0.25">
      <c r="A351" s="17" t="s">
        <v>1068</v>
      </c>
      <c r="B351" s="18">
        <v>78</v>
      </c>
      <c r="C351" s="18">
        <v>8</v>
      </c>
      <c r="D351" s="18">
        <v>11</v>
      </c>
      <c r="E351" s="18">
        <v>19</v>
      </c>
      <c r="F351" s="18">
        <v>-41</v>
      </c>
      <c r="G351" s="18">
        <v>0</v>
      </c>
      <c r="H351" s="18">
        <v>0</v>
      </c>
      <c r="I351" s="18">
        <v>27</v>
      </c>
      <c r="J351" s="18">
        <v>40</v>
      </c>
      <c r="M351" t="s">
        <v>1470</v>
      </c>
      <c r="N351" t="s">
        <v>1511</v>
      </c>
      <c r="O351" t="str">
        <f t="shared" si="15"/>
        <v>Viktor Stalberg</v>
      </c>
      <c r="P351" s="18">
        <v>19</v>
      </c>
    </row>
    <row r="352" spans="1:17" ht="45" x14ac:dyDescent="0.25">
      <c r="A352" s="19" t="s">
        <v>1069</v>
      </c>
      <c r="B352" s="20">
        <v>78</v>
      </c>
      <c r="C352" s="20">
        <v>7</v>
      </c>
      <c r="D352" s="20">
        <v>12</v>
      </c>
      <c r="E352" s="20">
        <v>20</v>
      </c>
      <c r="F352" s="20">
        <v>-41</v>
      </c>
      <c r="G352" s="20">
        <v>3</v>
      </c>
      <c r="H352" s="20">
        <v>0</v>
      </c>
      <c r="I352" s="20">
        <v>18</v>
      </c>
      <c r="J352" s="20">
        <v>38</v>
      </c>
      <c r="M352" t="s">
        <v>245</v>
      </c>
      <c r="N352" t="s">
        <v>1512</v>
      </c>
      <c r="O352" t="str">
        <f t="shared" si="15"/>
        <v>Matt Moulson</v>
      </c>
      <c r="P352" s="20">
        <v>20</v>
      </c>
    </row>
    <row r="353" spans="1:16" ht="45" x14ac:dyDescent="0.25">
      <c r="A353" s="17" t="s">
        <v>1070</v>
      </c>
      <c r="B353" s="18">
        <v>78</v>
      </c>
      <c r="C353" s="18">
        <v>1</v>
      </c>
      <c r="D353" s="18">
        <v>5</v>
      </c>
      <c r="E353" s="18">
        <v>6</v>
      </c>
      <c r="F353" s="18">
        <v>-30</v>
      </c>
      <c r="G353" s="18">
        <v>0</v>
      </c>
      <c r="H353" s="18">
        <v>0</v>
      </c>
      <c r="I353" s="18">
        <v>124</v>
      </c>
      <c r="J353" s="18">
        <v>34</v>
      </c>
      <c r="M353" t="s">
        <v>1286</v>
      </c>
      <c r="N353" t="s">
        <v>200</v>
      </c>
      <c r="O353" t="str">
        <f t="shared" si="15"/>
        <v>Shawn Thornton</v>
      </c>
      <c r="P353" s="18">
        <v>6</v>
      </c>
    </row>
    <row r="354" spans="1:16" ht="45" x14ac:dyDescent="0.25">
      <c r="A354" s="19" t="s">
        <v>1071</v>
      </c>
      <c r="B354" s="20">
        <v>78</v>
      </c>
      <c r="C354" s="20">
        <v>6</v>
      </c>
      <c r="D354" s="20">
        <v>6</v>
      </c>
      <c r="E354" s="20">
        <v>13</v>
      </c>
      <c r="F354" s="20">
        <v>-48</v>
      </c>
      <c r="G354" s="20">
        <v>0</v>
      </c>
      <c r="H354" s="20">
        <v>0</v>
      </c>
      <c r="I354" s="20">
        <v>78</v>
      </c>
      <c r="J354" s="20">
        <v>20</v>
      </c>
      <c r="M354" t="s">
        <v>1513</v>
      </c>
      <c r="N354" t="s">
        <v>1514</v>
      </c>
      <c r="O354" t="str">
        <f t="shared" si="15"/>
        <v>Nicolas Deslauriers</v>
      </c>
      <c r="P354" s="20">
        <v>13</v>
      </c>
    </row>
    <row r="355" spans="1:16" ht="30.75" thickBot="1" x14ac:dyDescent="0.3">
      <c r="A355" s="17" t="s">
        <v>1072</v>
      </c>
      <c r="B355" s="18">
        <v>78</v>
      </c>
      <c r="C355" s="18">
        <v>0</v>
      </c>
      <c r="D355" s="18">
        <v>6</v>
      </c>
      <c r="E355" s="18">
        <v>6</v>
      </c>
      <c r="F355" s="18">
        <v>-59</v>
      </c>
      <c r="G355" s="18">
        <v>0</v>
      </c>
      <c r="H355" s="18">
        <v>0</v>
      </c>
      <c r="I355" s="18">
        <v>8</v>
      </c>
      <c r="J355" s="18">
        <v>-30</v>
      </c>
      <c r="M355" t="s">
        <v>280</v>
      </c>
      <c r="N355" t="s">
        <v>1515</v>
      </c>
      <c r="O355" t="str">
        <f t="shared" si="15"/>
        <v>Bryan Bickell</v>
      </c>
      <c r="P355" s="18">
        <v>6</v>
      </c>
    </row>
    <row r="356" spans="1:16" ht="30.75" thickTop="1" x14ac:dyDescent="0.25">
      <c r="A356" s="15" t="s">
        <v>1073</v>
      </c>
      <c r="B356" s="16">
        <v>78</v>
      </c>
      <c r="C356" s="16">
        <v>26</v>
      </c>
      <c r="D356" s="16">
        <v>51</v>
      </c>
      <c r="E356" s="16">
        <v>77</v>
      </c>
      <c r="F356" s="16">
        <v>12</v>
      </c>
      <c r="G356" s="16">
        <v>14</v>
      </c>
      <c r="H356" s="16">
        <v>0</v>
      </c>
      <c r="I356" s="16">
        <v>54</v>
      </c>
      <c r="J356" s="16">
        <v>315</v>
      </c>
      <c r="M356" t="s">
        <v>222</v>
      </c>
      <c r="N356" t="s">
        <v>223</v>
      </c>
      <c r="O356" t="str">
        <f t="shared" si="15"/>
        <v>Brent Burns</v>
      </c>
      <c r="P356" s="16">
        <v>77</v>
      </c>
    </row>
    <row r="357" spans="1:16" ht="30" x14ac:dyDescent="0.25">
      <c r="A357" s="17" t="s">
        <v>1074</v>
      </c>
      <c r="B357" s="18">
        <v>78</v>
      </c>
      <c r="C357" s="18">
        <v>17</v>
      </c>
      <c r="D357" s="18">
        <v>55</v>
      </c>
      <c r="E357" s="18">
        <v>73</v>
      </c>
      <c r="F357" s="18">
        <v>34</v>
      </c>
      <c r="G357" s="18">
        <v>16</v>
      </c>
      <c r="H357" s="18">
        <v>1</v>
      </c>
      <c r="I357" s="18">
        <v>95</v>
      </c>
      <c r="J357" s="18">
        <v>314</v>
      </c>
      <c r="M357" t="s">
        <v>1516</v>
      </c>
      <c r="N357" t="s">
        <v>271</v>
      </c>
      <c r="O357" t="str">
        <f t="shared" si="15"/>
        <v>Kris Letang</v>
      </c>
      <c r="P357" s="18">
        <v>73</v>
      </c>
    </row>
    <row r="358" spans="1:16" ht="30" x14ac:dyDescent="0.25">
      <c r="A358" s="19" t="s">
        <v>1075</v>
      </c>
      <c r="B358" s="20">
        <v>78</v>
      </c>
      <c r="C358" s="20">
        <v>16</v>
      </c>
      <c r="D358" s="20">
        <v>71</v>
      </c>
      <c r="E358" s="20">
        <v>88</v>
      </c>
      <c r="F358" s="20">
        <v>9</v>
      </c>
      <c r="G358" s="20">
        <v>19</v>
      </c>
      <c r="H358" s="20">
        <v>0</v>
      </c>
      <c r="I358" s="20">
        <v>51</v>
      </c>
      <c r="J358" s="20">
        <v>301</v>
      </c>
      <c r="M358" t="s">
        <v>176</v>
      </c>
      <c r="N358" t="s">
        <v>177</v>
      </c>
      <c r="O358" t="str">
        <f t="shared" si="15"/>
        <v>Erik Karlsson</v>
      </c>
      <c r="P358" s="20">
        <v>88</v>
      </c>
    </row>
    <row r="359" spans="1:16" ht="30" x14ac:dyDescent="0.25">
      <c r="A359" s="17" t="s">
        <v>1076</v>
      </c>
      <c r="B359" s="18">
        <v>78</v>
      </c>
      <c r="C359" s="18">
        <v>7</v>
      </c>
      <c r="D359" s="18">
        <v>54</v>
      </c>
      <c r="E359" s="18">
        <v>62</v>
      </c>
      <c r="F359" s="18">
        <v>22</v>
      </c>
      <c r="G359" s="18">
        <v>18</v>
      </c>
      <c r="H359" s="18">
        <v>0</v>
      </c>
      <c r="I359" s="18">
        <v>98</v>
      </c>
      <c r="J359" s="18">
        <v>262</v>
      </c>
      <c r="M359" t="s">
        <v>239</v>
      </c>
      <c r="N359" t="s">
        <v>240</v>
      </c>
      <c r="O359" t="str">
        <f t="shared" si="15"/>
        <v>P.K. Subban</v>
      </c>
      <c r="P359" s="18">
        <v>62</v>
      </c>
    </row>
    <row r="360" spans="1:16" ht="30" x14ac:dyDescent="0.25">
      <c r="A360" s="19" t="s">
        <v>1077</v>
      </c>
      <c r="B360" s="20">
        <v>78</v>
      </c>
      <c r="C360" s="20">
        <v>17</v>
      </c>
      <c r="D360" s="20">
        <v>46</v>
      </c>
      <c r="E360" s="20">
        <v>63</v>
      </c>
      <c r="F360" s="20">
        <v>24</v>
      </c>
      <c r="G360" s="20">
        <v>13</v>
      </c>
      <c r="H360" s="20">
        <v>0</v>
      </c>
      <c r="I360" s="20">
        <v>23</v>
      </c>
      <c r="J360" s="20">
        <v>248</v>
      </c>
      <c r="M360" t="s">
        <v>170</v>
      </c>
      <c r="N360" t="s">
        <v>355</v>
      </c>
      <c r="O360" t="str">
        <f t="shared" si="15"/>
        <v>John Carlson</v>
      </c>
      <c r="P360" s="20">
        <v>63</v>
      </c>
    </row>
    <row r="361" spans="1:16" ht="30" x14ac:dyDescent="0.25">
      <c r="A361" s="17" t="s">
        <v>1078</v>
      </c>
      <c r="B361" s="18">
        <v>78</v>
      </c>
      <c r="C361" s="18">
        <v>14</v>
      </c>
      <c r="D361" s="18">
        <v>51</v>
      </c>
      <c r="E361" s="18">
        <v>65</v>
      </c>
      <c r="F361" s="18">
        <v>12</v>
      </c>
      <c r="G361" s="18">
        <v>13</v>
      </c>
      <c r="H361" s="18">
        <v>0</v>
      </c>
      <c r="I361" s="18">
        <v>44</v>
      </c>
      <c r="J361" s="18">
        <v>243</v>
      </c>
      <c r="M361" t="s">
        <v>317</v>
      </c>
      <c r="N361" t="s">
        <v>318</v>
      </c>
      <c r="O361" t="str">
        <f t="shared" si="15"/>
        <v>Roman Josi</v>
      </c>
      <c r="P361" s="18">
        <v>65</v>
      </c>
    </row>
    <row r="362" spans="1:16" ht="30" x14ac:dyDescent="0.25">
      <c r="A362" s="19" t="s">
        <v>1079</v>
      </c>
      <c r="B362" s="20">
        <v>78</v>
      </c>
      <c r="C362" s="20">
        <v>13</v>
      </c>
      <c r="D362" s="20">
        <v>44</v>
      </c>
      <c r="E362" s="20">
        <v>58</v>
      </c>
      <c r="F362" s="20">
        <v>35</v>
      </c>
      <c r="G362" s="20">
        <v>12</v>
      </c>
      <c r="H362" s="20">
        <v>0</v>
      </c>
      <c r="I362" s="20">
        <v>33</v>
      </c>
      <c r="J362" s="20">
        <v>235</v>
      </c>
      <c r="M362" t="s">
        <v>401</v>
      </c>
      <c r="N362" t="s">
        <v>402</v>
      </c>
      <c r="O362" t="str">
        <f t="shared" si="15"/>
        <v>Duncan Keith</v>
      </c>
      <c r="P362" s="20">
        <v>58</v>
      </c>
    </row>
    <row r="363" spans="1:16" ht="45" x14ac:dyDescent="0.25">
      <c r="A363" s="17" t="s">
        <v>1080</v>
      </c>
      <c r="B363" s="18">
        <v>78</v>
      </c>
      <c r="C363" s="18">
        <v>10</v>
      </c>
      <c r="D363" s="18">
        <v>47</v>
      </c>
      <c r="E363" s="18">
        <v>57</v>
      </c>
      <c r="F363" s="18">
        <v>34</v>
      </c>
      <c r="G363" s="18">
        <v>12</v>
      </c>
      <c r="H363" s="18">
        <v>0</v>
      </c>
      <c r="I363" s="18">
        <v>34</v>
      </c>
      <c r="J363" s="18">
        <v>232</v>
      </c>
      <c r="M363" t="s">
        <v>170</v>
      </c>
      <c r="N363" t="s">
        <v>279</v>
      </c>
      <c r="O363" t="str">
        <f t="shared" si="15"/>
        <v>John Klingberg</v>
      </c>
      <c r="P363" s="18">
        <v>57</v>
      </c>
    </row>
    <row r="364" spans="1:16" ht="45" x14ac:dyDescent="0.25">
      <c r="A364" s="19" t="s">
        <v>1081</v>
      </c>
      <c r="B364" s="20">
        <v>78</v>
      </c>
      <c r="C364" s="20">
        <v>20</v>
      </c>
      <c r="D364" s="20">
        <v>35</v>
      </c>
      <c r="E364" s="20">
        <v>56</v>
      </c>
      <c r="F364" s="20">
        <v>-7</v>
      </c>
      <c r="G364" s="20">
        <v>11</v>
      </c>
      <c r="H364" s="20">
        <v>1</v>
      </c>
      <c r="I364" s="20">
        <v>113</v>
      </c>
      <c r="J364" s="20">
        <v>229</v>
      </c>
      <c r="M364" t="s">
        <v>300</v>
      </c>
      <c r="N364" t="s">
        <v>301</v>
      </c>
      <c r="O364" t="str">
        <f t="shared" si="15"/>
        <v>Dustin Byfuglien</v>
      </c>
      <c r="P364" s="20">
        <v>56</v>
      </c>
    </row>
    <row r="365" spans="1:16" ht="30" x14ac:dyDescent="0.25">
      <c r="A365" s="17" t="s">
        <v>1082</v>
      </c>
      <c r="B365" s="18">
        <v>78</v>
      </c>
      <c r="C365" s="18">
        <v>13</v>
      </c>
      <c r="D365" s="18">
        <v>44</v>
      </c>
      <c r="E365" s="18">
        <v>58</v>
      </c>
      <c r="F365" s="18">
        <v>26</v>
      </c>
      <c r="G365" s="18">
        <v>8</v>
      </c>
      <c r="H365" s="18">
        <v>0</v>
      </c>
      <c r="I365" s="18">
        <v>50</v>
      </c>
      <c r="J365" s="18">
        <v>227</v>
      </c>
      <c r="M365" t="s">
        <v>327</v>
      </c>
      <c r="N365" t="s">
        <v>328</v>
      </c>
      <c r="O365" t="str">
        <f t="shared" si="15"/>
        <v>Victor Hedman</v>
      </c>
      <c r="P365" s="18">
        <v>58</v>
      </c>
    </row>
    <row r="366" spans="1:16" ht="30" x14ac:dyDescent="0.25">
      <c r="A366" s="19" t="s">
        <v>1083</v>
      </c>
      <c r="B366" s="20">
        <v>78</v>
      </c>
      <c r="C366" s="20">
        <v>22</v>
      </c>
      <c r="D366" s="20">
        <v>33</v>
      </c>
      <c r="E366" s="20">
        <v>55</v>
      </c>
      <c r="F366" s="20">
        <v>2</v>
      </c>
      <c r="G366" s="20">
        <v>15</v>
      </c>
      <c r="H366" s="20">
        <v>0</v>
      </c>
      <c r="I366" s="20">
        <v>42</v>
      </c>
      <c r="J366" s="20">
        <v>218</v>
      </c>
      <c r="M366" t="s">
        <v>325</v>
      </c>
      <c r="N366" t="s">
        <v>326</v>
      </c>
      <c r="O366" t="str">
        <f t="shared" si="15"/>
        <v>Shea Weber</v>
      </c>
      <c r="P366" s="20">
        <v>55</v>
      </c>
    </row>
    <row r="367" spans="1:16" ht="45" x14ac:dyDescent="0.25">
      <c r="A367" s="17" t="s">
        <v>1084</v>
      </c>
      <c r="B367" s="18">
        <v>78</v>
      </c>
      <c r="C367" s="18">
        <v>15</v>
      </c>
      <c r="D367" s="18">
        <v>35</v>
      </c>
      <c r="E367" s="18">
        <v>50</v>
      </c>
      <c r="F367" s="18">
        <v>27</v>
      </c>
      <c r="G367" s="18">
        <v>12</v>
      </c>
      <c r="H367" s="18">
        <v>0</v>
      </c>
      <c r="I367" s="18">
        <v>45</v>
      </c>
      <c r="J367" s="18">
        <v>217</v>
      </c>
      <c r="M367" t="s">
        <v>222</v>
      </c>
      <c r="N367" t="s">
        <v>1517</v>
      </c>
      <c r="O367" t="str">
        <f t="shared" si="15"/>
        <v>Brent Seabrook</v>
      </c>
      <c r="P367" s="18">
        <v>50</v>
      </c>
    </row>
    <row r="368" spans="1:16" ht="30" x14ac:dyDescent="0.25">
      <c r="A368" s="19" t="s">
        <v>1085</v>
      </c>
      <c r="B368" s="20">
        <v>78</v>
      </c>
      <c r="C368" s="20">
        <v>21</v>
      </c>
      <c r="D368" s="20">
        <v>36</v>
      </c>
      <c r="E368" s="20">
        <v>58</v>
      </c>
      <c r="F368" s="20">
        <v>-19</v>
      </c>
      <c r="G368" s="20">
        <v>13</v>
      </c>
      <c r="H368" s="20">
        <v>0</v>
      </c>
      <c r="I368" s="20">
        <v>88</v>
      </c>
      <c r="J368" s="20">
        <v>216</v>
      </c>
      <c r="M368" t="s">
        <v>296</v>
      </c>
      <c r="N368" t="s">
        <v>1518</v>
      </c>
      <c r="O368" t="str">
        <f t="shared" si="15"/>
        <v>Oliver Ekman-Larsson</v>
      </c>
      <c r="P368" s="20">
        <v>58</v>
      </c>
    </row>
    <row r="369" spans="1:16" ht="45" x14ac:dyDescent="0.25">
      <c r="A369" s="17" t="s">
        <v>1086</v>
      </c>
      <c r="B369" s="18">
        <v>78</v>
      </c>
      <c r="C369" s="18">
        <v>23</v>
      </c>
      <c r="D369" s="18">
        <v>35</v>
      </c>
      <c r="E369" s="18">
        <v>58</v>
      </c>
      <c r="F369" s="18">
        <v>0</v>
      </c>
      <c r="G369" s="18">
        <v>13</v>
      </c>
      <c r="H369" s="18">
        <v>0</v>
      </c>
      <c r="I369" s="18">
        <v>30</v>
      </c>
      <c r="J369" s="18">
        <v>214</v>
      </c>
      <c r="M369" t="s">
        <v>371</v>
      </c>
      <c r="N369" t="s">
        <v>1519</v>
      </c>
      <c r="O369" t="str">
        <f t="shared" si="15"/>
        <v>Shayne Gostisbehere</v>
      </c>
      <c r="P369" s="18">
        <v>58</v>
      </c>
    </row>
    <row r="370" spans="1:16" ht="30" x14ac:dyDescent="0.25">
      <c r="A370" s="19" t="s">
        <v>1087</v>
      </c>
      <c r="B370" s="20">
        <v>78</v>
      </c>
      <c r="C370" s="20">
        <v>13</v>
      </c>
      <c r="D370" s="20">
        <v>35</v>
      </c>
      <c r="E370" s="20">
        <v>49</v>
      </c>
      <c r="F370" s="20">
        <v>13</v>
      </c>
      <c r="G370" s="20">
        <v>13</v>
      </c>
      <c r="H370" s="20">
        <v>0</v>
      </c>
      <c r="I370" s="20">
        <v>49</v>
      </c>
      <c r="J370" s="20">
        <v>211</v>
      </c>
      <c r="M370" t="s">
        <v>349</v>
      </c>
      <c r="N370" t="s">
        <v>350</v>
      </c>
      <c r="O370" t="str">
        <f t="shared" si="15"/>
        <v>Drew Doughty</v>
      </c>
      <c r="P370" s="20">
        <v>49</v>
      </c>
    </row>
    <row r="371" spans="1:16" ht="45" x14ac:dyDescent="0.25">
      <c r="A371" s="17" t="s">
        <v>1088</v>
      </c>
      <c r="B371" s="18">
        <v>78</v>
      </c>
      <c r="C371" s="18">
        <v>20</v>
      </c>
      <c r="D371" s="18">
        <v>31</v>
      </c>
      <c r="E371" s="18">
        <v>52</v>
      </c>
      <c r="F371" s="18">
        <v>0</v>
      </c>
      <c r="G371" s="18">
        <v>11</v>
      </c>
      <c r="H371" s="18">
        <v>1</v>
      </c>
      <c r="I371" s="18">
        <v>56</v>
      </c>
      <c r="J371" s="18">
        <v>204</v>
      </c>
      <c r="M371" t="s">
        <v>196</v>
      </c>
      <c r="N371" t="s">
        <v>309</v>
      </c>
      <c r="O371" t="str">
        <f t="shared" si="15"/>
        <v>Mark Giordano</v>
      </c>
      <c r="P371" s="18">
        <v>52</v>
      </c>
    </row>
    <row r="372" spans="1:16" ht="30" x14ac:dyDescent="0.25">
      <c r="A372" s="19" t="s">
        <v>1089</v>
      </c>
      <c r="B372" s="20">
        <v>78</v>
      </c>
      <c r="C372" s="20">
        <v>4</v>
      </c>
      <c r="D372" s="20">
        <v>41</v>
      </c>
      <c r="E372" s="20">
        <v>46</v>
      </c>
      <c r="F372" s="20">
        <v>20</v>
      </c>
      <c r="G372" s="20">
        <v>11</v>
      </c>
      <c r="H372" s="20">
        <v>0</v>
      </c>
      <c r="I372" s="20">
        <v>31</v>
      </c>
      <c r="J372" s="20">
        <v>202</v>
      </c>
      <c r="M372" t="s">
        <v>1520</v>
      </c>
      <c r="N372" t="s">
        <v>1521</v>
      </c>
      <c r="O372" t="str">
        <f t="shared" si="15"/>
        <v>Torey Krug</v>
      </c>
      <c r="P372" s="20">
        <v>46</v>
      </c>
    </row>
    <row r="373" spans="1:16" ht="45" x14ac:dyDescent="0.25">
      <c r="A373" s="17" t="s">
        <v>1090</v>
      </c>
      <c r="B373" s="18">
        <v>78</v>
      </c>
      <c r="C373" s="18">
        <v>15</v>
      </c>
      <c r="D373" s="18">
        <v>35</v>
      </c>
      <c r="E373" s="18">
        <v>50</v>
      </c>
      <c r="F373" s="18">
        <v>-1</v>
      </c>
      <c r="G373" s="18">
        <v>13</v>
      </c>
      <c r="H373" s="18">
        <v>0</v>
      </c>
      <c r="I373" s="18">
        <v>63</v>
      </c>
      <c r="J373" s="18">
        <v>198</v>
      </c>
      <c r="M373" t="s">
        <v>426</v>
      </c>
      <c r="N373" t="s">
        <v>427</v>
      </c>
      <c r="O373" t="str">
        <f t="shared" si="15"/>
        <v>Kevin Shattenkirk</v>
      </c>
      <c r="P373" s="18">
        <v>50</v>
      </c>
    </row>
    <row r="374" spans="1:16" ht="30" x14ac:dyDescent="0.25">
      <c r="A374" s="19" t="s">
        <v>1091</v>
      </c>
      <c r="B374" s="20">
        <v>78</v>
      </c>
      <c r="C374" s="20">
        <v>5</v>
      </c>
      <c r="D374" s="20">
        <v>36</v>
      </c>
      <c r="E374" s="20">
        <v>42</v>
      </c>
      <c r="F374" s="20">
        <v>14</v>
      </c>
      <c r="G374" s="20">
        <v>8</v>
      </c>
      <c r="H374" s="20">
        <v>1</v>
      </c>
      <c r="I374" s="20">
        <v>133</v>
      </c>
      <c r="J374" s="20">
        <v>189</v>
      </c>
      <c r="M374" t="s">
        <v>1522</v>
      </c>
      <c r="N374" t="s">
        <v>1523</v>
      </c>
      <c r="O374" t="str">
        <f t="shared" si="15"/>
        <v>Dion Phaneuf</v>
      </c>
      <c r="P374" s="20">
        <v>42</v>
      </c>
    </row>
    <row r="375" spans="1:16" ht="45" x14ac:dyDescent="0.25">
      <c r="A375" s="17" t="s">
        <v>1092</v>
      </c>
      <c r="B375" s="18">
        <v>78</v>
      </c>
      <c r="C375" s="18">
        <v>8</v>
      </c>
      <c r="D375" s="18">
        <v>38</v>
      </c>
      <c r="E375" s="18">
        <v>46</v>
      </c>
      <c r="F375" s="18">
        <v>21</v>
      </c>
      <c r="G375" s="18">
        <v>5</v>
      </c>
      <c r="H375" s="18">
        <v>0</v>
      </c>
      <c r="I375" s="18">
        <v>59</v>
      </c>
      <c r="J375" s="18">
        <v>182</v>
      </c>
      <c r="M375" t="s">
        <v>1524</v>
      </c>
      <c r="N375" t="s">
        <v>1525</v>
      </c>
      <c r="O375" t="str">
        <f t="shared" si="15"/>
        <v>Marc-Edouard Vlasic</v>
      </c>
      <c r="P375" s="18">
        <v>46</v>
      </c>
    </row>
    <row r="376" spans="1:16" ht="30" x14ac:dyDescent="0.25">
      <c r="A376" s="19" t="s">
        <v>1093</v>
      </c>
      <c r="B376" s="20">
        <v>78</v>
      </c>
      <c r="C376" s="20">
        <v>8</v>
      </c>
      <c r="D376" s="20">
        <v>33</v>
      </c>
      <c r="E376" s="20">
        <v>41</v>
      </c>
      <c r="F376" s="20">
        <v>8</v>
      </c>
      <c r="G376" s="20">
        <v>8</v>
      </c>
      <c r="H376" s="20">
        <v>0</v>
      </c>
      <c r="I376" s="20">
        <v>60</v>
      </c>
      <c r="J376" s="20">
        <v>181</v>
      </c>
      <c r="M376" t="s">
        <v>1410</v>
      </c>
      <c r="N376" t="s">
        <v>1526</v>
      </c>
      <c r="O376" t="str">
        <f t="shared" si="15"/>
        <v>Jake Muzzin</v>
      </c>
      <c r="P376" s="20">
        <v>41</v>
      </c>
    </row>
    <row r="377" spans="1:16" ht="30" x14ac:dyDescent="0.25">
      <c r="A377" s="17" t="s">
        <v>1094</v>
      </c>
      <c r="B377" s="18">
        <v>78</v>
      </c>
      <c r="C377" s="18">
        <v>9</v>
      </c>
      <c r="D377" s="18">
        <v>28</v>
      </c>
      <c r="E377" s="18">
        <v>38</v>
      </c>
      <c r="F377" s="18">
        <v>20</v>
      </c>
      <c r="G377" s="18">
        <v>6</v>
      </c>
      <c r="H377" s="18">
        <v>1</v>
      </c>
      <c r="I377" s="18">
        <v>68</v>
      </c>
      <c r="J377" s="18">
        <v>172</v>
      </c>
      <c r="M377" t="s">
        <v>1527</v>
      </c>
      <c r="N377" t="s">
        <v>1528</v>
      </c>
      <c r="O377" t="str">
        <f t="shared" si="15"/>
        <v>Zdeno Chara</v>
      </c>
      <c r="P377" s="18">
        <v>38</v>
      </c>
    </row>
    <row r="378" spans="1:16" ht="30" x14ac:dyDescent="0.25">
      <c r="A378" s="19" t="s">
        <v>1095</v>
      </c>
      <c r="B378" s="20">
        <v>78</v>
      </c>
      <c r="C378" s="20">
        <v>14</v>
      </c>
      <c r="D378" s="20">
        <v>36</v>
      </c>
      <c r="E378" s="20">
        <v>50</v>
      </c>
      <c r="F378" s="20">
        <v>-11</v>
      </c>
      <c r="G378" s="20">
        <v>12</v>
      </c>
      <c r="H378" s="20">
        <v>1</v>
      </c>
      <c r="I378" s="20">
        <v>35</v>
      </c>
      <c r="J378" s="20">
        <v>172</v>
      </c>
      <c r="M378" t="s">
        <v>347</v>
      </c>
      <c r="N378" t="s">
        <v>348</v>
      </c>
      <c r="O378" t="str">
        <f t="shared" si="15"/>
        <v>Tyson Barrie</v>
      </c>
      <c r="P378" s="20">
        <v>50</v>
      </c>
    </row>
    <row r="379" spans="1:16" ht="30" x14ac:dyDescent="0.25">
      <c r="A379" s="17" t="s">
        <v>1096</v>
      </c>
      <c r="B379" s="18">
        <v>78</v>
      </c>
      <c r="C379" s="18">
        <v>11</v>
      </c>
      <c r="D379" s="18">
        <v>29</v>
      </c>
      <c r="E379" s="18">
        <v>41</v>
      </c>
      <c r="F379" s="18">
        <v>24</v>
      </c>
      <c r="G379" s="18">
        <v>8</v>
      </c>
      <c r="H379" s="18">
        <v>0</v>
      </c>
      <c r="I379" s="18">
        <v>25</v>
      </c>
      <c r="J379" s="18">
        <v>170</v>
      </c>
      <c r="M379" t="s">
        <v>1529</v>
      </c>
      <c r="N379" t="s">
        <v>1530</v>
      </c>
      <c r="O379" t="str">
        <f t="shared" si="15"/>
        <v>Anton Stralman</v>
      </c>
      <c r="P379" s="18">
        <v>41</v>
      </c>
    </row>
    <row r="380" spans="1:16" ht="30" x14ac:dyDescent="0.25">
      <c r="A380" s="19" t="s">
        <v>1097</v>
      </c>
      <c r="B380" s="20">
        <v>78</v>
      </c>
      <c r="C380" s="20">
        <v>21</v>
      </c>
      <c r="D380" s="20">
        <v>27</v>
      </c>
      <c r="E380" s="20">
        <v>48</v>
      </c>
      <c r="F380" s="20">
        <v>-41</v>
      </c>
      <c r="G380" s="20">
        <v>13</v>
      </c>
      <c r="H380" s="20">
        <v>0</v>
      </c>
      <c r="I380" s="20">
        <v>44</v>
      </c>
      <c r="J380" s="20">
        <v>168</v>
      </c>
      <c r="M380" t="s">
        <v>374</v>
      </c>
      <c r="N380" t="s">
        <v>375</v>
      </c>
      <c r="O380" t="str">
        <f t="shared" si="15"/>
        <v>Justin Faulk</v>
      </c>
      <c r="P380" s="20">
        <v>48</v>
      </c>
    </row>
    <row r="381" spans="1:16" ht="45" x14ac:dyDescent="0.25">
      <c r="A381" s="17" t="s">
        <v>1098</v>
      </c>
      <c r="B381" s="18">
        <v>78</v>
      </c>
      <c r="C381" s="18">
        <v>5</v>
      </c>
      <c r="D381" s="18">
        <v>39</v>
      </c>
      <c r="E381" s="18">
        <v>44</v>
      </c>
      <c r="F381" s="18">
        <v>10</v>
      </c>
      <c r="G381" s="18">
        <v>11</v>
      </c>
      <c r="H381" s="18">
        <v>0</v>
      </c>
      <c r="I381" s="18">
        <v>42</v>
      </c>
      <c r="J381" s="18">
        <v>161</v>
      </c>
      <c r="M381" t="s">
        <v>1531</v>
      </c>
      <c r="N381" t="s">
        <v>1532</v>
      </c>
      <c r="O381" t="str">
        <f t="shared" si="15"/>
        <v>Andrei Markov</v>
      </c>
      <c r="P381" s="18">
        <v>44</v>
      </c>
    </row>
    <row r="382" spans="1:16" ht="45" x14ac:dyDescent="0.25">
      <c r="A382" s="19" t="s">
        <v>1099</v>
      </c>
      <c r="B382" s="20">
        <v>78</v>
      </c>
      <c r="C382" s="20">
        <v>10</v>
      </c>
      <c r="D382" s="20">
        <v>27</v>
      </c>
      <c r="E382" s="20">
        <v>38</v>
      </c>
      <c r="F382" s="20">
        <v>28</v>
      </c>
      <c r="G382" s="20">
        <v>6</v>
      </c>
      <c r="H382" s="20">
        <v>0</v>
      </c>
      <c r="I382" s="20">
        <v>27</v>
      </c>
      <c r="J382" s="20">
        <v>160</v>
      </c>
      <c r="M382" t="s">
        <v>188</v>
      </c>
      <c r="N382" t="s">
        <v>1533</v>
      </c>
      <c r="O382" t="str">
        <f t="shared" si="15"/>
        <v>Ryan McDonagh</v>
      </c>
      <c r="P382" s="20">
        <v>38</v>
      </c>
    </row>
    <row r="383" spans="1:16" ht="45" x14ac:dyDescent="0.25">
      <c r="A383" s="17" t="s">
        <v>1100</v>
      </c>
      <c r="B383" s="18">
        <v>78</v>
      </c>
      <c r="C383" s="18">
        <v>8</v>
      </c>
      <c r="D383" s="18">
        <v>33</v>
      </c>
      <c r="E383" s="18">
        <v>41</v>
      </c>
      <c r="F383" s="18">
        <v>11</v>
      </c>
      <c r="G383" s="18">
        <v>3</v>
      </c>
      <c r="H383" s="18">
        <v>0</v>
      </c>
      <c r="I383" s="18">
        <v>31</v>
      </c>
      <c r="J383" s="18">
        <v>158</v>
      </c>
      <c r="M383" t="s">
        <v>233</v>
      </c>
      <c r="N383" t="s">
        <v>418</v>
      </c>
      <c r="O383" t="str">
        <f t="shared" si="15"/>
        <v>Alex Pietrangelo</v>
      </c>
      <c r="P383" s="18">
        <v>41</v>
      </c>
    </row>
    <row r="384" spans="1:16" ht="30" x14ac:dyDescent="0.25">
      <c r="A384" s="19" t="s">
        <v>1101</v>
      </c>
      <c r="B384" s="20">
        <v>78</v>
      </c>
      <c r="C384" s="20">
        <v>11</v>
      </c>
      <c r="D384" s="20">
        <v>27</v>
      </c>
      <c r="E384" s="20">
        <v>39</v>
      </c>
      <c r="F384" s="20">
        <v>24</v>
      </c>
      <c r="G384" s="20">
        <v>3</v>
      </c>
      <c r="H384" s="20">
        <v>0</v>
      </c>
      <c r="I384" s="20">
        <v>38</v>
      </c>
      <c r="J384" s="20">
        <v>157</v>
      </c>
      <c r="M384" t="s">
        <v>1255</v>
      </c>
      <c r="N384" t="s">
        <v>1534</v>
      </c>
      <c r="O384" t="str">
        <f t="shared" si="15"/>
        <v>Mattias Ekholm</v>
      </c>
      <c r="P384" s="20">
        <v>39</v>
      </c>
    </row>
    <row r="385" spans="1:16" ht="30" x14ac:dyDescent="0.25">
      <c r="A385" s="17" t="s">
        <v>1102</v>
      </c>
      <c r="B385" s="18">
        <v>78</v>
      </c>
      <c r="C385" s="18">
        <v>7</v>
      </c>
      <c r="D385" s="18">
        <v>30</v>
      </c>
      <c r="E385" s="18">
        <v>37</v>
      </c>
      <c r="F385" s="18">
        <v>12</v>
      </c>
      <c r="G385" s="18">
        <v>11</v>
      </c>
      <c r="H385" s="18">
        <v>0</v>
      </c>
      <c r="I385" s="18">
        <v>30</v>
      </c>
      <c r="J385" s="18">
        <v>155</v>
      </c>
      <c r="M385" t="s">
        <v>329</v>
      </c>
      <c r="N385" t="s">
        <v>1535</v>
      </c>
      <c r="O385" t="str">
        <f t="shared" si="15"/>
        <v>Cam Fowler</v>
      </c>
      <c r="P385" s="18">
        <v>37</v>
      </c>
    </row>
    <row r="386" spans="1:16" ht="45" x14ac:dyDescent="0.25">
      <c r="A386" s="19" t="s">
        <v>1103</v>
      </c>
      <c r="B386" s="20">
        <v>78</v>
      </c>
      <c r="C386" s="20">
        <v>11</v>
      </c>
      <c r="D386" s="20">
        <v>27</v>
      </c>
      <c r="E386" s="20">
        <v>39</v>
      </c>
      <c r="F386" s="20">
        <v>-3</v>
      </c>
      <c r="G386" s="20">
        <v>9</v>
      </c>
      <c r="H386" s="20">
        <v>0</v>
      </c>
      <c r="I386" s="20">
        <v>48</v>
      </c>
      <c r="J386" s="20">
        <v>155</v>
      </c>
      <c r="M386" t="s">
        <v>1536</v>
      </c>
      <c r="N386" t="s">
        <v>1537</v>
      </c>
      <c r="O386" t="str">
        <f t="shared" ref="O386:O449" si="16">M386&amp;" "&amp;N386</f>
        <v>Dougie Hamilton</v>
      </c>
      <c r="P386" s="20">
        <v>39</v>
      </c>
    </row>
    <row r="387" spans="1:16" ht="30" x14ac:dyDescent="0.25">
      <c r="A387" s="17" t="s">
        <v>1104</v>
      </c>
      <c r="B387" s="18">
        <v>78</v>
      </c>
      <c r="C387" s="18">
        <v>9</v>
      </c>
      <c r="D387" s="18">
        <v>26</v>
      </c>
      <c r="E387" s="18">
        <v>36</v>
      </c>
      <c r="F387" s="18">
        <v>21</v>
      </c>
      <c r="G387" s="18">
        <v>3</v>
      </c>
      <c r="H387" s="18">
        <v>0</v>
      </c>
      <c r="I387" s="18">
        <v>32</v>
      </c>
      <c r="J387" s="18">
        <v>154</v>
      </c>
      <c r="M387" t="s">
        <v>188</v>
      </c>
      <c r="N387" t="s">
        <v>1538</v>
      </c>
      <c r="O387" t="str">
        <f t="shared" si="16"/>
        <v>Ryan Ellis</v>
      </c>
      <c r="P387" s="18">
        <v>36</v>
      </c>
    </row>
    <row r="388" spans="1:16" ht="30" x14ac:dyDescent="0.25">
      <c r="A388" s="19" t="s">
        <v>1105</v>
      </c>
      <c r="B388" s="20">
        <v>78</v>
      </c>
      <c r="C388" s="20">
        <v>6</v>
      </c>
      <c r="D388" s="20">
        <v>19</v>
      </c>
      <c r="E388" s="20">
        <v>25</v>
      </c>
      <c r="F388" s="20">
        <v>61</v>
      </c>
      <c r="G388" s="20">
        <v>3</v>
      </c>
      <c r="H388" s="20">
        <v>0</v>
      </c>
      <c r="I388" s="20">
        <v>36</v>
      </c>
      <c r="J388" s="20">
        <v>153</v>
      </c>
      <c r="M388" t="s">
        <v>1539</v>
      </c>
      <c r="N388" t="s">
        <v>1540</v>
      </c>
      <c r="O388" t="str">
        <f t="shared" si="16"/>
        <v>Dan Hamhuis</v>
      </c>
      <c r="P388" s="20">
        <v>25</v>
      </c>
    </row>
    <row r="389" spans="1:16" ht="30" x14ac:dyDescent="0.25">
      <c r="A389" s="17" t="s">
        <v>1106</v>
      </c>
      <c r="B389" s="18">
        <v>78</v>
      </c>
      <c r="C389" s="18">
        <v>11</v>
      </c>
      <c r="D389" s="18">
        <v>19</v>
      </c>
      <c r="E389" s="18">
        <v>31</v>
      </c>
      <c r="F389" s="18">
        <v>29</v>
      </c>
      <c r="G389" s="18">
        <v>8</v>
      </c>
      <c r="H389" s="18">
        <v>0</v>
      </c>
      <c r="I389" s="18">
        <v>17</v>
      </c>
      <c r="J389" s="18">
        <v>153</v>
      </c>
      <c r="M389" t="s">
        <v>231</v>
      </c>
      <c r="N389" t="s">
        <v>1541</v>
      </c>
      <c r="O389" t="str">
        <f t="shared" si="16"/>
        <v>David Schlemko</v>
      </c>
      <c r="P389" s="18">
        <v>31</v>
      </c>
    </row>
    <row r="390" spans="1:16" ht="30" x14ac:dyDescent="0.25">
      <c r="A390" s="19" t="s">
        <v>1107</v>
      </c>
      <c r="B390" s="20">
        <v>78</v>
      </c>
      <c r="C390" s="20">
        <v>6</v>
      </c>
      <c r="D390" s="20">
        <v>23</v>
      </c>
      <c r="E390" s="20">
        <v>29</v>
      </c>
      <c r="F390" s="20">
        <v>34</v>
      </c>
      <c r="G390" s="20">
        <v>5</v>
      </c>
      <c r="H390" s="20">
        <v>0</v>
      </c>
      <c r="I390" s="20">
        <v>45</v>
      </c>
      <c r="J390" s="20">
        <v>152</v>
      </c>
      <c r="M390" t="s">
        <v>1295</v>
      </c>
      <c r="N390" t="s">
        <v>1542</v>
      </c>
      <c r="O390" t="str">
        <f t="shared" si="16"/>
        <v>Trevor Daley</v>
      </c>
      <c r="P390" s="20">
        <v>29</v>
      </c>
    </row>
    <row r="391" spans="1:16" ht="30" x14ac:dyDescent="0.25">
      <c r="A391" s="17" t="s">
        <v>1108</v>
      </c>
      <c r="B391" s="18">
        <v>78</v>
      </c>
      <c r="C391" s="18">
        <v>7</v>
      </c>
      <c r="D391" s="18">
        <v>40</v>
      </c>
      <c r="E391" s="18">
        <v>47</v>
      </c>
      <c r="F391" s="18">
        <v>-20</v>
      </c>
      <c r="G391" s="18">
        <v>10</v>
      </c>
      <c r="H391" s="18">
        <v>0</v>
      </c>
      <c r="I391" s="18">
        <v>42</v>
      </c>
      <c r="J391" s="18">
        <v>152</v>
      </c>
      <c r="M391" t="s">
        <v>188</v>
      </c>
      <c r="N391" t="s">
        <v>389</v>
      </c>
      <c r="O391" t="str">
        <f t="shared" si="16"/>
        <v>Ryan Suter</v>
      </c>
      <c r="P391" s="18">
        <v>47</v>
      </c>
    </row>
    <row r="392" spans="1:16" ht="45" x14ac:dyDescent="0.25">
      <c r="A392" s="19" t="s">
        <v>1109</v>
      </c>
      <c r="B392" s="20">
        <v>78</v>
      </c>
      <c r="C392" s="20">
        <v>10</v>
      </c>
      <c r="D392" s="20">
        <v>21</v>
      </c>
      <c r="E392" s="20">
        <v>32</v>
      </c>
      <c r="F392" s="20">
        <v>17</v>
      </c>
      <c r="G392" s="20">
        <v>7</v>
      </c>
      <c r="H392" s="20">
        <v>0</v>
      </c>
      <c r="I392" s="20">
        <v>33</v>
      </c>
      <c r="J392" s="20">
        <v>151</v>
      </c>
      <c r="M392" t="s">
        <v>1543</v>
      </c>
      <c r="N392" t="s">
        <v>1389</v>
      </c>
      <c r="O392" t="str">
        <f t="shared" si="16"/>
        <v>Hampus Lindholm</v>
      </c>
      <c r="P392" s="20">
        <v>32</v>
      </c>
    </row>
    <row r="393" spans="1:16" ht="45" x14ac:dyDescent="0.25">
      <c r="A393" s="17" t="s">
        <v>1110</v>
      </c>
      <c r="B393" s="18">
        <v>78</v>
      </c>
      <c r="C393" s="18">
        <v>5</v>
      </c>
      <c r="D393" s="18">
        <v>26</v>
      </c>
      <c r="E393" s="18">
        <v>31</v>
      </c>
      <c r="F393" s="18">
        <v>24</v>
      </c>
      <c r="G393" s="18">
        <v>7</v>
      </c>
      <c r="H393" s="18">
        <v>0</v>
      </c>
      <c r="I393" s="18">
        <v>40</v>
      </c>
      <c r="J393" s="18">
        <v>150</v>
      </c>
      <c r="M393" t="s">
        <v>245</v>
      </c>
      <c r="N393" t="s">
        <v>1544</v>
      </c>
      <c r="O393" t="str">
        <f t="shared" si="16"/>
        <v>Matt Niskanen</v>
      </c>
      <c r="P393" s="18">
        <v>31</v>
      </c>
    </row>
    <row r="394" spans="1:16" ht="30" x14ac:dyDescent="0.25">
      <c r="A394" s="19" t="s">
        <v>1111</v>
      </c>
      <c r="B394" s="20">
        <v>78</v>
      </c>
      <c r="C394" s="20">
        <v>6</v>
      </c>
      <c r="D394" s="20">
        <v>20</v>
      </c>
      <c r="E394" s="20">
        <v>27</v>
      </c>
      <c r="F394" s="20">
        <v>53</v>
      </c>
      <c r="G394" s="20">
        <v>1</v>
      </c>
      <c r="H394" s="20">
        <v>0</v>
      </c>
      <c r="I394" s="20">
        <v>31</v>
      </c>
      <c r="J394" s="20">
        <v>150</v>
      </c>
      <c r="M394" t="s">
        <v>1545</v>
      </c>
      <c r="N394" t="s">
        <v>1546</v>
      </c>
      <c r="O394" t="str">
        <f t="shared" si="16"/>
        <v>Olli Maatta</v>
      </c>
      <c r="P394" s="20">
        <v>27</v>
      </c>
    </row>
    <row r="395" spans="1:16" ht="30" x14ac:dyDescent="0.25">
      <c r="A395" s="17" t="s">
        <v>1112</v>
      </c>
      <c r="B395" s="18">
        <v>78</v>
      </c>
      <c r="C395" s="18">
        <v>8</v>
      </c>
      <c r="D395" s="18">
        <v>30</v>
      </c>
      <c r="E395" s="18">
        <v>39</v>
      </c>
      <c r="F395" s="18">
        <v>-2</v>
      </c>
      <c r="G395" s="18">
        <v>11</v>
      </c>
      <c r="H395" s="18">
        <v>0</v>
      </c>
      <c r="I395" s="18">
        <v>48</v>
      </c>
      <c r="J395" s="18">
        <v>148</v>
      </c>
      <c r="M395" t="s">
        <v>290</v>
      </c>
      <c r="N395" t="s">
        <v>1547</v>
      </c>
      <c r="O395" t="str">
        <f t="shared" si="16"/>
        <v>Mike Green</v>
      </c>
      <c r="P395" s="18">
        <v>39</v>
      </c>
    </row>
    <row r="396" spans="1:16" ht="30" x14ac:dyDescent="0.25">
      <c r="A396" s="19" t="s">
        <v>1113</v>
      </c>
      <c r="B396" s="20">
        <v>78</v>
      </c>
      <c r="C396" s="20">
        <v>9</v>
      </c>
      <c r="D396" s="20">
        <v>24</v>
      </c>
      <c r="E396" s="20">
        <v>33</v>
      </c>
      <c r="F396" s="20">
        <v>19</v>
      </c>
      <c r="G396" s="20">
        <v>4</v>
      </c>
      <c r="H396" s="20">
        <v>0</v>
      </c>
      <c r="I396" s="20">
        <v>27</v>
      </c>
      <c r="J396" s="20">
        <v>147</v>
      </c>
      <c r="M396" t="s">
        <v>1308</v>
      </c>
      <c r="N396" t="s">
        <v>1548</v>
      </c>
      <c r="O396" t="str">
        <f t="shared" si="16"/>
        <v>Colton Parayko</v>
      </c>
      <c r="P396" s="20">
        <v>33</v>
      </c>
    </row>
    <row r="397" spans="1:16" ht="30" x14ac:dyDescent="0.25">
      <c r="A397" s="17" t="s">
        <v>1114</v>
      </c>
      <c r="B397" s="18">
        <v>78</v>
      </c>
      <c r="C397" s="18">
        <v>6</v>
      </c>
      <c r="D397" s="18">
        <v>26</v>
      </c>
      <c r="E397" s="18">
        <v>33</v>
      </c>
      <c r="F397" s="18">
        <v>36</v>
      </c>
      <c r="G397" s="18">
        <v>5</v>
      </c>
      <c r="H397" s="18">
        <v>0</v>
      </c>
      <c r="I397" s="18">
        <v>20</v>
      </c>
      <c r="J397" s="18">
        <v>147</v>
      </c>
      <c r="M397" t="s">
        <v>1262</v>
      </c>
      <c r="N397" t="s">
        <v>1549</v>
      </c>
      <c r="O397" t="str">
        <f t="shared" si="16"/>
        <v>Brian Campbell</v>
      </c>
      <c r="P397" s="18">
        <v>33</v>
      </c>
    </row>
    <row r="398" spans="1:16" ht="30" x14ac:dyDescent="0.25">
      <c r="A398" s="19" t="s">
        <v>1115</v>
      </c>
      <c r="B398" s="20">
        <v>78</v>
      </c>
      <c r="C398" s="20">
        <v>5</v>
      </c>
      <c r="D398" s="20">
        <v>37</v>
      </c>
      <c r="E398" s="20">
        <v>42</v>
      </c>
      <c r="F398" s="20">
        <v>-17</v>
      </c>
      <c r="G398" s="20">
        <v>12</v>
      </c>
      <c r="H398" s="20">
        <v>0</v>
      </c>
      <c r="I398" s="20">
        <v>44</v>
      </c>
      <c r="J398" s="20">
        <v>143</v>
      </c>
      <c r="M398" t="s">
        <v>402</v>
      </c>
      <c r="N398" t="s">
        <v>1550</v>
      </c>
      <c r="O398" t="str">
        <f t="shared" si="16"/>
        <v>Keith Yandle</v>
      </c>
      <c r="P398" s="20">
        <v>42</v>
      </c>
    </row>
    <row r="399" spans="1:16" ht="30" x14ac:dyDescent="0.25">
      <c r="A399" s="17" t="s">
        <v>1116</v>
      </c>
      <c r="B399" s="18">
        <v>78</v>
      </c>
      <c r="C399" s="18">
        <v>10</v>
      </c>
      <c r="D399" s="18">
        <v>21</v>
      </c>
      <c r="E399" s="18">
        <v>32</v>
      </c>
      <c r="F399" s="18">
        <v>10</v>
      </c>
      <c r="G399" s="18">
        <v>7</v>
      </c>
      <c r="H399" s="18">
        <v>0</v>
      </c>
      <c r="I399" s="18">
        <v>40</v>
      </c>
      <c r="J399" s="18">
        <v>140</v>
      </c>
      <c r="M399" t="s">
        <v>1551</v>
      </c>
      <c r="N399" t="s">
        <v>1552</v>
      </c>
      <c r="O399" t="str">
        <f t="shared" si="16"/>
        <v>Alec Martinez</v>
      </c>
      <c r="P399" s="18">
        <v>32</v>
      </c>
    </row>
    <row r="400" spans="1:16" ht="30" x14ac:dyDescent="0.25">
      <c r="A400" s="19" t="s">
        <v>1117</v>
      </c>
      <c r="B400" s="20">
        <v>78</v>
      </c>
      <c r="C400" s="20">
        <v>5</v>
      </c>
      <c r="D400" s="20">
        <v>34</v>
      </c>
      <c r="E400" s="20">
        <v>40</v>
      </c>
      <c r="F400" s="20">
        <v>-4</v>
      </c>
      <c r="G400" s="20">
        <v>10</v>
      </c>
      <c r="H400" s="20">
        <v>0</v>
      </c>
      <c r="I400" s="20">
        <v>24</v>
      </c>
      <c r="J400" s="20">
        <v>135</v>
      </c>
      <c r="M400" t="s">
        <v>431</v>
      </c>
      <c r="N400" t="s">
        <v>1553</v>
      </c>
      <c r="O400" t="str">
        <f t="shared" si="16"/>
        <v>Nick Leddy</v>
      </c>
      <c r="P400" s="20">
        <v>40</v>
      </c>
    </row>
    <row r="401" spans="1:16" ht="30" x14ac:dyDescent="0.25">
      <c r="A401" s="17" t="s">
        <v>1118</v>
      </c>
      <c r="B401" s="18">
        <v>78</v>
      </c>
      <c r="C401" s="18">
        <v>6</v>
      </c>
      <c r="D401" s="18">
        <v>39</v>
      </c>
      <c r="E401" s="18">
        <v>46</v>
      </c>
      <c r="F401" s="18">
        <v>-1</v>
      </c>
      <c r="G401" s="18">
        <v>5</v>
      </c>
      <c r="H401" s="18">
        <v>1</v>
      </c>
      <c r="I401" s="18">
        <v>23</v>
      </c>
      <c r="J401" s="18">
        <v>134</v>
      </c>
      <c r="M401" t="s">
        <v>319</v>
      </c>
      <c r="N401" t="s">
        <v>1554</v>
      </c>
      <c r="O401" t="str">
        <f t="shared" si="16"/>
        <v>T.J. Brodie</v>
      </c>
      <c r="P401" s="18">
        <v>46</v>
      </c>
    </row>
    <row r="402" spans="1:16" ht="30" x14ac:dyDescent="0.25">
      <c r="A402" s="19" t="s">
        <v>1119</v>
      </c>
      <c r="B402" s="20">
        <v>78</v>
      </c>
      <c r="C402" s="20">
        <v>7</v>
      </c>
      <c r="D402" s="20">
        <v>16</v>
      </c>
      <c r="E402" s="20">
        <v>24</v>
      </c>
      <c r="F402" s="20">
        <v>31</v>
      </c>
      <c r="G402" s="20">
        <v>2</v>
      </c>
      <c r="H402" s="20">
        <v>0</v>
      </c>
      <c r="I402" s="20">
        <v>27</v>
      </c>
      <c r="J402" s="20">
        <v>127</v>
      </c>
      <c r="M402" t="s">
        <v>1555</v>
      </c>
      <c r="N402" t="s">
        <v>1556</v>
      </c>
      <c r="O402" t="str">
        <f t="shared" si="16"/>
        <v>John-Michael Liles</v>
      </c>
      <c r="P402" s="20">
        <v>24</v>
      </c>
    </row>
    <row r="403" spans="1:16" ht="30" x14ac:dyDescent="0.25">
      <c r="A403" s="17" t="s">
        <v>1120</v>
      </c>
      <c r="B403" s="18">
        <v>78</v>
      </c>
      <c r="C403" s="18">
        <v>10</v>
      </c>
      <c r="D403" s="18">
        <v>20</v>
      </c>
      <c r="E403" s="18">
        <v>31</v>
      </c>
      <c r="F403" s="18">
        <v>-2</v>
      </c>
      <c r="G403" s="18">
        <v>1</v>
      </c>
      <c r="H403" s="18">
        <v>0</v>
      </c>
      <c r="I403" s="18">
        <v>73</v>
      </c>
      <c r="J403" s="18">
        <v>124</v>
      </c>
      <c r="M403" t="s">
        <v>166</v>
      </c>
      <c r="N403" t="s">
        <v>1557</v>
      </c>
      <c r="O403" t="str">
        <f t="shared" si="16"/>
        <v>Tyler Myers</v>
      </c>
      <c r="P403" s="18">
        <v>31</v>
      </c>
    </row>
    <row r="404" spans="1:16" ht="30" x14ac:dyDescent="0.25">
      <c r="A404" s="19" t="s">
        <v>1121</v>
      </c>
      <c r="B404" s="20">
        <v>78</v>
      </c>
      <c r="C404" s="20">
        <v>8</v>
      </c>
      <c r="D404" s="20">
        <v>23</v>
      </c>
      <c r="E404" s="20">
        <v>31</v>
      </c>
      <c r="F404" s="20">
        <v>5</v>
      </c>
      <c r="G404" s="20">
        <v>5</v>
      </c>
      <c r="H404" s="20">
        <v>0</v>
      </c>
      <c r="I404" s="20">
        <v>28</v>
      </c>
      <c r="J404" s="20">
        <v>122</v>
      </c>
      <c r="M404" t="s">
        <v>196</v>
      </c>
      <c r="N404" t="s">
        <v>1558</v>
      </c>
      <c r="O404" t="str">
        <f t="shared" si="16"/>
        <v>Mark Streit</v>
      </c>
      <c r="P404" s="20">
        <v>31</v>
      </c>
    </row>
    <row r="405" spans="1:16" ht="30" x14ac:dyDescent="0.25">
      <c r="A405" s="17" t="s">
        <v>1122</v>
      </c>
      <c r="B405" s="18">
        <v>78</v>
      </c>
      <c r="C405" s="18">
        <v>12</v>
      </c>
      <c r="D405" s="18">
        <v>17</v>
      </c>
      <c r="E405" s="18">
        <v>30</v>
      </c>
      <c r="F405" s="18">
        <v>-10</v>
      </c>
      <c r="G405" s="18">
        <v>3</v>
      </c>
      <c r="H405" s="18">
        <v>1</v>
      </c>
      <c r="I405" s="18">
        <v>55</v>
      </c>
      <c r="J405" s="18">
        <v>121</v>
      </c>
      <c r="M405" t="s">
        <v>176</v>
      </c>
      <c r="N405" t="s">
        <v>316</v>
      </c>
      <c r="O405" t="str">
        <f t="shared" si="16"/>
        <v>Erik Johnson</v>
      </c>
      <c r="P405" s="18">
        <v>30</v>
      </c>
    </row>
    <row r="406" spans="1:16" ht="30" x14ac:dyDescent="0.25">
      <c r="A406" s="19" t="s">
        <v>1123</v>
      </c>
      <c r="B406" s="20">
        <v>78</v>
      </c>
      <c r="C406" s="20">
        <v>5</v>
      </c>
      <c r="D406" s="20">
        <v>14</v>
      </c>
      <c r="E406" s="20">
        <v>19</v>
      </c>
      <c r="F406" s="20">
        <v>16</v>
      </c>
      <c r="G406" s="20">
        <v>3</v>
      </c>
      <c r="H406" s="20">
        <v>0</v>
      </c>
      <c r="I406" s="20">
        <v>94</v>
      </c>
      <c r="J406" s="20">
        <v>119</v>
      </c>
      <c r="M406" t="s">
        <v>426</v>
      </c>
      <c r="N406" t="s">
        <v>1559</v>
      </c>
      <c r="O406" t="str">
        <f t="shared" si="16"/>
        <v>Kevin Bieksa</v>
      </c>
      <c r="P406" s="20">
        <v>19</v>
      </c>
    </row>
    <row r="407" spans="1:16" ht="30" x14ac:dyDescent="0.25">
      <c r="A407" s="17" t="s">
        <v>1124</v>
      </c>
      <c r="B407" s="18">
        <v>78</v>
      </c>
      <c r="C407" s="18">
        <v>9</v>
      </c>
      <c r="D407" s="18">
        <v>16</v>
      </c>
      <c r="E407" s="18">
        <v>26</v>
      </c>
      <c r="F407" s="18">
        <v>1</v>
      </c>
      <c r="G407" s="18">
        <v>3</v>
      </c>
      <c r="H407" s="18">
        <v>0</v>
      </c>
      <c r="I407" s="18">
        <v>39</v>
      </c>
      <c r="J407" s="18">
        <v>118</v>
      </c>
      <c r="M407" t="s">
        <v>172</v>
      </c>
      <c r="N407" t="s">
        <v>1560</v>
      </c>
      <c r="O407" t="str">
        <f t="shared" si="16"/>
        <v>Johnny Boychuk</v>
      </c>
      <c r="P407" s="18">
        <v>26</v>
      </c>
    </row>
    <row r="408" spans="1:16" ht="45" x14ac:dyDescent="0.25">
      <c r="A408" s="19" t="s">
        <v>1125</v>
      </c>
      <c r="B408" s="20">
        <v>78</v>
      </c>
      <c r="C408" s="20">
        <v>8</v>
      </c>
      <c r="D408" s="20">
        <v>25</v>
      </c>
      <c r="E408" s="20">
        <v>34</v>
      </c>
      <c r="F408" s="20">
        <v>-5</v>
      </c>
      <c r="G408" s="20">
        <v>6</v>
      </c>
      <c r="H408" s="20">
        <v>0</v>
      </c>
      <c r="I408" s="20">
        <v>40</v>
      </c>
      <c r="J408" s="20">
        <v>117</v>
      </c>
      <c r="M408" t="s">
        <v>1561</v>
      </c>
      <c r="N408" t="s">
        <v>1562</v>
      </c>
      <c r="O408" t="str">
        <f t="shared" si="16"/>
        <v>Francois Beauchemin</v>
      </c>
      <c r="P408" s="20">
        <v>34</v>
      </c>
    </row>
    <row r="409" spans="1:16" ht="30" x14ac:dyDescent="0.25">
      <c r="A409" s="17" t="s">
        <v>1126</v>
      </c>
      <c r="B409" s="18">
        <v>78</v>
      </c>
      <c r="C409" s="18">
        <v>12</v>
      </c>
      <c r="D409" s="18">
        <v>16</v>
      </c>
      <c r="E409" s="18">
        <v>29</v>
      </c>
      <c r="F409" s="18">
        <v>12</v>
      </c>
      <c r="G409" s="18">
        <v>5</v>
      </c>
      <c r="H409" s="18">
        <v>0</v>
      </c>
      <c r="I409" s="18">
        <v>22</v>
      </c>
      <c r="J409" s="18">
        <v>117</v>
      </c>
      <c r="M409" t="s">
        <v>188</v>
      </c>
      <c r="N409" t="s">
        <v>1563</v>
      </c>
      <c r="O409" t="str">
        <f t="shared" si="16"/>
        <v>Ryan Pulock</v>
      </c>
      <c r="P409" s="18">
        <v>29</v>
      </c>
    </row>
    <row r="410" spans="1:16" ht="30" x14ac:dyDescent="0.25">
      <c r="A410" s="19" t="s">
        <v>1127</v>
      </c>
      <c r="B410" s="20">
        <v>78</v>
      </c>
      <c r="C410" s="20">
        <v>0</v>
      </c>
      <c r="D410" s="20">
        <v>16</v>
      </c>
      <c r="E410" s="20">
        <v>16</v>
      </c>
      <c r="F410" s="20">
        <v>38</v>
      </c>
      <c r="G410" s="20">
        <v>6</v>
      </c>
      <c r="H410" s="20">
        <v>0</v>
      </c>
      <c r="I410" s="20">
        <v>38</v>
      </c>
      <c r="J410" s="20">
        <v>116</v>
      </c>
      <c r="M410" t="s">
        <v>1564</v>
      </c>
      <c r="N410" t="s">
        <v>326</v>
      </c>
      <c r="O410" t="str">
        <f t="shared" si="16"/>
        <v>Yannick Weber</v>
      </c>
      <c r="P410" s="20">
        <v>16</v>
      </c>
    </row>
    <row r="411" spans="1:16" ht="30" x14ac:dyDescent="0.25">
      <c r="A411" s="17" t="s">
        <v>1128</v>
      </c>
      <c r="B411" s="18">
        <v>78</v>
      </c>
      <c r="C411" s="18">
        <v>10</v>
      </c>
      <c r="D411" s="18">
        <v>21</v>
      </c>
      <c r="E411" s="18">
        <v>31</v>
      </c>
      <c r="F411" s="18">
        <v>15</v>
      </c>
      <c r="G411" s="18">
        <v>0</v>
      </c>
      <c r="H411" s="18">
        <v>0</v>
      </c>
      <c r="I411" s="18">
        <v>30</v>
      </c>
      <c r="J411" s="18">
        <v>116</v>
      </c>
      <c r="M411" t="s">
        <v>426</v>
      </c>
      <c r="N411" t="s">
        <v>1565</v>
      </c>
      <c r="O411" t="str">
        <f t="shared" si="16"/>
        <v>Kevin Klein</v>
      </c>
      <c r="P411" s="18">
        <v>31</v>
      </c>
    </row>
    <row r="412" spans="1:16" ht="30" x14ac:dyDescent="0.25">
      <c r="A412" s="19" t="s">
        <v>1129</v>
      </c>
      <c r="B412" s="20">
        <v>78</v>
      </c>
      <c r="C412" s="20">
        <v>10</v>
      </c>
      <c r="D412" s="20">
        <v>26</v>
      </c>
      <c r="E412" s="20">
        <v>36</v>
      </c>
      <c r="F412" s="20">
        <v>-17</v>
      </c>
      <c r="G412" s="20">
        <v>4</v>
      </c>
      <c r="H412" s="20">
        <v>0</v>
      </c>
      <c r="I412" s="20">
        <v>32</v>
      </c>
      <c r="J412" s="20">
        <v>115</v>
      </c>
      <c r="M412" t="s">
        <v>1566</v>
      </c>
      <c r="N412" t="s">
        <v>1567</v>
      </c>
      <c r="O412" t="str">
        <f t="shared" si="16"/>
        <v>Morgan Rielly</v>
      </c>
      <c r="P412" s="20">
        <v>36</v>
      </c>
    </row>
    <row r="413" spans="1:16" ht="30" x14ac:dyDescent="0.25">
      <c r="A413" s="17" t="s">
        <v>1130</v>
      </c>
      <c r="B413" s="18">
        <v>78</v>
      </c>
      <c r="C413" s="18">
        <v>13</v>
      </c>
      <c r="D413" s="18">
        <v>19</v>
      </c>
      <c r="E413" s="18">
        <v>33</v>
      </c>
      <c r="F413" s="18">
        <v>-24</v>
      </c>
      <c r="G413" s="18">
        <v>5</v>
      </c>
      <c r="H413" s="18">
        <v>0</v>
      </c>
      <c r="I413" s="18">
        <v>38</v>
      </c>
      <c r="J413" s="18">
        <v>115</v>
      </c>
      <c r="M413" t="s">
        <v>436</v>
      </c>
      <c r="N413" t="s">
        <v>437</v>
      </c>
      <c r="O413" t="str">
        <f t="shared" si="16"/>
        <v>Aaron Ekblad</v>
      </c>
      <c r="P413" s="18">
        <v>33</v>
      </c>
    </row>
    <row r="414" spans="1:16" ht="30" x14ac:dyDescent="0.25">
      <c r="A414" s="19" t="s">
        <v>1131</v>
      </c>
      <c r="B414" s="20">
        <v>78</v>
      </c>
      <c r="C414" s="20">
        <v>6</v>
      </c>
      <c r="D414" s="20">
        <v>30</v>
      </c>
      <c r="E414" s="20">
        <v>37</v>
      </c>
      <c r="F414" s="20">
        <v>-26</v>
      </c>
      <c r="G414" s="20">
        <v>6</v>
      </c>
      <c r="H414" s="20">
        <v>0</v>
      </c>
      <c r="I414" s="20">
        <v>59</v>
      </c>
      <c r="J414" s="20">
        <v>115</v>
      </c>
      <c r="M414" t="s">
        <v>457</v>
      </c>
      <c r="N414" t="s">
        <v>247</v>
      </c>
      <c r="O414" t="str">
        <f t="shared" si="16"/>
        <v>Michael Stone</v>
      </c>
      <c r="P414" s="20">
        <v>37</v>
      </c>
    </row>
    <row r="415" spans="1:16" ht="45" x14ac:dyDescent="0.25">
      <c r="A415" s="17" t="s">
        <v>1132</v>
      </c>
      <c r="B415" s="18">
        <v>78</v>
      </c>
      <c r="C415" s="18">
        <v>2</v>
      </c>
      <c r="D415" s="18">
        <v>22</v>
      </c>
      <c r="E415" s="18">
        <v>24</v>
      </c>
      <c r="F415" s="18">
        <v>34</v>
      </c>
      <c r="G415" s="18">
        <v>0</v>
      </c>
      <c r="H415" s="18">
        <v>1</v>
      </c>
      <c r="I415" s="18">
        <v>32</v>
      </c>
      <c r="J415" s="18">
        <v>114</v>
      </c>
      <c r="M415" t="s">
        <v>1568</v>
      </c>
      <c r="N415" t="s">
        <v>1569</v>
      </c>
      <c r="O415" t="str">
        <f t="shared" si="16"/>
        <v>Niklas Hjalmarsson</v>
      </c>
      <c r="P415" s="18">
        <v>24</v>
      </c>
    </row>
    <row r="416" spans="1:16" ht="30" x14ac:dyDescent="0.25">
      <c r="A416" s="19" t="s">
        <v>1133</v>
      </c>
      <c r="B416" s="20">
        <v>78</v>
      </c>
      <c r="C416" s="20">
        <v>11</v>
      </c>
      <c r="D416" s="20">
        <v>18</v>
      </c>
      <c r="E416" s="20">
        <v>29</v>
      </c>
      <c r="F416" s="20">
        <v>10</v>
      </c>
      <c r="G416" s="20">
        <v>1</v>
      </c>
      <c r="H416" s="20">
        <v>0</v>
      </c>
      <c r="I416" s="20">
        <v>21</v>
      </c>
      <c r="J416" s="20">
        <v>113</v>
      </c>
      <c r="M416" t="s">
        <v>1244</v>
      </c>
      <c r="N416" t="s">
        <v>1570</v>
      </c>
      <c r="O416" t="str">
        <f t="shared" si="16"/>
        <v>Cody Ceci</v>
      </c>
      <c r="P416" s="20">
        <v>29</v>
      </c>
    </row>
    <row r="417" spans="1:16" ht="30" x14ac:dyDescent="0.25">
      <c r="A417" s="17" t="s">
        <v>1134</v>
      </c>
      <c r="B417" s="18">
        <v>78</v>
      </c>
      <c r="C417" s="18">
        <v>6</v>
      </c>
      <c r="D417" s="18">
        <v>16</v>
      </c>
      <c r="E417" s="18">
        <v>23</v>
      </c>
      <c r="F417" s="18">
        <v>30</v>
      </c>
      <c r="G417" s="18">
        <v>0</v>
      </c>
      <c r="H417" s="18">
        <v>0</v>
      </c>
      <c r="I417" s="18">
        <v>24</v>
      </c>
      <c r="J417" s="18">
        <v>111</v>
      </c>
      <c r="M417" t="s">
        <v>431</v>
      </c>
      <c r="N417" t="s">
        <v>1571</v>
      </c>
      <c r="O417" t="str">
        <f t="shared" si="16"/>
        <v>Nick Holden</v>
      </c>
      <c r="P417" s="18">
        <v>23</v>
      </c>
    </row>
    <row r="418" spans="1:16" ht="45" x14ac:dyDescent="0.25">
      <c r="A418" s="19" t="s">
        <v>1135</v>
      </c>
      <c r="B418" s="20">
        <v>78</v>
      </c>
      <c r="C418" s="20">
        <v>5</v>
      </c>
      <c r="D418" s="20">
        <v>4</v>
      </c>
      <c r="E418" s="20">
        <v>10</v>
      </c>
      <c r="F418" s="20">
        <v>39</v>
      </c>
      <c r="G418" s="20">
        <v>5</v>
      </c>
      <c r="H418" s="20">
        <v>0</v>
      </c>
      <c r="I418" s="20">
        <v>9</v>
      </c>
      <c r="J418" s="20">
        <v>111</v>
      </c>
      <c r="M418" t="s">
        <v>231</v>
      </c>
      <c r="N418" t="s">
        <v>1572</v>
      </c>
      <c r="O418" t="str">
        <f t="shared" si="16"/>
        <v>David Warsofsky</v>
      </c>
      <c r="P418" s="20">
        <v>10</v>
      </c>
    </row>
    <row r="419" spans="1:16" ht="30" x14ac:dyDescent="0.25">
      <c r="A419" s="17" t="s">
        <v>1136</v>
      </c>
      <c r="B419" s="18">
        <v>78</v>
      </c>
      <c r="C419" s="18">
        <v>0</v>
      </c>
      <c r="D419" s="18">
        <v>23</v>
      </c>
      <c r="E419" s="18">
        <v>23</v>
      </c>
      <c r="F419" s="18">
        <v>35</v>
      </c>
      <c r="G419" s="18">
        <v>0</v>
      </c>
      <c r="H419" s="18">
        <v>0</v>
      </c>
      <c r="I419" s="18">
        <v>19</v>
      </c>
      <c r="J419" s="18">
        <v>109</v>
      </c>
      <c r="M419" t="s">
        <v>1573</v>
      </c>
      <c r="N419" t="s">
        <v>1444</v>
      </c>
      <c r="O419" t="str">
        <f t="shared" si="16"/>
        <v>Derrick Pouliot</v>
      </c>
      <c r="P419" s="18">
        <v>23</v>
      </c>
    </row>
    <row r="420" spans="1:16" ht="30" x14ac:dyDescent="0.25">
      <c r="A420" s="19" t="s">
        <v>1137</v>
      </c>
      <c r="B420" s="20">
        <v>78</v>
      </c>
      <c r="C420" s="20">
        <v>6</v>
      </c>
      <c r="D420" s="20">
        <v>15</v>
      </c>
      <c r="E420" s="20">
        <v>21</v>
      </c>
      <c r="F420" s="20">
        <v>27</v>
      </c>
      <c r="G420" s="20">
        <v>0</v>
      </c>
      <c r="H420" s="20">
        <v>0</v>
      </c>
      <c r="I420" s="20">
        <v>56</v>
      </c>
      <c r="J420" s="20">
        <v>108</v>
      </c>
      <c r="M420" t="s">
        <v>1574</v>
      </c>
      <c r="N420" t="s">
        <v>414</v>
      </c>
      <c r="O420" t="str">
        <f t="shared" si="16"/>
        <v>Kevan Miller</v>
      </c>
      <c r="P420" s="20">
        <v>21</v>
      </c>
    </row>
    <row r="421" spans="1:16" ht="45" x14ac:dyDescent="0.25">
      <c r="A421" s="17" t="s">
        <v>1138</v>
      </c>
      <c r="B421" s="18">
        <v>78</v>
      </c>
      <c r="C421" s="18">
        <v>1</v>
      </c>
      <c r="D421" s="18">
        <v>18</v>
      </c>
      <c r="E421" s="18">
        <v>20</v>
      </c>
      <c r="F421" s="18">
        <v>35</v>
      </c>
      <c r="G421" s="18">
        <v>1</v>
      </c>
      <c r="H421" s="18">
        <v>0</v>
      </c>
      <c r="I421" s="18">
        <v>15</v>
      </c>
      <c r="J421" s="18">
        <v>108</v>
      </c>
      <c r="M421" t="s">
        <v>1262</v>
      </c>
      <c r="N421" t="s">
        <v>1575</v>
      </c>
      <c r="O421" t="str">
        <f t="shared" si="16"/>
        <v>Brian Dumoulin</v>
      </c>
      <c r="P421" s="18">
        <v>20</v>
      </c>
    </row>
    <row r="422" spans="1:16" ht="30" x14ac:dyDescent="0.25">
      <c r="A422" s="19" t="s">
        <v>1139</v>
      </c>
      <c r="B422" s="20">
        <v>78</v>
      </c>
      <c r="C422" s="20">
        <v>3</v>
      </c>
      <c r="D422" s="20">
        <v>31</v>
      </c>
      <c r="E422" s="20">
        <v>35</v>
      </c>
      <c r="F422" s="20">
        <v>-12</v>
      </c>
      <c r="G422" s="20">
        <v>9</v>
      </c>
      <c r="H422" s="20">
        <v>0</v>
      </c>
      <c r="I422" s="20">
        <v>41</v>
      </c>
      <c r="J422" s="20">
        <v>107</v>
      </c>
      <c r="M422" t="s">
        <v>1568</v>
      </c>
      <c r="N422" t="s">
        <v>1576</v>
      </c>
      <c r="O422" t="str">
        <f t="shared" si="16"/>
        <v>Niklas Kronwall</v>
      </c>
      <c r="P422" s="20">
        <v>35</v>
      </c>
    </row>
    <row r="423" spans="1:16" ht="30" x14ac:dyDescent="0.25">
      <c r="A423" s="17" t="s">
        <v>1140</v>
      </c>
      <c r="B423" s="18">
        <v>78</v>
      </c>
      <c r="C423" s="18">
        <v>8</v>
      </c>
      <c r="D423" s="18">
        <v>25</v>
      </c>
      <c r="E423" s="18">
        <v>33</v>
      </c>
      <c r="F423" s="18">
        <v>-17</v>
      </c>
      <c r="G423" s="18">
        <v>7</v>
      </c>
      <c r="H423" s="18">
        <v>0</v>
      </c>
      <c r="I423" s="18">
        <v>39</v>
      </c>
      <c r="J423" s="18">
        <v>107</v>
      </c>
      <c r="M423" t="s">
        <v>1410</v>
      </c>
      <c r="N423" t="s">
        <v>1577</v>
      </c>
      <c r="O423" t="str">
        <f t="shared" si="16"/>
        <v>Jake Gardiner</v>
      </c>
      <c r="P423" s="18">
        <v>33</v>
      </c>
    </row>
    <row r="424" spans="1:16" ht="30" x14ac:dyDescent="0.25">
      <c r="A424" s="19" t="s">
        <v>1141</v>
      </c>
      <c r="B424" s="20">
        <v>78</v>
      </c>
      <c r="C424" s="20">
        <v>5</v>
      </c>
      <c r="D424" s="20">
        <v>27</v>
      </c>
      <c r="E424" s="20">
        <v>32</v>
      </c>
      <c r="F424" s="20">
        <v>-14</v>
      </c>
      <c r="G424" s="20">
        <v>3</v>
      </c>
      <c r="H424" s="20">
        <v>0</v>
      </c>
      <c r="I424" s="20">
        <v>51</v>
      </c>
      <c r="J424" s="20">
        <v>106</v>
      </c>
      <c r="M424" t="s">
        <v>231</v>
      </c>
      <c r="N424" t="s">
        <v>1578</v>
      </c>
      <c r="O424" t="str">
        <f t="shared" si="16"/>
        <v>David Savard</v>
      </c>
      <c r="P424" s="20">
        <v>32</v>
      </c>
    </row>
    <row r="425" spans="1:16" ht="45" x14ac:dyDescent="0.25">
      <c r="A425" s="17" t="s">
        <v>1142</v>
      </c>
      <c r="B425" s="18">
        <v>78</v>
      </c>
      <c r="C425" s="18">
        <v>8</v>
      </c>
      <c r="D425" s="18">
        <v>30</v>
      </c>
      <c r="E425" s="18">
        <v>39</v>
      </c>
      <c r="F425" s="18">
        <v>-48</v>
      </c>
      <c r="G425" s="18">
        <v>10</v>
      </c>
      <c r="H425" s="18">
        <v>0</v>
      </c>
      <c r="I425" s="18">
        <v>36</v>
      </c>
      <c r="J425" s="18">
        <v>105</v>
      </c>
      <c r="M425" t="s">
        <v>453</v>
      </c>
      <c r="N425" t="s">
        <v>454</v>
      </c>
      <c r="O425" t="str">
        <f t="shared" si="16"/>
        <v>Rasmus Ristolainen</v>
      </c>
      <c r="P425" s="18">
        <v>39</v>
      </c>
    </row>
    <row r="426" spans="1:16" ht="30" x14ac:dyDescent="0.25">
      <c r="A426" s="19" t="s">
        <v>1143</v>
      </c>
      <c r="B426" s="20">
        <v>78</v>
      </c>
      <c r="C426" s="20">
        <v>4</v>
      </c>
      <c r="D426" s="20">
        <v>18</v>
      </c>
      <c r="E426" s="20">
        <v>23</v>
      </c>
      <c r="F426" s="20">
        <v>16</v>
      </c>
      <c r="G426" s="20">
        <v>0</v>
      </c>
      <c r="H426" s="20">
        <v>0</v>
      </c>
      <c r="I426" s="20">
        <v>35</v>
      </c>
      <c r="J426" s="20">
        <v>104</v>
      </c>
      <c r="M426" t="s">
        <v>374</v>
      </c>
      <c r="N426" t="s">
        <v>1579</v>
      </c>
      <c r="O426" t="str">
        <f t="shared" si="16"/>
        <v>Justin Braun</v>
      </c>
      <c r="P426" s="20">
        <v>23</v>
      </c>
    </row>
    <row r="427" spans="1:16" ht="30" x14ac:dyDescent="0.25">
      <c r="A427" s="17" t="s">
        <v>1144</v>
      </c>
      <c r="B427" s="18">
        <v>78</v>
      </c>
      <c r="C427" s="18">
        <v>5</v>
      </c>
      <c r="D427" s="18">
        <v>12</v>
      </c>
      <c r="E427" s="18">
        <v>18</v>
      </c>
      <c r="F427" s="18">
        <v>30</v>
      </c>
      <c r="G427" s="18">
        <v>0</v>
      </c>
      <c r="H427" s="18">
        <v>0</v>
      </c>
      <c r="I427" s="18">
        <v>63</v>
      </c>
      <c r="J427" s="18">
        <v>103</v>
      </c>
      <c r="M427" t="s">
        <v>1346</v>
      </c>
      <c r="N427" t="s">
        <v>1580</v>
      </c>
      <c r="O427" t="str">
        <f t="shared" si="16"/>
        <v>Brooks Orpik</v>
      </c>
      <c r="P427" s="18">
        <v>18</v>
      </c>
    </row>
    <row r="428" spans="1:16" ht="30" x14ac:dyDescent="0.25">
      <c r="A428" s="19" t="s">
        <v>1145</v>
      </c>
      <c r="B428" s="20">
        <v>78</v>
      </c>
      <c r="C428" s="20">
        <v>6</v>
      </c>
      <c r="D428" s="20">
        <v>17</v>
      </c>
      <c r="E428" s="20">
        <v>24</v>
      </c>
      <c r="F428" s="20">
        <v>-10</v>
      </c>
      <c r="G428" s="20">
        <v>3</v>
      </c>
      <c r="H428" s="20">
        <v>0</v>
      </c>
      <c r="I428" s="20">
        <v>102</v>
      </c>
      <c r="J428" s="20">
        <v>102</v>
      </c>
      <c r="M428" t="s">
        <v>243</v>
      </c>
      <c r="N428" t="s">
        <v>1581</v>
      </c>
      <c r="O428" t="str">
        <f t="shared" si="16"/>
        <v>Jason Demers</v>
      </c>
      <c r="P428" s="20">
        <v>24</v>
      </c>
    </row>
    <row r="429" spans="1:16" ht="30" x14ac:dyDescent="0.25">
      <c r="A429" s="17" t="s">
        <v>1146</v>
      </c>
      <c r="B429" s="18">
        <v>78</v>
      </c>
      <c r="C429" s="18">
        <v>4</v>
      </c>
      <c r="D429" s="18">
        <v>16</v>
      </c>
      <c r="E429" s="18">
        <v>21</v>
      </c>
      <c r="F429" s="18">
        <v>31</v>
      </c>
      <c r="G429" s="18">
        <v>0</v>
      </c>
      <c r="H429" s="18">
        <v>0</v>
      </c>
      <c r="I429" s="18">
        <v>28</v>
      </c>
      <c r="J429" s="18">
        <v>101</v>
      </c>
      <c r="M429" t="s">
        <v>172</v>
      </c>
      <c r="N429" t="s">
        <v>1582</v>
      </c>
      <c r="O429" t="str">
        <f t="shared" si="16"/>
        <v>Johnny Oduya</v>
      </c>
      <c r="P429" s="18">
        <v>21</v>
      </c>
    </row>
    <row r="430" spans="1:16" ht="45" x14ac:dyDescent="0.25">
      <c r="A430" s="19" t="s">
        <v>1147</v>
      </c>
      <c r="B430" s="20">
        <v>78</v>
      </c>
      <c r="C430" s="20">
        <v>12</v>
      </c>
      <c r="D430" s="20">
        <v>19</v>
      </c>
      <c r="E430" s="20">
        <v>32</v>
      </c>
      <c r="F430" s="20">
        <v>-26</v>
      </c>
      <c r="G430" s="20">
        <v>8</v>
      </c>
      <c r="H430" s="20">
        <v>1</v>
      </c>
      <c r="I430" s="20">
        <v>24</v>
      </c>
      <c r="J430" s="20">
        <v>101</v>
      </c>
      <c r="M430" t="s">
        <v>1284</v>
      </c>
      <c r="N430" t="s">
        <v>1583</v>
      </c>
      <c r="O430" t="str">
        <f t="shared" si="16"/>
        <v>Jared Spurgeon</v>
      </c>
      <c r="P430" s="20">
        <v>32</v>
      </c>
    </row>
    <row r="431" spans="1:16" x14ac:dyDescent="0.25">
      <c r="A431" s="17" t="s">
        <v>1148</v>
      </c>
      <c r="B431" s="18">
        <v>78</v>
      </c>
      <c r="C431" s="18">
        <v>0</v>
      </c>
      <c r="D431" s="18">
        <v>12</v>
      </c>
      <c r="E431" s="18">
        <v>13</v>
      </c>
      <c r="F431" s="18">
        <v>34</v>
      </c>
      <c r="G431" s="18">
        <v>0</v>
      </c>
      <c r="H431" s="18">
        <v>0</v>
      </c>
      <c r="I431" s="18">
        <v>74</v>
      </c>
      <c r="J431" s="18">
        <v>100</v>
      </c>
      <c r="M431" t="s">
        <v>1584</v>
      </c>
      <c r="N431" t="s">
        <v>1585</v>
      </c>
      <c r="O431" t="str">
        <f t="shared" si="16"/>
        <v>Ian Cole</v>
      </c>
      <c r="P431" s="18">
        <v>13</v>
      </c>
    </row>
    <row r="432" spans="1:16" ht="30" x14ac:dyDescent="0.25">
      <c r="A432" s="19" t="s">
        <v>1149</v>
      </c>
      <c r="B432" s="20">
        <v>78</v>
      </c>
      <c r="C432" s="20">
        <v>6</v>
      </c>
      <c r="D432" s="20">
        <v>12</v>
      </c>
      <c r="E432" s="20">
        <v>19</v>
      </c>
      <c r="F432" s="20">
        <v>20</v>
      </c>
      <c r="G432" s="20">
        <v>1</v>
      </c>
      <c r="H432" s="20">
        <v>0</v>
      </c>
      <c r="I432" s="20">
        <v>26</v>
      </c>
      <c r="J432" s="20">
        <v>99</v>
      </c>
      <c r="M432" t="s">
        <v>243</v>
      </c>
      <c r="N432" t="s">
        <v>1586</v>
      </c>
      <c r="O432" t="str">
        <f t="shared" si="16"/>
        <v>Jason Garrison</v>
      </c>
      <c r="P432" s="20">
        <v>19</v>
      </c>
    </row>
    <row r="433" spans="1:17" ht="30" x14ac:dyDescent="0.25">
      <c r="A433" s="17" t="s">
        <v>1150</v>
      </c>
      <c r="B433" s="18">
        <v>78</v>
      </c>
      <c r="C433" s="18">
        <v>6</v>
      </c>
      <c r="D433" s="18">
        <v>18</v>
      </c>
      <c r="E433" s="18">
        <v>24</v>
      </c>
      <c r="F433" s="18">
        <v>-4</v>
      </c>
      <c r="G433" s="18">
        <v>0</v>
      </c>
      <c r="H433" s="18">
        <v>0</v>
      </c>
      <c r="I433" s="18">
        <v>49</v>
      </c>
      <c r="J433" s="18">
        <v>95</v>
      </c>
      <c r="M433" t="s">
        <v>424</v>
      </c>
      <c r="N433" t="s">
        <v>1587</v>
      </c>
      <c r="O433" t="str">
        <f t="shared" si="16"/>
        <v>Travis Hamonic</v>
      </c>
      <c r="P433" s="18">
        <v>24</v>
      </c>
    </row>
    <row r="434" spans="1:17" ht="30" x14ac:dyDescent="0.25">
      <c r="A434" s="19" t="s">
        <v>1151</v>
      </c>
      <c r="B434" s="20">
        <v>78</v>
      </c>
      <c r="C434" s="20">
        <v>1</v>
      </c>
      <c r="D434" s="20">
        <v>18</v>
      </c>
      <c r="E434" s="20">
        <v>19</v>
      </c>
      <c r="F434" s="20">
        <v>23</v>
      </c>
      <c r="G434" s="20">
        <v>1</v>
      </c>
      <c r="H434" s="20">
        <v>0</v>
      </c>
      <c r="I434" s="20">
        <v>51</v>
      </c>
      <c r="J434" s="20">
        <v>95</v>
      </c>
      <c r="M434" t="s">
        <v>1588</v>
      </c>
      <c r="N434" t="s">
        <v>1589</v>
      </c>
      <c r="O434" t="str">
        <f t="shared" si="16"/>
        <v>Michal Rozsival</v>
      </c>
      <c r="P434" s="20">
        <v>19</v>
      </c>
    </row>
    <row r="435" spans="1:17" ht="30" x14ac:dyDescent="0.25">
      <c r="A435" s="17" t="s">
        <v>1152</v>
      </c>
      <c r="B435" s="18">
        <v>78</v>
      </c>
      <c r="C435" s="18">
        <v>4</v>
      </c>
      <c r="D435" s="18">
        <v>18</v>
      </c>
      <c r="E435" s="18">
        <v>23</v>
      </c>
      <c r="F435" s="18">
        <v>18</v>
      </c>
      <c r="G435" s="18">
        <v>0</v>
      </c>
      <c r="H435" s="18">
        <v>0</v>
      </c>
      <c r="I435" s="18">
        <v>38</v>
      </c>
      <c r="J435" s="18">
        <v>94</v>
      </c>
      <c r="M435" t="s">
        <v>1590</v>
      </c>
      <c r="N435" t="s">
        <v>1591</v>
      </c>
      <c r="O435" t="str">
        <f t="shared" si="16"/>
        <v>Andrej Sustr</v>
      </c>
      <c r="P435" s="18">
        <v>23</v>
      </c>
    </row>
    <row r="436" spans="1:17" ht="30" x14ac:dyDescent="0.25">
      <c r="A436" s="19" t="s">
        <v>1153</v>
      </c>
      <c r="B436" s="20">
        <v>78</v>
      </c>
      <c r="C436" s="20">
        <v>6</v>
      </c>
      <c r="D436" s="20">
        <v>15</v>
      </c>
      <c r="E436" s="20">
        <v>22</v>
      </c>
      <c r="F436" s="20">
        <v>-4</v>
      </c>
      <c r="G436" s="20">
        <v>2</v>
      </c>
      <c r="H436" s="20">
        <v>1</v>
      </c>
      <c r="I436" s="20">
        <v>58</v>
      </c>
      <c r="J436" s="20">
        <v>94</v>
      </c>
      <c r="M436" t="s">
        <v>1330</v>
      </c>
      <c r="N436" t="s">
        <v>1592</v>
      </c>
      <c r="O436" t="str">
        <f t="shared" si="16"/>
        <v>Jacob Trouba</v>
      </c>
      <c r="P436" s="20">
        <v>22</v>
      </c>
    </row>
    <row r="437" spans="1:17" ht="30" x14ac:dyDescent="0.25">
      <c r="A437" s="17" t="s">
        <v>1154</v>
      </c>
      <c r="B437" s="18">
        <v>78</v>
      </c>
      <c r="C437" s="18">
        <v>5</v>
      </c>
      <c r="D437" s="18">
        <v>9</v>
      </c>
      <c r="E437" s="18">
        <v>15</v>
      </c>
      <c r="F437" s="18">
        <v>-5</v>
      </c>
      <c r="G437" s="18">
        <v>0</v>
      </c>
      <c r="H437" s="18">
        <v>0</v>
      </c>
      <c r="I437" s="18">
        <v>127</v>
      </c>
      <c r="J437" s="18">
        <v>94</v>
      </c>
      <c r="M437" t="s">
        <v>1593</v>
      </c>
      <c r="N437" t="s">
        <v>1594</v>
      </c>
      <c r="O437" t="str">
        <f t="shared" si="16"/>
        <v>Radko Gudas</v>
      </c>
      <c r="P437" s="18">
        <v>15</v>
      </c>
    </row>
    <row r="438" spans="1:17" ht="45" x14ac:dyDescent="0.25">
      <c r="A438" s="19" t="s">
        <v>1155</v>
      </c>
      <c r="B438" s="20">
        <v>78</v>
      </c>
      <c r="C438" s="20">
        <v>2</v>
      </c>
      <c r="D438" s="20">
        <v>18</v>
      </c>
      <c r="E438" s="20">
        <v>21</v>
      </c>
      <c r="F438" s="20">
        <v>12</v>
      </c>
      <c r="G438" s="20">
        <v>0</v>
      </c>
      <c r="H438" s="20">
        <v>0</v>
      </c>
      <c r="I438" s="20">
        <v>38</v>
      </c>
      <c r="J438" s="20">
        <v>92</v>
      </c>
      <c r="M438" t="s">
        <v>1273</v>
      </c>
      <c r="N438" t="s">
        <v>1595</v>
      </c>
      <c r="O438" t="str">
        <f t="shared" si="16"/>
        <v>Jay Bouwmeester</v>
      </c>
      <c r="P438" s="20">
        <v>21</v>
      </c>
    </row>
    <row r="439" spans="1:17" ht="45" x14ac:dyDescent="0.25">
      <c r="A439" s="17" t="s">
        <v>1156</v>
      </c>
      <c r="B439" s="18">
        <v>78</v>
      </c>
      <c r="C439" s="18">
        <v>8</v>
      </c>
      <c r="D439" s="18">
        <v>9</v>
      </c>
      <c r="E439" s="18">
        <v>17</v>
      </c>
      <c r="F439" s="18">
        <v>12</v>
      </c>
      <c r="G439" s="18">
        <v>1</v>
      </c>
      <c r="H439" s="18">
        <v>0</v>
      </c>
      <c r="I439" s="18">
        <v>43</v>
      </c>
      <c r="J439" s="18">
        <v>91</v>
      </c>
      <c r="M439" t="s">
        <v>419</v>
      </c>
      <c r="N439" t="s">
        <v>1596</v>
      </c>
      <c r="O439" t="str">
        <f t="shared" si="16"/>
        <v>Chris Wideman</v>
      </c>
      <c r="P439" s="18">
        <v>17</v>
      </c>
    </row>
    <row r="440" spans="1:17" ht="30" x14ac:dyDescent="0.25">
      <c r="A440" s="19" t="s">
        <v>1157</v>
      </c>
      <c r="B440" s="20">
        <v>78</v>
      </c>
      <c r="C440" s="20">
        <v>3</v>
      </c>
      <c r="D440" s="20">
        <v>29</v>
      </c>
      <c r="E440" s="20">
        <v>32</v>
      </c>
      <c r="F440" s="20">
        <v>-31</v>
      </c>
      <c r="G440" s="20">
        <v>7</v>
      </c>
      <c r="H440" s="20">
        <v>0</v>
      </c>
      <c r="I440" s="20">
        <v>23</v>
      </c>
      <c r="J440" s="20">
        <v>90</v>
      </c>
      <c r="M440" t="s">
        <v>1249</v>
      </c>
      <c r="N440" t="s">
        <v>1597</v>
      </c>
      <c r="O440" t="str">
        <f t="shared" si="16"/>
        <v>Seth Jones</v>
      </c>
      <c r="P440" s="20">
        <v>32</v>
      </c>
    </row>
    <row r="441" spans="1:17" ht="30" x14ac:dyDescent="0.25">
      <c r="A441" s="17" t="s">
        <v>1158</v>
      </c>
      <c r="B441" s="18">
        <v>78</v>
      </c>
      <c r="C441" s="18">
        <v>6</v>
      </c>
      <c r="D441" s="18">
        <v>24</v>
      </c>
      <c r="E441" s="18">
        <v>30</v>
      </c>
      <c r="F441" s="18">
        <v>-25</v>
      </c>
      <c r="G441" s="18">
        <v>8</v>
      </c>
      <c r="H441" s="18">
        <v>0</v>
      </c>
      <c r="I441" s="18">
        <v>12</v>
      </c>
      <c r="J441" s="18">
        <v>89</v>
      </c>
      <c r="M441" t="s">
        <v>1590</v>
      </c>
      <c r="N441" t="s">
        <v>1598</v>
      </c>
      <c r="O441" t="str">
        <f t="shared" si="16"/>
        <v>Andrej Sekera</v>
      </c>
      <c r="P441" s="18">
        <v>30</v>
      </c>
    </row>
    <row r="442" spans="1:17" ht="30" x14ac:dyDescent="0.25">
      <c r="A442" s="19" t="s">
        <v>1159</v>
      </c>
      <c r="B442" s="20">
        <v>78</v>
      </c>
      <c r="C442" s="20">
        <v>8</v>
      </c>
      <c r="D442" s="20">
        <v>16</v>
      </c>
      <c r="E442" s="20">
        <v>24</v>
      </c>
      <c r="F442" s="20">
        <v>1</v>
      </c>
      <c r="G442" s="20">
        <v>1</v>
      </c>
      <c r="H442" s="20">
        <v>0</v>
      </c>
      <c r="I442" s="20">
        <v>47</v>
      </c>
      <c r="J442" s="20">
        <v>88</v>
      </c>
      <c r="M442" t="s">
        <v>376</v>
      </c>
      <c r="N442" t="s">
        <v>1599</v>
      </c>
      <c r="O442" t="str">
        <f t="shared" si="16"/>
        <v>Thomas Hickey</v>
      </c>
      <c r="P442" s="20">
        <v>24</v>
      </c>
    </row>
    <row r="443" spans="1:17" ht="30" x14ac:dyDescent="0.25">
      <c r="A443" s="17" t="s">
        <v>1160</v>
      </c>
      <c r="B443" s="18">
        <v>78</v>
      </c>
      <c r="C443" s="18">
        <v>9</v>
      </c>
      <c r="D443" s="18">
        <v>15</v>
      </c>
      <c r="E443" s="18">
        <v>24</v>
      </c>
      <c r="F443" s="18">
        <v>-28</v>
      </c>
      <c r="G443" s="18">
        <v>6</v>
      </c>
      <c r="H443" s="18">
        <v>0</v>
      </c>
      <c r="I443" s="18">
        <v>55</v>
      </c>
      <c r="J443" s="18">
        <v>86</v>
      </c>
      <c r="M443" t="s">
        <v>245</v>
      </c>
      <c r="N443" t="s">
        <v>1600</v>
      </c>
      <c r="O443" t="str">
        <f t="shared" si="16"/>
        <v>Matt Dumba</v>
      </c>
      <c r="P443" s="18">
        <v>24</v>
      </c>
    </row>
    <row r="444" spans="1:17" ht="45" x14ac:dyDescent="0.25">
      <c r="A444" s="19" t="s">
        <v>1161</v>
      </c>
      <c r="B444" s="20">
        <v>78</v>
      </c>
      <c r="C444" s="20">
        <v>4</v>
      </c>
      <c r="D444" s="20">
        <v>10</v>
      </c>
      <c r="E444" s="20">
        <v>14</v>
      </c>
      <c r="F444" s="20">
        <v>22</v>
      </c>
      <c r="G444" s="20">
        <v>0</v>
      </c>
      <c r="H444" s="20">
        <v>0</v>
      </c>
      <c r="I444" s="20">
        <v>33</v>
      </c>
      <c r="J444" s="20">
        <v>86</v>
      </c>
      <c r="M444" t="s">
        <v>1295</v>
      </c>
      <c r="N444" t="s">
        <v>1437</v>
      </c>
      <c r="O444" t="str">
        <f t="shared" si="16"/>
        <v>Trevor van</v>
      </c>
      <c r="P444" s="20">
        <v>14</v>
      </c>
      <c r="Q444" t="s">
        <v>1230</v>
      </c>
    </row>
    <row r="445" spans="1:17" ht="30" x14ac:dyDescent="0.25">
      <c r="A445" s="17" t="s">
        <v>1162</v>
      </c>
      <c r="B445" s="18">
        <v>78</v>
      </c>
      <c r="C445" s="18">
        <v>4</v>
      </c>
      <c r="D445" s="18">
        <v>10</v>
      </c>
      <c r="E445" s="18">
        <v>14</v>
      </c>
      <c r="F445" s="18">
        <v>15</v>
      </c>
      <c r="G445" s="18">
        <v>0</v>
      </c>
      <c r="H445" s="18">
        <v>0</v>
      </c>
      <c r="I445" s="18">
        <v>43</v>
      </c>
      <c r="J445" s="18">
        <v>86</v>
      </c>
      <c r="M445" t="s">
        <v>353</v>
      </c>
      <c r="N445" t="s">
        <v>1601</v>
      </c>
      <c r="O445" t="str">
        <f t="shared" si="16"/>
        <v>Zach Trotman</v>
      </c>
      <c r="P445" s="18">
        <v>14</v>
      </c>
    </row>
    <row r="446" spans="1:17" ht="30" x14ac:dyDescent="0.25">
      <c r="A446" s="19" t="s">
        <v>1163</v>
      </c>
      <c r="B446" s="20">
        <v>78</v>
      </c>
      <c r="C446" s="20">
        <v>3</v>
      </c>
      <c r="D446" s="20">
        <v>11</v>
      </c>
      <c r="E446" s="20">
        <v>14</v>
      </c>
      <c r="F446" s="20">
        <v>25</v>
      </c>
      <c r="G446" s="20">
        <v>0</v>
      </c>
      <c r="H446" s="20">
        <v>0</v>
      </c>
      <c r="I446" s="20">
        <v>34</v>
      </c>
      <c r="J446" s="20">
        <v>85</v>
      </c>
      <c r="M446" t="s">
        <v>1602</v>
      </c>
      <c r="N446" t="s">
        <v>159</v>
      </c>
      <c r="O446" t="str">
        <f t="shared" si="16"/>
        <v>Jordie Benn</v>
      </c>
      <c r="P446" s="20">
        <v>14</v>
      </c>
    </row>
    <row r="447" spans="1:17" ht="30" x14ac:dyDescent="0.25">
      <c r="A447" s="17" t="s">
        <v>1164</v>
      </c>
      <c r="B447" s="18">
        <v>78</v>
      </c>
      <c r="C447" s="18">
        <v>1</v>
      </c>
      <c r="D447" s="18">
        <v>28</v>
      </c>
      <c r="E447" s="18">
        <v>30</v>
      </c>
      <c r="F447" s="18">
        <v>-13</v>
      </c>
      <c r="G447" s="18">
        <v>5</v>
      </c>
      <c r="H447" s="18">
        <v>0</v>
      </c>
      <c r="I447" s="18">
        <v>16</v>
      </c>
      <c r="J447" s="18">
        <v>84</v>
      </c>
      <c r="M447" t="s">
        <v>1603</v>
      </c>
      <c r="N447" t="s">
        <v>1604</v>
      </c>
      <c r="O447" t="str">
        <f t="shared" si="16"/>
        <v>Ben Hutton</v>
      </c>
      <c r="P447" s="18">
        <v>30</v>
      </c>
    </row>
    <row r="448" spans="1:17" ht="30" x14ac:dyDescent="0.25">
      <c r="A448" s="19" t="s">
        <v>1165</v>
      </c>
      <c r="B448" s="20">
        <v>78</v>
      </c>
      <c r="C448" s="20">
        <v>3</v>
      </c>
      <c r="D448" s="20">
        <v>16</v>
      </c>
      <c r="E448" s="20">
        <v>20</v>
      </c>
      <c r="F448" s="20">
        <v>-5</v>
      </c>
      <c r="G448" s="20">
        <v>0</v>
      </c>
      <c r="H448" s="20">
        <v>0</v>
      </c>
      <c r="I448" s="20">
        <v>80</v>
      </c>
      <c r="J448" s="20">
        <v>81</v>
      </c>
      <c r="M448" t="s">
        <v>312</v>
      </c>
      <c r="N448" t="s">
        <v>429</v>
      </c>
      <c r="O448" t="str">
        <f t="shared" si="16"/>
        <v>Brendan Smith</v>
      </c>
      <c r="P448" s="20">
        <v>20</v>
      </c>
    </row>
    <row r="449" spans="1:16" ht="45" x14ac:dyDescent="0.25">
      <c r="A449" s="17" t="s">
        <v>1166</v>
      </c>
      <c r="B449" s="18">
        <v>78</v>
      </c>
      <c r="C449" s="18">
        <v>0</v>
      </c>
      <c r="D449" s="18">
        <v>11</v>
      </c>
      <c r="E449" s="18">
        <v>11</v>
      </c>
      <c r="F449" s="18">
        <v>20</v>
      </c>
      <c r="G449" s="18">
        <v>0</v>
      </c>
      <c r="H449" s="18">
        <v>0</v>
      </c>
      <c r="I449" s="18">
        <v>103</v>
      </c>
      <c r="J449" s="18">
        <v>81</v>
      </c>
      <c r="M449" t="s">
        <v>339</v>
      </c>
      <c r="N449" t="s">
        <v>1605</v>
      </c>
      <c r="O449" t="str">
        <f t="shared" si="16"/>
        <v>Adam McQuaid</v>
      </c>
      <c r="P449" s="18">
        <v>11</v>
      </c>
    </row>
    <row r="450" spans="1:16" ht="30" x14ac:dyDescent="0.25">
      <c r="A450" s="19" t="s">
        <v>1167</v>
      </c>
      <c r="B450" s="20">
        <v>78</v>
      </c>
      <c r="C450" s="20">
        <v>6</v>
      </c>
      <c r="D450" s="20">
        <v>9</v>
      </c>
      <c r="E450" s="20">
        <v>15</v>
      </c>
      <c r="F450" s="20">
        <v>15</v>
      </c>
      <c r="G450" s="20">
        <v>0</v>
      </c>
      <c r="H450" s="20">
        <v>0</v>
      </c>
      <c r="I450" s="20">
        <v>41</v>
      </c>
      <c r="J450" s="20">
        <v>80</v>
      </c>
      <c r="M450" t="s">
        <v>1606</v>
      </c>
      <c r="N450" t="s">
        <v>1607</v>
      </c>
      <c r="O450" t="str">
        <f t="shared" ref="O450:O511" si="17">M450&amp;" "&amp;N450</f>
        <v>Marc Methot</v>
      </c>
      <c r="P450" s="20">
        <v>15</v>
      </c>
    </row>
    <row r="451" spans="1:16" ht="30" x14ac:dyDescent="0.25">
      <c r="A451" s="17" t="s">
        <v>1168</v>
      </c>
      <c r="B451" s="18">
        <v>78</v>
      </c>
      <c r="C451" s="18">
        <v>1</v>
      </c>
      <c r="D451" s="18">
        <v>11</v>
      </c>
      <c r="E451" s="18">
        <v>13</v>
      </c>
      <c r="F451" s="18">
        <v>6</v>
      </c>
      <c r="G451" s="18">
        <v>0</v>
      </c>
      <c r="H451" s="18">
        <v>0</v>
      </c>
      <c r="I451" s="18">
        <v>89</v>
      </c>
      <c r="J451" s="18">
        <v>80</v>
      </c>
      <c r="M451" t="s">
        <v>288</v>
      </c>
      <c r="N451" t="s">
        <v>1608</v>
      </c>
      <c r="O451" t="str">
        <f t="shared" si="17"/>
        <v>Brayden McNabb</v>
      </c>
      <c r="P451" s="18">
        <v>13</v>
      </c>
    </row>
    <row r="452" spans="1:16" ht="30" x14ac:dyDescent="0.25">
      <c r="A452" s="19" t="s">
        <v>1169</v>
      </c>
      <c r="B452" s="20">
        <v>78</v>
      </c>
      <c r="C452" s="20">
        <v>3</v>
      </c>
      <c r="D452" s="20">
        <v>19</v>
      </c>
      <c r="E452" s="20">
        <v>22</v>
      </c>
      <c r="F452" s="20">
        <v>-7</v>
      </c>
      <c r="G452" s="20">
        <v>0</v>
      </c>
      <c r="H452" s="20">
        <v>0</v>
      </c>
      <c r="I452" s="20">
        <v>100</v>
      </c>
      <c r="J452" s="20">
        <v>79</v>
      </c>
      <c r="M452" t="s">
        <v>233</v>
      </c>
      <c r="N452" t="s">
        <v>1609</v>
      </c>
      <c r="O452" t="str">
        <f t="shared" si="17"/>
        <v>Alex Petrovic</v>
      </c>
      <c r="P452" s="20">
        <v>22</v>
      </c>
    </row>
    <row r="453" spans="1:16" ht="45" x14ac:dyDescent="0.25">
      <c r="A453" s="17" t="s">
        <v>1170</v>
      </c>
      <c r="B453" s="18">
        <v>78</v>
      </c>
      <c r="C453" s="18">
        <v>7</v>
      </c>
      <c r="D453" s="18">
        <v>14</v>
      </c>
      <c r="E453" s="18">
        <v>22</v>
      </c>
      <c r="F453" s="18">
        <v>-1</v>
      </c>
      <c r="G453" s="18">
        <v>0</v>
      </c>
      <c r="H453" s="18">
        <v>0</v>
      </c>
      <c r="I453" s="18">
        <v>44</v>
      </c>
      <c r="J453" s="18">
        <v>78</v>
      </c>
      <c r="M453" t="s">
        <v>1610</v>
      </c>
      <c r="N453" t="s">
        <v>1611</v>
      </c>
      <c r="O453" t="str">
        <f t="shared" si="17"/>
        <v>Danny DeKeyser</v>
      </c>
      <c r="P453" s="18">
        <v>22</v>
      </c>
    </row>
    <row r="454" spans="1:16" ht="30" x14ac:dyDescent="0.25">
      <c r="A454" s="19" t="s">
        <v>1171</v>
      </c>
      <c r="B454" s="20">
        <v>78</v>
      </c>
      <c r="C454" s="20">
        <v>0</v>
      </c>
      <c r="D454" s="20">
        <v>10</v>
      </c>
      <c r="E454" s="20">
        <v>11</v>
      </c>
      <c r="F454" s="20">
        <v>21</v>
      </c>
      <c r="G454" s="20">
        <v>0</v>
      </c>
      <c r="H454" s="20">
        <v>0</v>
      </c>
      <c r="I454" s="20">
        <v>52</v>
      </c>
      <c r="J454" s="20">
        <v>77</v>
      </c>
      <c r="M454" t="s">
        <v>1612</v>
      </c>
      <c r="N454" t="s">
        <v>1613</v>
      </c>
      <c r="O454" t="str">
        <f t="shared" si="17"/>
        <v>Braydon Coburn</v>
      </c>
      <c r="P454" s="20">
        <v>11</v>
      </c>
    </row>
    <row r="455" spans="1:16" ht="30" x14ac:dyDescent="0.25">
      <c r="A455" s="17" t="s">
        <v>1172</v>
      </c>
      <c r="B455" s="18">
        <v>78</v>
      </c>
      <c r="C455" s="18">
        <v>2</v>
      </c>
      <c r="D455" s="18">
        <v>16</v>
      </c>
      <c r="E455" s="18">
        <v>18</v>
      </c>
      <c r="F455" s="18">
        <v>14</v>
      </c>
      <c r="G455" s="18">
        <v>0</v>
      </c>
      <c r="H455" s="18">
        <v>0</v>
      </c>
      <c r="I455" s="18">
        <v>24</v>
      </c>
      <c r="J455" s="18">
        <v>77</v>
      </c>
      <c r="M455" t="s">
        <v>1539</v>
      </c>
      <c r="N455" t="s">
        <v>1614</v>
      </c>
      <c r="O455" t="str">
        <f t="shared" si="17"/>
        <v>Dan Girardi</v>
      </c>
      <c r="P455" s="18">
        <v>18</v>
      </c>
    </row>
    <row r="456" spans="1:16" ht="45" x14ac:dyDescent="0.25">
      <c r="A456" s="19" t="s">
        <v>1173</v>
      </c>
      <c r="B456" s="20">
        <v>78</v>
      </c>
      <c r="C456" s="20">
        <v>5</v>
      </c>
      <c r="D456" s="20">
        <v>16</v>
      </c>
      <c r="E456" s="20">
        <v>21</v>
      </c>
      <c r="F456" s="20">
        <v>4</v>
      </c>
      <c r="G456" s="20">
        <v>2</v>
      </c>
      <c r="H456" s="20">
        <v>0</v>
      </c>
      <c r="I456" s="20">
        <v>20</v>
      </c>
      <c r="J456" s="20">
        <v>76</v>
      </c>
      <c r="M456" t="s">
        <v>310</v>
      </c>
      <c r="N456" t="s">
        <v>1615</v>
      </c>
      <c r="O456" t="str">
        <f t="shared" si="17"/>
        <v>Andrew MacDonald</v>
      </c>
      <c r="P456" s="20">
        <v>21</v>
      </c>
    </row>
    <row r="457" spans="1:16" ht="30" x14ac:dyDescent="0.25">
      <c r="A457" s="17" t="s">
        <v>1174</v>
      </c>
      <c r="B457" s="18">
        <v>78</v>
      </c>
      <c r="C457" s="18">
        <v>2</v>
      </c>
      <c r="D457" s="18">
        <v>17</v>
      </c>
      <c r="E457" s="18">
        <v>19</v>
      </c>
      <c r="F457" s="18">
        <v>14</v>
      </c>
      <c r="G457" s="18">
        <v>1</v>
      </c>
      <c r="H457" s="18">
        <v>0</v>
      </c>
      <c r="I457" s="18">
        <v>24</v>
      </c>
      <c r="J457" s="18">
        <v>76</v>
      </c>
      <c r="M457" t="s">
        <v>341</v>
      </c>
      <c r="N457" t="s">
        <v>367</v>
      </c>
      <c r="O457" t="str">
        <f t="shared" si="17"/>
        <v>Paul Martin</v>
      </c>
      <c r="P457" s="18">
        <v>19</v>
      </c>
    </row>
    <row r="458" spans="1:16" ht="30" x14ac:dyDescent="0.25">
      <c r="A458" s="19" t="s">
        <v>1175</v>
      </c>
      <c r="B458" s="20">
        <v>78</v>
      </c>
      <c r="C458" s="20">
        <v>1</v>
      </c>
      <c r="D458" s="20">
        <v>10</v>
      </c>
      <c r="E458" s="20">
        <v>12</v>
      </c>
      <c r="F458" s="20">
        <v>4</v>
      </c>
      <c r="G458" s="20">
        <v>0</v>
      </c>
      <c r="H458" s="20">
        <v>0</v>
      </c>
      <c r="I458" s="20">
        <v>95</v>
      </c>
      <c r="J458" s="20">
        <v>76</v>
      </c>
      <c r="M458" t="s">
        <v>303</v>
      </c>
      <c r="N458" t="s">
        <v>1616</v>
      </c>
      <c r="O458" t="str">
        <f t="shared" si="17"/>
        <v>Brandon Manning</v>
      </c>
      <c r="P458" s="20">
        <v>12</v>
      </c>
    </row>
    <row r="459" spans="1:16" ht="30" x14ac:dyDescent="0.25">
      <c r="A459" s="17" t="s">
        <v>1176</v>
      </c>
      <c r="B459" s="18">
        <v>78</v>
      </c>
      <c r="C459" s="18">
        <v>4</v>
      </c>
      <c r="D459" s="18">
        <v>20</v>
      </c>
      <c r="E459" s="18">
        <v>24</v>
      </c>
      <c r="F459" s="18">
        <v>-17</v>
      </c>
      <c r="G459" s="18">
        <v>6</v>
      </c>
      <c r="H459" s="18">
        <v>0</v>
      </c>
      <c r="I459" s="18">
        <v>37</v>
      </c>
      <c r="J459" s="18">
        <v>76</v>
      </c>
      <c r="M459" t="s">
        <v>188</v>
      </c>
      <c r="N459" t="s">
        <v>1617</v>
      </c>
      <c r="O459" t="str">
        <f t="shared" si="17"/>
        <v>Ryan Murray</v>
      </c>
      <c r="P459" s="18">
        <v>24</v>
      </c>
    </row>
    <row r="460" spans="1:16" ht="30" x14ac:dyDescent="0.25">
      <c r="A460" s="19" t="s">
        <v>1177</v>
      </c>
      <c r="B460" s="20">
        <v>78</v>
      </c>
      <c r="C460" s="20">
        <v>0</v>
      </c>
      <c r="D460" s="20">
        <v>13</v>
      </c>
      <c r="E460" s="20">
        <v>13</v>
      </c>
      <c r="F460" s="20">
        <v>7</v>
      </c>
      <c r="G460" s="20">
        <v>0</v>
      </c>
      <c r="H460" s="20">
        <v>0</v>
      </c>
      <c r="I460" s="20">
        <v>89</v>
      </c>
      <c r="J460" s="20">
        <v>74</v>
      </c>
      <c r="M460" t="s">
        <v>1618</v>
      </c>
      <c r="N460" t="s">
        <v>1619</v>
      </c>
      <c r="O460" t="str">
        <f t="shared" si="17"/>
        <v>Alexei Emelin</v>
      </c>
      <c r="P460" s="20">
        <v>13</v>
      </c>
    </row>
    <row r="461" spans="1:16" ht="30" x14ac:dyDescent="0.25">
      <c r="A461" s="17" t="s">
        <v>1178</v>
      </c>
      <c r="B461" s="18">
        <v>78</v>
      </c>
      <c r="C461" s="18">
        <v>2</v>
      </c>
      <c r="D461" s="18">
        <v>15</v>
      </c>
      <c r="E461" s="18">
        <v>17</v>
      </c>
      <c r="F461" s="18">
        <v>10</v>
      </c>
      <c r="G461" s="18">
        <v>0</v>
      </c>
      <c r="H461" s="18">
        <v>0</v>
      </c>
      <c r="I461" s="18">
        <v>43</v>
      </c>
      <c r="J461" s="18">
        <v>74</v>
      </c>
      <c r="M461" t="s">
        <v>1606</v>
      </c>
      <c r="N461" t="s">
        <v>373</v>
      </c>
      <c r="O461" t="str">
        <f t="shared" si="17"/>
        <v>Marc Staal</v>
      </c>
      <c r="P461" s="18">
        <v>17</v>
      </c>
    </row>
    <row r="462" spans="1:16" ht="45" x14ac:dyDescent="0.25">
      <c r="A462" s="19" t="s">
        <v>1179</v>
      </c>
      <c r="B462" s="20">
        <v>78</v>
      </c>
      <c r="C462" s="20">
        <v>6</v>
      </c>
      <c r="D462" s="20">
        <v>16</v>
      </c>
      <c r="E462" s="20">
        <v>23</v>
      </c>
      <c r="F462" s="20">
        <v>-23</v>
      </c>
      <c r="G462" s="20">
        <v>2</v>
      </c>
      <c r="H462" s="20">
        <v>0</v>
      </c>
      <c r="I462" s="20">
        <v>37</v>
      </c>
      <c r="J462" s="20">
        <v>73</v>
      </c>
      <c r="M462" t="s">
        <v>1620</v>
      </c>
      <c r="N462" t="s">
        <v>1621</v>
      </c>
      <c r="O462" t="str">
        <f t="shared" si="17"/>
        <v>Marco Scandella</v>
      </c>
      <c r="P462" s="20">
        <v>23</v>
      </c>
    </row>
    <row r="463" spans="1:16" ht="30" x14ac:dyDescent="0.25">
      <c r="A463" s="17" t="s">
        <v>1180</v>
      </c>
      <c r="B463" s="18">
        <v>78</v>
      </c>
      <c r="C463" s="18">
        <v>1</v>
      </c>
      <c r="D463" s="18">
        <v>9</v>
      </c>
      <c r="E463" s="18">
        <v>10</v>
      </c>
      <c r="F463" s="18">
        <v>11</v>
      </c>
      <c r="G463" s="18">
        <v>0</v>
      </c>
      <c r="H463" s="18">
        <v>0</v>
      </c>
      <c r="I463" s="18">
        <v>63</v>
      </c>
      <c r="J463" s="18">
        <v>72</v>
      </c>
      <c r="M463" t="s">
        <v>1622</v>
      </c>
      <c r="N463" t="s">
        <v>1623</v>
      </c>
      <c r="O463" t="str">
        <f t="shared" si="17"/>
        <v>Brenden Dillon</v>
      </c>
      <c r="P463" s="18">
        <v>10</v>
      </c>
    </row>
    <row r="464" spans="1:16" ht="45" x14ac:dyDescent="0.25">
      <c r="A464" s="19" t="s">
        <v>1181</v>
      </c>
      <c r="B464" s="20">
        <v>78</v>
      </c>
      <c r="C464" s="20">
        <v>3</v>
      </c>
      <c r="D464" s="20">
        <v>9</v>
      </c>
      <c r="E464" s="20">
        <v>13</v>
      </c>
      <c r="F464" s="20">
        <v>8</v>
      </c>
      <c r="G464" s="20">
        <v>0</v>
      </c>
      <c r="H464" s="20">
        <v>0</v>
      </c>
      <c r="I464" s="20">
        <v>64</v>
      </c>
      <c r="J464" s="20">
        <v>71</v>
      </c>
      <c r="M464" t="s">
        <v>1624</v>
      </c>
      <c r="N464" t="s">
        <v>1625</v>
      </c>
      <c r="O464" t="str">
        <f t="shared" si="17"/>
        <v>Deryk Engelland</v>
      </c>
      <c r="P464" s="20">
        <v>13</v>
      </c>
    </row>
    <row r="465" spans="1:17" ht="30" x14ac:dyDescent="0.25">
      <c r="A465" s="17" t="s">
        <v>1182</v>
      </c>
      <c r="B465" s="18">
        <v>78</v>
      </c>
      <c r="C465" s="18">
        <v>2</v>
      </c>
      <c r="D465" s="18">
        <v>13</v>
      </c>
      <c r="E465" s="18">
        <v>16</v>
      </c>
      <c r="F465" s="18">
        <v>3</v>
      </c>
      <c r="G465" s="18">
        <v>2</v>
      </c>
      <c r="H465" s="18">
        <v>0</v>
      </c>
      <c r="I465" s="18">
        <v>7</v>
      </c>
      <c r="J465" s="18">
        <v>67</v>
      </c>
      <c r="M465" t="s">
        <v>168</v>
      </c>
      <c r="N465" t="s">
        <v>1626</v>
      </c>
      <c r="O465" t="str">
        <f t="shared" si="17"/>
        <v>Joe Morrow</v>
      </c>
      <c r="P465" s="18">
        <v>16</v>
      </c>
    </row>
    <row r="466" spans="1:17" ht="30" x14ac:dyDescent="0.25">
      <c r="A466" s="19" t="s">
        <v>1183</v>
      </c>
      <c r="B466" s="20">
        <v>78</v>
      </c>
      <c r="C466" s="20">
        <v>3</v>
      </c>
      <c r="D466" s="20">
        <v>6</v>
      </c>
      <c r="E466" s="20">
        <v>9</v>
      </c>
      <c r="F466" s="20">
        <v>20</v>
      </c>
      <c r="G466" s="20">
        <v>0</v>
      </c>
      <c r="H466" s="20">
        <v>0</v>
      </c>
      <c r="I466" s="20">
        <v>44</v>
      </c>
      <c r="J466" s="20">
        <v>67</v>
      </c>
      <c r="M466" t="s">
        <v>1323</v>
      </c>
      <c r="N466" t="s">
        <v>1627</v>
      </c>
      <c r="O466" t="str">
        <f t="shared" si="17"/>
        <v>Stephen Johns</v>
      </c>
      <c r="P466" s="20">
        <v>9</v>
      </c>
    </row>
    <row r="467" spans="1:17" ht="30" x14ac:dyDescent="0.25">
      <c r="A467" s="17" t="s">
        <v>1184</v>
      </c>
      <c r="B467" s="18">
        <v>78</v>
      </c>
      <c r="C467" s="18">
        <v>2</v>
      </c>
      <c r="D467" s="18">
        <v>16</v>
      </c>
      <c r="E467" s="18">
        <v>18</v>
      </c>
      <c r="F467" s="18">
        <v>0</v>
      </c>
      <c r="G467" s="18">
        <v>0</v>
      </c>
      <c r="H467" s="18">
        <v>0</v>
      </c>
      <c r="I467" s="18">
        <v>23</v>
      </c>
      <c r="J467" s="18">
        <v>67</v>
      </c>
      <c r="M467" t="s">
        <v>1628</v>
      </c>
      <c r="N467" t="s">
        <v>1629</v>
      </c>
      <c r="O467" t="str">
        <f t="shared" si="17"/>
        <v>Calvin de</v>
      </c>
      <c r="P467" s="18">
        <v>18</v>
      </c>
      <c r="Q467" t="s">
        <v>1229</v>
      </c>
    </row>
    <row r="468" spans="1:17" ht="30" x14ac:dyDescent="0.25">
      <c r="A468" s="19" t="s">
        <v>1185</v>
      </c>
      <c r="B468" s="20">
        <v>78</v>
      </c>
      <c r="C468" s="20">
        <v>6</v>
      </c>
      <c r="D468" s="20">
        <v>22</v>
      </c>
      <c r="E468" s="20">
        <v>29</v>
      </c>
      <c r="F468" s="20">
        <v>-40</v>
      </c>
      <c r="G468" s="20">
        <v>1</v>
      </c>
      <c r="H468" s="20">
        <v>0</v>
      </c>
      <c r="I468" s="20">
        <v>42</v>
      </c>
      <c r="J468" s="20">
        <v>65</v>
      </c>
      <c r="M468" t="s">
        <v>233</v>
      </c>
      <c r="N468" t="s">
        <v>1630</v>
      </c>
      <c r="O468" t="str">
        <f t="shared" si="17"/>
        <v>Alex Goligoski</v>
      </c>
      <c r="P468" s="20">
        <v>29</v>
      </c>
    </row>
    <row r="469" spans="1:17" ht="30" x14ac:dyDescent="0.25">
      <c r="A469" s="17" t="s">
        <v>1186</v>
      </c>
      <c r="B469" s="18">
        <v>78</v>
      </c>
      <c r="C469" s="18">
        <v>2</v>
      </c>
      <c r="D469" s="18">
        <v>9</v>
      </c>
      <c r="E469" s="18">
        <v>11</v>
      </c>
      <c r="F469" s="18">
        <v>15</v>
      </c>
      <c r="G469" s="18">
        <v>0</v>
      </c>
      <c r="H469" s="18">
        <v>0</v>
      </c>
      <c r="I469" s="18">
        <v>48</v>
      </c>
      <c r="J469" s="18">
        <v>65</v>
      </c>
      <c r="M469" t="s">
        <v>390</v>
      </c>
      <c r="N469" t="s">
        <v>1631</v>
      </c>
      <c r="O469" t="str">
        <f t="shared" si="17"/>
        <v>Anthony Bitetto</v>
      </c>
      <c r="P469" s="18">
        <v>11</v>
      </c>
    </row>
    <row r="470" spans="1:17" ht="30" x14ac:dyDescent="0.25">
      <c r="A470" s="19" t="s">
        <v>1187</v>
      </c>
      <c r="B470" s="20">
        <v>78</v>
      </c>
      <c r="C470" s="20">
        <v>0</v>
      </c>
      <c r="D470" s="20">
        <v>13</v>
      </c>
      <c r="E470" s="20">
        <v>13</v>
      </c>
      <c r="F470" s="20">
        <v>24</v>
      </c>
      <c r="G470" s="20">
        <v>0</v>
      </c>
      <c r="H470" s="20">
        <v>0</v>
      </c>
      <c r="I470" s="20">
        <v>17</v>
      </c>
      <c r="J470" s="20">
        <v>65</v>
      </c>
      <c r="M470" t="s">
        <v>1632</v>
      </c>
      <c r="N470" t="s">
        <v>1633</v>
      </c>
      <c r="O470" t="str">
        <f t="shared" si="17"/>
        <v>Rob Scuderi</v>
      </c>
      <c r="P470" s="20">
        <v>13</v>
      </c>
    </row>
    <row r="471" spans="1:17" ht="30" x14ac:dyDescent="0.25">
      <c r="A471" s="17" t="s">
        <v>1188</v>
      </c>
      <c r="B471" s="18">
        <v>78</v>
      </c>
      <c r="C471" s="18">
        <v>3</v>
      </c>
      <c r="D471" s="18">
        <v>14</v>
      </c>
      <c r="E471" s="18">
        <v>17</v>
      </c>
      <c r="F471" s="18">
        <v>-5</v>
      </c>
      <c r="G471" s="18">
        <v>0</v>
      </c>
      <c r="H471" s="18">
        <v>0</v>
      </c>
      <c r="I471" s="18">
        <v>57</v>
      </c>
      <c r="J471" s="18">
        <v>63</v>
      </c>
      <c r="M471" t="s">
        <v>218</v>
      </c>
      <c r="N471" t="s">
        <v>1634</v>
      </c>
      <c r="O471" t="str">
        <f t="shared" si="17"/>
        <v>Jonathan Ericsson</v>
      </c>
      <c r="P471" s="18">
        <v>17</v>
      </c>
    </row>
    <row r="472" spans="1:17" ht="45" x14ac:dyDescent="0.25">
      <c r="A472" s="19" t="s">
        <v>1189</v>
      </c>
      <c r="B472" s="20">
        <v>78</v>
      </c>
      <c r="C472" s="20">
        <v>3</v>
      </c>
      <c r="D472" s="20">
        <v>7</v>
      </c>
      <c r="E472" s="20">
        <v>10</v>
      </c>
      <c r="F472" s="20">
        <v>17</v>
      </c>
      <c r="G472" s="20">
        <v>0</v>
      </c>
      <c r="H472" s="20">
        <v>0</v>
      </c>
      <c r="I472" s="20">
        <v>37</v>
      </c>
      <c r="J472" s="20">
        <v>62</v>
      </c>
      <c r="M472" t="s">
        <v>333</v>
      </c>
      <c r="N472" t="s">
        <v>1635</v>
      </c>
      <c r="O472" t="str">
        <f t="shared" si="17"/>
        <v>Carl Gunnarsson</v>
      </c>
      <c r="P472" s="20">
        <v>10</v>
      </c>
    </row>
    <row r="473" spans="1:17" ht="45" x14ac:dyDescent="0.25">
      <c r="A473" s="17" t="s">
        <v>1190</v>
      </c>
      <c r="B473" s="18">
        <v>78</v>
      </c>
      <c r="C473" s="18">
        <v>2</v>
      </c>
      <c r="D473" s="18">
        <v>16</v>
      </c>
      <c r="E473" s="18">
        <v>19</v>
      </c>
      <c r="F473" s="18">
        <v>-2</v>
      </c>
      <c r="G473" s="18">
        <v>0</v>
      </c>
      <c r="H473" s="18">
        <v>0</v>
      </c>
      <c r="I473" s="18">
        <v>44</v>
      </c>
      <c r="J473" s="18">
        <v>62</v>
      </c>
      <c r="M473" t="s">
        <v>1636</v>
      </c>
      <c r="N473" t="s">
        <v>1637</v>
      </c>
      <c r="O473" t="str">
        <f t="shared" si="17"/>
        <v>Toby Enstrom</v>
      </c>
      <c r="P473" s="18">
        <v>19</v>
      </c>
    </row>
    <row r="474" spans="1:17" ht="30" x14ac:dyDescent="0.25">
      <c r="A474" s="19" t="s">
        <v>1191</v>
      </c>
      <c r="B474" s="20">
        <v>78</v>
      </c>
      <c r="C474" s="20">
        <v>3</v>
      </c>
      <c r="D474" s="20">
        <v>3</v>
      </c>
      <c r="E474" s="20">
        <v>7</v>
      </c>
      <c r="F474" s="20">
        <v>12</v>
      </c>
      <c r="G474" s="20">
        <v>2</v>
      </c>
      <c r="H474" s="20">
        <v>0</v>
      </c>
      <c r="I474" s="20">
        <v>28</v>
      </c>
      <c r="J474" s="20">
        <v>62</v>
      </c>
      <c r="M474" t="s">
        <v>286</v>
      </c>
      <c r="N474" t="s">
        <v>1638</v>
      </c>
      <c r="O474" t="str">
        <f t="shared" si="17"/>
        <v>Dylan DeMelo</v>
      </c>
      <c r="P474" s="20">
        <v>7</v>
      </c>
    </row>
    <row r="475" spans="1:17" ht="30" x14ac:dyDescent="0.25">
      <c r="A475" s="17" t="s">
        <v>1192</v>
      </c>
      <c r="B475" s="18">
        <v>78</v>
      </c>
      <c r="C475" s="18">
        <v>1</v>
      </c>
      <c r="D475" s="18">
        <v>16</v>
      </c>
      <c r="E475" s="18">
        <v>18</v>
      </c>
      <c r="F475" s="18">
        <v>-2</v>
      </c>
      <c r="G475" s="18">
        <v>0</v>
      </c>
      <c r="H475" s="18">
        <v>0</v>
      </c>
      <c r="I475" s="18">
        <v>44</v>
      </c>
      <c r="J475" s="18">
        <v>62</v>
      </c>
      <c r="M475" t="s">
        <v>196</v>
      </c>
      <c r="N475" t="s">
        <v>1639</v>
      </c>
      <c r="O475" t="str">
        <f t="shared" si="17"/>
        <v>Mark Pysyk</v>
      </c>
      <c r="P475" s="18">
        <v>18</v>
      </c>
    </row>
    <row r="476" spans="1:17" ht="45" x14ac:dyDescent="0.25">
      <c r="A476" s="19" t="s">
        <v>1193</v>
      </c>
      <c r="B476" s="20">
        <v>78</v>
      </c>
      <c r="C476" s="20">
        <v>1</v>
      </c>
      <c r="D476" s="20">
        <v>7</v>
      </c>
      <c r="E476" s="20">
        <v>9</v>
      </c>
      <c r="F476" s="20">
        <v>24</v>
      </c>
      <c r="G476" s="20">
        <v>0</v>
      </c>
      <c r="H476" s="20">
        <v>0</v>
      </c>
      <c r="I476" s="20">
        <v>34</v>
      </c>
      <c r="J476" s="20">
        <v>61</v>
      </c>
      <c r="M476" t="s">
        <v>224</v>
      </c>
      <c r="N476" t="s">
        <v>1640</v>
      </c>
      <c r="O476" t="str">
        <f t="shared" si="17"/>
        <v>Taylor Chorney</v>
      </c>
      <c r="P476" s="20">
        <v>9</v>
      </c>
    </row>
    <row r="477" spans="1:17" ht="30" x14ac:dyDescent="0.25">
      <c r="A477" s="17" t="s">
        <v>1194</v>
      </c>
      <c r="B477" s="18">
        <v>78</v>
      </c>
      <c r="C477" s="18">
        <v>4</v>
      </c>
      <c r="D477" s="18">
        <v>17</v>
      </c>
      <c r="E477" s="18">
        <v>21</v>
      </c>
      <c r="F477" s="18">
        <v>-32</v>
      </c>
      <c r="G477" s="18">
        <v>4</v>
      </c>
      <c r="H477" s="18">
        <v>0</v>
      </c>
      <c r="I477" s="18">
        <v>27</v>
      </c>
      <c r="J477" s="18">
        <v>60</v>
      </c>
      <c r="M477" t="s">
        <v>1641</v>
      </c>
      <c r="N477" t="s">
        <v>1642</v>
      </c>
      <c r="O477" t="str">
        <f t="shared" si="17"/>
        <v>Noah Hanifin</v>
      </c>
      <c r="P477" s="18">
        <v>21</v>
      </c>
    </row>
    <row r="478" spans="1:17" ht="30" x14ac:dyDescent="0.25">
      <c r="A478" s="19" t="s">
        <v>1195</v>
      </c>
      <c r="B478" s="20">
        <v>78</v>
      </c>
      <c r="C478" s="20">
        <v>3</v>
      </c>
      <c r="D478" s="20">
        <v>10</v>
      </c>
      <c r="E478" s="20">
        <v>13</v>
      </c>
      <c r="F478" s="20">
        <v>-6</v>
      </c>
      <c r="G478" s="20">
        <v>1</v>
      </c>
      <c r="H478" s="20">
        <v>0</v>
      </c>
      <c r="I478" s="20">
        <v>35</v>
      </c>
      <c r="J478" s="20">
        <v>60</v>
      </c>
      <c r="M478" t="s">
        <v>212</v>
      </c>
      <c r="N478" t="s">
        <v>1643</v>
      </c>
      <c r="O478" t="str">
        <f t="shared" si="17"/>
        <v>Jakub Kindl</v>
      </c>
      <c r="P478" s="20">
        <v>13</v>
      </c>
    </row>
    <row r="479" spans="1:17" ht="30" x14ac:dyDescent="0.25">
      <c r="A479" s="17" t="s">
        <v>1196</v>
      </c>
      <c r="B479" s="18">
        <v>78</v>
      </c>
      <c r="C479" s="18">
        <v>4</v>
      </c>
      <c r="D479" s="18">
        <v>18</v>
      </c>
      <c r="E479" s="18">
        <v>23</v>
      </c>
      <c r="F479" s="18">
        <v>-27</v>
      </c>
      <c r="G479" s="18">
        <v>3</v>
      </c>
      <c r="H479" s="18">
        <v>0</v>
      </c>
      <c r="I479" s="18">
        <v>30</v>
      </c>
      <c r="J479" s="18">
        <v>59</v>
      </c>
      <c r="M479" t="s">
        <v>170</v>
      </c>
      <c r="N479" t="s">
        <v>1644</v>
      </c>
      <c r="O479" t="str">
        <f t="shared" si="17"/>
        <v>John Moore</v>
      </c>
      <c r="P479" s="18">
        <v>23</v>
      </c>
    </row>
    <row r="480" spans="1:17" ht="30" x14ac:dyDescent="0.25">
      <c r="A480" s="19" t="s">
        <v>1197</v>
      </c>
      <c r="B480" s="20">
        <v>78</v>
      </c>
      <c r="C480" s="20">
        <v>3</v>
      </c>
      <c r="D480" s="20">
        <v>7</v>
      </c>
      <c r="E480" s="20">
        <v>11</v>
      </c>
      <c r="F480" s="20">
        <v>-17</v>
      </c>
      <c r="G480" s="20">
        <v>0</v>
      </c>
      <c r="H480" s="20">
        <v>0</v>
      </c>
      <c r="I480" s="20">
        <v>120</v>
      </c>
      <c r="J480" s="20">
        <v>55</v>
      </c>
      <c r="M480" t="s">
        <v>1645</v>
      </c>
      <c r="N480" t="s">
        <v>1646</v>
      </c>
      <c r="O480" t="str">
        <f t="shared" si="17"/>
        <v>Dalton Prout</v>
      </c>
      <c r="P480" s="20">
        <v>11</v>
      </c>
    </row>
    <row r="481" spans="1:16" ht="30" x14ac:dyDescent="0.25">
      <c r="A481" s="17" t="s">
        <v>1198</v>
      </c>
      <c r="B481" s="18">
        <v>78</v>
      </c>
      <c r="C481" s="18">
        <v>2</v>
      </c>
      <c r="D481" s="18">
        <v>10</v>
      </c>
      <c r="E481" s="18">
        <v>13</v>
      </c>
      <c r="F481" s="18">
        <v>-12</v>
      </c>
      <c r="G481" s="18">
        <v>1</v>
      </c>
      <c r="H481" s="18">
        <v>0</v>
      </c>
      <c r="I481" s="18">
        <v>60</v>
      </c>
      <c r="J481" s="18">
        <v>53</v>
      </c>
      <c r="M481" t="s">
        <v>1259</v>
      </c>
      <c r="N481" t="s">
        <v>1647</v>
      </c>
      <c r="O481" t="str">
        <f t="shared" si="17"/>
        <v>Frank Corrado</v>
      </c>
      <c r="P481" s="18">
        <v>13</v>
      </c>
    </row>
    <row r="482" spans="1:16" ht="30" x14ac:dyDescent="0.25">
      <c r="A482" s="19" t="s">
        <v>1199</v>
      </c>
      <c r="B482" s="20">
        <v>78</v>
      </c>
      <c r="C482" s="20">
        <v>6</v>
      </c>
      <c r="D482" s="20">
        <v>10</v>
      </c>
      <c r="E482" s="20">
        <v>17</v>
      </c>
      <c r="F482" s="20">
        <v>-20</v>
      </c>
      <c r="G482" s="20">
        <v>1</v>
      </c>
      <c r="H482" s="20">
        <v>0</v>
      </c>
      <c r="I482" s="20">
        <v>42</v>
      </c>
      <c r="J482" s="20">
        <v>53</v>
      </c>
      <c r="M482" t="s">
        <v>160</v>
      </c>
      <c r="N482" t="s">
        <v>1648</v>
      </c>
      <c r="O482" t="str">
        <f t="shared" si="17"/>
        <v>Connor Murphy</v>
      </c>
      <c r="P482" s="20">
        <v>17</v>
      </c>
    </row>
    <row r="483" spans="1:16" ht="30" x14ac:dyDescent="0.25">
      <c r="A483" s="17" t="s">
        <v>1200</v>
      </c>
      <c r="B483" s="18">
        <v>78</v>
      </c>
      <c r="C483" s="18">
        <v>3</v>
      </c>
      <c r="D483" s="18">
        <v>16</v>
      </c>
      <c r="E483" s="18">
        <v>20</v>
      </c>
      <c r="F483" s="18">
        <v>-23</v>
      </c>
      <c r="G483" s="18">
        <v>0</v>
      </c>
      <c r="H483" s="18">
        <v>0</v>
      </c>
      <c r="I483" s="18">
        <v>77</v>
      </c>
      <c r="J483" s="18">
        <v>53</v>
      </c>
      <c r="M483" t="s">
        <v>339</v>
      </c>
      <c r="N483" t="s">
        <v>1510</v>
      </c>
      <c r="O483" t="str">
        <f t="shared" si="17"/>
        <v>Adam Larsson</v>
      </c>
      <c r="P483" s="18">
        <v>20</v>
      </c>
    </row>
    <row r="484" spans="1:16" ht="30" x14ac:dyDescent="0.25">
      <c r="A484" s="19" t="s">
        <v>1201</v>
      </c>
      <c r="B484" s="20">
        <v>78</v>
      </c>
      <c r="C484" s="20">
        <v>5</v>
      </c>
      <c r="D484" s="20">
        <v>17</v>
      </c>
      <c r="E484" s="20">
        <v>22</v>
      </c>
      <c r="F484" s="20">
        <v>-13</v>
      </c>
      <c r="G484" s="20">
        <v>2</v>
      </c>
      <c r="H484" s="20">
        <v>0</v>
      </c>
      <c r="I484" s="20">
        <v>10</v>
      </c>
      <c r="J484" s="20">
        <v>52</v>
      </c>
      <c r="M484" t="s">
        <v>419</v>
      </c>
      <c r="N484" t="s">
        <v>1649</v>
      </c>
      <c r="O484" t="str">
        <f t="shared" si="17"/>
        <v>Chris Tanev</v>
      </c>
      <c r="P484" s="20">
        <v>22</v>
      </c>
    </row>
    <row r="485" spans="1:16" ht="30" x14ac:dyDescent="0.25">
      <c r="A485" s="17" t="s">
        <v>1202</v>
      </c>
      <c r="B485" s="18">
        <v>78</v>
      </c>
      <c r="C485" s="18">
        <v>0</v>
      </c>
      <c r="D485" s="18">
        <v>9</v>
      </c>
      <c r="E485" s="18">
        <v>9</v>
      </c>
      <c r="F485" s="18">
        <v>7</v>
      </c>
      <c r="G485" s="18">
        <v>1</v>
      </c>
      <c r="H485" s="18">
        <v>0</v>
      </c>
      <c r="I485" s="18">
        <v>30</v>
      </c>
      <c r="J485" s="18">
        <v>51</v>
      </c>
      <c r="M485" t="s">
        <v>1650</v>
      </c>
      <c r="N485" t="s">
        <v>1651</v>
      </c>
      <c r="O485" t="str">
        <f t="shared" si="17"/>
        <v>Simon Despres</v>
      </c>
      <c r="P485" s="18">
        <v>9</v>
      </c>
    </row>
    <row r="486" spans="1:16" ht="30" x14ac:dyDescent="0.25">
      <c r="A486" s="19" t="s">
        <v>1203</v>
      </c>
      <c r="B486" s="20">
        <v>78</v>
      </c>
      <c r="C486" s="20">
        <v>5</v>
      </c>
      <c r="D486" s="20">
        <v>13</v>
      </c>
      <c r="E486" s="20">
        <v>18</v>
      </c>
      <c r="F486" s="20">
        <v>-32</v>
      </c>
      <c r="G486" s="20">
        <v>0</v>
      </c>
      <c r="H486" s="20">
        <v>0</v>
      </c>
      <c r="I486" s="20">
        <v>45</v>
      </c>
      <c r="J486" s="20">
        <v>51</v>
      </c>
      <c r="M486" t="s">
        <v>1652</v>
      </c>
      <c r="N486" t="s">
        <v>1653</v>
      </c>
      <c r="O486" t="str">
        <f t="shared" si="17"/>
        <v>Ron Hainsey</v>
      </c>
      <c r="P486" s="20">
        <v>18</v>
      </c>
    </row>
    <row r="487" spans="1:16" ht="30" x14ac:dyDescent="0.25">
      <c r="A487" s="17" t="s">
        <v>1204</v>
      </c>
      <c r="B487" s="18">
        <v>78</v>
      </c>
      <c r="C487" s="18">
        <v>2</v>
      </c>
      <c r="D487" s="18">
        <v>22</v>
      </c>
      <c r="E487" s="18">
        <v>24</v>
      </c>
      <c r="F487" s="18">
        <v>-34</v>
      </c>
      <c r="G487" s="18">
        <v>3</v>
      </c>
      <c r="H487" s="18">
        <v>0</v>
      </c>
      <c r="I487" s="18">
        <v>12</v>
      </c>
      <c r="J487" s="18">
        <v>50</v>
      </c>
      <c r="M487" t="s">
        <v>1654</v>
      </c>
      <c r="N487" t="s">
        <v>1655</v>
      </c>
      <c r="O487" t="str">
        <f t="shared" si="17"/>
        <v>Jaccob Slavin</v>
      </c>
      <c r="P487" s="18">
        <v>24</v>
      </c>
    </row>
    <row r="488" spans="1:16" ht="30" x14ac:dyDescent="0.25">
      <c r="A488" s="19" t="s">
        <v>1205</v>
      </c>
      <c r="B488" s="20">
        <v>78</v>
      </c>
      <c r="C488" s="20">
        <v>3</v>
      </c>
      <c r="D488" s="20">
        <v>5</v>
      </c>
      <c r="E488" s="20">
        <v>9</v>
      </c>
      <c r="F488" s="20">
        <v>6</v>
      </c>
      <c r="G488" s="20">
        <v>0</v>
      </c>
      <c r="H488" s="20">
        <v>0</v>
      </c>
      <c r="I488" s="20">
        <v>45</v>
      </c>
      <c r="J488" s="20">
        <v>49</v>
      </c>
      <c r="M488" t="s">
        <v>419</v>
      </c>
      <c r="N488" t="s">
        <v>1656</v>
      </c>
      <c r="O488" t="str">
        <f t="shared" si="17"/>
        <v>Chris Bigras</v>
      </c>
      <c r="P488" s="20">
        <v>9</v>
      </c>
    </row>
    <row r="489" spans="1:16" ht="30" x14ac:dyDescent="0.25">
      <c r="A489" s="17" t="s">
        <v>1206</v>
      </c>
      <c r="B489" s="18">
        <v>78</v>
      </c>
      <c r="C489" s="18">
        <v>1</v>
      </c>
      <c r="D489" s="18">
        <v>9</v>
      </c>
      <c r="E489" s="18">
        <v>10</v>
      </c>
      <c r="F489" s="18">
        <v>4</v>
      </c>
      <c r="G489" s="18">
        <v>0</v>
      </c>
      <c r="H489" s="18">
        <v>0</v>
      </c>
      <c r="I489" s="18">
        <v>39</v>
      </c>
      <c r="J489" s="18">
        <v>49</v>
      </c>
      <c r="M489" t="s">
        <v>431</v>
      </c>
      <c r="N489" t="s">
        <v>1657</v>
      </c>
      <c r="O489" t="str">
        <f t="shared" si="17"/>
        <v>Nick Schultz</v>
      </c>
      <c r="P489" s="18">
        <v>10</v>
      </c>
    </row>
    <row r="490" spans="1:16" ht="30" x14ac:dyDescent="0.25">
      <c r="A490" s="19" t="s">
        <v>1207</v>
      </c>
      <c r="B490" s="20">
        <v>78</v>
      </c>
      <c r="C490" s="20">
        <v>3</v>
      </c>
      <c r="D490" s="20">
        <v>11</v>
      </c>
      <c r="E490" s="20">
        <v>14</v>
      </c>
      <c r="F490" s="20">
        <v>-19</v>
      </c>
      <c r="G490" s="20">
        <v>1</v>
      </c>
      <c r="H490" s="20">
        <v>0</v>
      </c>
      <c r="I490" s="20">
        <v>51</v>
      </c>
      <c r="J490" s="20">
        <v>48</v>
      </c>
      <c r="M490" t="s">
        <v>245</v>
      </c>
      <c r="N490" t="s">
        <v>1658</v>
      </c>
      <c r="O490" t="str">
        <f t="shared" si="17"/>
        <v>Matt Hunwick</v>
      </c>
      <c r="P490" s="20">
        <v>14</v>
      </c>
    </row>
    <row r="491" spans="1:16" ht="30" x14ac:dyDescent="0.25">
      <c r="A491" s="17" t="s">
        <v>1208</v>
      </c>
      <c r="B491" s="18">
        <v>78</v>
      </c>
      <c r="C491" s="18">
        <v>0</v>
      </c>
      <c r="D491" s="18">
        <v>12</v>
      </c>
      <c r="E491" s="18">
        <v>12</v>
      </c>
      <c r="F491" s="18">
        <v>-6</v>
      </c>
      <c r="G491" s="18">
        <v>0</v>
      </c>
      <c r="H491" s="18">
        <v>0</v>
      </c>
      <c r="I491" s="18">
        <v>40</v>
      </c>
      <c r="J491" s="18">
        <v>45</v>
      </c>
      <c r="M491" t="s">
        <v>233</v>
      </c>
      <c r="N491" t="s">
        <v>1659</v>
      </c>
      <c r="O491" t="str">
        <f t="shared" si="17"/>
        <v>Alex Biega</v>
      </c>
      <c r="P491" s="18">
        <v>12</v>
      </c>
    </row>
    <row r="492" spans="1:16" ht="30" x14ac:dyDescent="0.25">
      <c r="A492" s="19" t="s">
        <v>1209</v>
      </c>
      <c r="B492" s="20">
        <v>78</v>
      </c>
      <c r="C492" s="20">
        <v>4</v>
      </c>
      <c r="D492" s="20">
        <v>13</v>
      </c>
      <c r="E492" s="20">
        <v>18</v>
      </c>
      <c r="F492" s="20">
        <v>-34</v>
      </c>
      <c r="G492" s="20">
        <v>3</v>
      </c>
      <c r="H492" s="20">
        <v>0</v>
      </c>
      <c r="I492" s="20">
        <v>22</v>
      </c>
      <c r="J492" s="20">
        <v>42</v>
      </c>
      <c r="M492" t="s">
        <v>1660</v>
      </c>
      <c r="N492" t="s">
        <v>1661</v>
      </c>
      <c r="O492" t="str">
        <f t="shared" si="17"/>
        <v>Brett Pesce</v>
      </c>
      <c r="P492" s="20">
        <v>18</v>
      </c>
    </row>
    <row r="493" spans="1:16" ht="30" x14ac:dyDescent="0.25">
      <c r="A493" s="17" t="s">
        <v>1210</v>
      </c>
      <c r="B493" s="18">
        <v>78</v>
      </c>
      <c r="C493" s="18">
        <v>4</v>
      </c>
      <c r="D493" s="18">
        <v>10</v>
      </c>
      <c r="E493" s="18">
        <v>14</v>
      </c>
      <c r="F493" s="18">
        <v>-13</v>
      </c>
      <c r="G493" s="18">
        <v>0</v>
      </c>
      <c r="H493" s="18">
        <v>0</v>
      </c>
      <c r="I493" s="18">
        <v>25</v>
      </c>
      <c r="J493" s="18">
        <v>39</v>
      </c>
      <c r="M493" t="s">
        <v>1313</v>
      </c>
      <c r="N493" t="s">
        <v>1662</v>
      </c>
      <c r="O493" t="str">
        <f t="shared" si="17"/>
        <v>Andy Greene</v>
      </c>
      <c r="P493" s="18">
        <v>14</v>
      </c>
    </row>
    <row r="494" spans="1:16" ht="30" x14ac:dyDescent="0.25">
      <c r="A494" s="19" t="s">
        <v>1211</v>
      </c>
      <c r="B494" s="20">
        <v>78</v>
      </c>
      <c r="C494" s="20">
        <v>1</v>
      </c>
      <c r="D494" s="20">
        <v>10</v>
      </c>
      <c r="E494" s="20">
        <v>12</v>
      </c>
      <c r="F494" s="20">
        <v>-16</v>
      </c>
      <c r="G494" s="20">
        <v>0</v>
      </c>
      <c r="H494" s="20">
        <v>0</v>
      </c>
      <c r="I494" s="20">
        <v>48</v>
      </c>
      <c r="J494" s="20">
        <v>38</v>
      </c>
      <c r="M494" t="s">
        <v>1603</v>
      </c>
      <c r="N494" t="s">
        <v>1663</v>
      </c>
      <c r="O494" t="str">
        <f t="shared" si="17"/>
        <v>Ben Chiarot</v>
      </c>
      <c r="P494" s="20">
        <v>12</v>
      </c>
    </row>
    <row r="495" spans="1:16" ht="45" x14ac:dyDescent="0.25">
      <c r="A495" s="17" t="s">
        <v>1212</v>
      </c>
      <c r="B495" s="18">
        <v>78</v>
      </c>
      <c r="C495" s="18">
        <v>2</v>
      </c>
      <c r="D495" s="18">
        <v>11</v>
      </c>
      <c r="E495" s="18">
        <v>13</v>
      </c>
      <c r="F495" s="18">
        <v>-9</v>
      </c>
      <c r="G495" s="18">
        <v>0</v>
      </c>
      <c r="H495" s="18">
        <v>0</v>
      </c>
      <c r="I495" s="18">
        <v>22</v>
      </c>
      <c r="J495" s="18">
        <v>37</v>
      </c>
      <c r="M495" t="s">
        <v>1618</v>
      </c>
      <c r="N495" t="s">
        <v>1664</v>
      </c>
      <c r="O495" t="str">
        <f t="shared" si="17"/>
        <v>Alexei Marchenko</v>
      </c>
      <c r="P495" s="18">
        <v>13</v>
      </c>
    </row>
    <row r="496" spans="1:16" ht="30" x14ac:dyDescent="0.25">
      <c r="A496" s="19" t="s">
        <v>1213</v>
      </c>
      <c r="B496" s="20">
        <v>78</v>
      </c>
      <c r="C496" s="20">
        <v>0</v>
      </c>
      <c r="D496" s="20">
        <v>8</v>
      </c>
      <c r="E496" s="20">
        <v>8</v>
      </c>
      <c r="F496" s="20">
        <v>-4</v>
      </c>
      <c r="G496" s="20">
        <v>0</v>
      </c>
      <c r="H496" s="20">
        <v>0</v>
      </c>
      <c r="I496" s="20">
        <v>42</v>
      </c>
      <c r="J496" s="20">
        <v>35</v>
      </c>
      <c r="M496" t="s">
        <v>208</v>
      </c>
      <c r="N496" t="s">
        <v>1665</v>
      </c>
      <c r="O496" t="str">
        <f t="shared" si="17"/>
        <v>Nikita Zadorov</v>
      </c>
      <c r="P496" s="20">
        <v>8</v>
      </c>
    </row>
    <row r="497" spans="1:16" ht="30" x14ac:dyDescent="0.25">
      <c r="A497" s="17" t="s">
        <v>1214</v>
      </c>
      <c r="B497" s="18">
        <v>78</v>
      </c>
      <c r="C497" s="18">
        <v>0</v>
      </c>
      <c r="D497" s="18">
        <v>6</v>
      </c>
      <c r="E497" s="18">
        <v>6</v>
      </c>
      <c r="F497" s="18">
        <v>-11</v>
      </c>
      <c r="G497" s="18">
        <v>1</v>
      </c>
      <c r="H497" s="18">
        <v>0</v>
      </c>
      <c r="I497" s="18">
        <v>43</v>
      </c>
      <c r="J497" s="18">
        <v>35</v>
      </c>
      <c r="M497" t="s">
        <v>186</v>
      </c>
      <c r="N497" t="s">
        <v>1666</v>
      </c>
      <c r="O497" t="str">
        <f t="shared" si="17"/>
        <v>Steven Kampfer</v>
      </c>
      <c r="P497" s="18">
        <v>6</v>
      </c>
    </row>
    <row r="498" spans="1:16" ht="45" x14ac:dyDescent="0.25">
      <c r="A498" s="19" t="s">
        <v>1215</v>
      </c>
      <c r="B498" s="20">
        <v>78</v>
      </c>
      <c r="C498" s="20">
        <v>1</v>
      </c>
      <c r="D498" s="20">
        <v>7</v>
      </c>
      <c r="E498" s="20">
        <v>9</v>
      </c>
      <c r="F498" s="20">
        <v>-12</v>
      </c>
      <c r="G498" s="20">
        <v>0</v>
      </c>
      <c r="H498" s="20">
        <v>0</v>
      </c>
      <c r="I498" s="20">
        <v>48</v>
      </c>
      <c r="J498" s="20">
        <v>32</v>
      </c>
      <c r="M498" t="s">
        <v>367</v>
      </c>
      <c r="N498" t="s">
        <v>1667</v>
      </c>
      <c r="O498" t="str">
        <f t="shared" si="17"/>
        <v>Martin Marincin</v>
      </c>
      <c r="P498" s="20">
        <v>9</v>
      </c>
    </row>
    <row r="499" spans="1:16" ht="45" x14ac:dyDescent="0.25">
      <c r="A499" s="17" t="s">
        <v>1216</v>
      </c>
      <c r="B499" s="18">
        <v>78</v>
      </c>
      <c r="C499" s="18">
        <v>0</v>
      </c>
      <c r="D499" s="18">
        <v>5</v>
      </c>
      <c r="E499" s="18">
        <v>5</v>
      </c>
      <c r="F499" s="18">
        <v>0</v>
      </c>
      <c r="G499" s="18">
        <v>0</v>
      </c>
      <c r="H499" s="18">
        <v>0</v>
      </c>
      <c r="I499" s="18">
        <v>40</v>
      </c>
      <c r="J499" s="18">
        <v>29</v>
      </c>
      <c r="M499" t="s">
        <v>1668</v>
      </c>
      <c r="N499" t="s">
        <v>1669</v>
      </c>
      <c r="O499" t="str">
        <f t="shared" si="17"/>
        <v>Petter Granberg</v>
      </c>
      <c r="P499" s="18">
        <v>5</v>
      </c>
    </row>
    <row r="500" spans="1:16" ht="30" x14ac:dyDescent="0.25">
      <c r="A500" s="19" t="s">
        <v>1217</v>
      </c>
      <c r="B500" s="20">
        <v>78</v>
      </c>
      <c r="C500" s="20">
        <v>0</v>
      </c>
      <c r="D500" s="20">
        <v>11</v>
      </c>
      <c r="E500" s="20">
        <v>11</v>
      </c>
      <c r="F500" s="20">
        <v>-35</v>
      </c>
      <c r="G500" s="20">
        <v>0</v>
      </c>
      <c r="H500" s="20">
        <v>0</v>
      </c>
      <c r="I500" s="20">
        <v>83</v>
      </c>
      <c r="J500" s="20">
        <v>28</v>
      </c>
      <c r="M500" t="s">
        <v>317</v>
      </c>
      <c r="N500" t="s">
        <v>1670</v>
      </c>
      <c r="O500" t="str">
        <f t="shared" si="17"/>
        <v>Roman Polak</v>
      </c>
      <c r="P500" s="20">
        <v>11</v>
      </c>
    </row>
    <row r="501" spans="1:16" ht="30" x14ac:dyDescent="0.25">
      <c r="A501" s="17" t="s">
        <v>1218</v>
      </c>
      <c r="B501" s="18">
        <v>78</v>
      </c>
      <c r="C501" s="18">
        <v>6</v>
      </c>
      <c r="D501" s="18">
        <v>0</v>
      </c>
      <c r="E501" s="18">
        <v>6</v>
      </c>
      <c r="F501" s="18">
        <v>-11</v>
      </c>
      <c r="G501" s="18">
        <v>0</v>
      </c>
      <c r="H501" s="18">
        <v>0</v>
      </c>
      <c r="I501" s="18">
        <v>15</v>
      </c>
      <c r="J501" s="18">
        <v>27</v>
      </c>
      <c r="M501" t="s">
        <v>341</v>
      </c>
      <c r="N501" t="s">
        <v>1671</v>
      </c>
      <c r="O501" t="str">
        <f t="shared" si="17"/>
        <v>Paul Postma</v>
      </c>
      <c r="P501" s="18">
        <v>6</v>
      </c>
    </row>
    <row r="502" spans="1:16" ht="30" x14ac:dyDescent="0.25">
      <c r="A502" s="19" t="s">
        <v>1219</v>
      </c>
      <c r="B502" s="20">
        <v>78</v>
      </c>
      <c r="C502" s="20">
        <v>2</v>
      </c>
      <c r="D502" s="20">
        <v>5</v>
      </c>
      <c r="E502" s="20">
        <v>7</v>
      </c>
      <c r="F502" s="20">
        <v>-14</v>
      </c>
      <c r="G502" s="20">
        <v>0</v>
      </c>
      <c r="H502" s="20">
        <v>0</v>
      </c>
      <c r="I502" s="20">
        <v>19</v>
      </c>
      <c r="J502" s="20">
        <v>24</v>
      </c>
      <c r="M502" t="s">
        <v>1672</v>
      </c>
      <c r="N502" t="s">
        <v>1495</v>
      </c>
      <c r="O502" t="str">
        <f t="shared" si="17"/>
        <v>Zbynek Michalek</v>
      </c>
      <c r="P502" s="20">
        <v>7</v>
      </c>
    </row>
    <row r="503" spans="1:16" ht="30" x14ac:dyDescent="0.25">
      <c r="A503" s="17" t="s">
        <v>1220</v>
      </c>
      <c r="B503" s="18">
        <v>78</v>
      </c>
      <c r="C503" s="18">
        <v>3</v>
      </c>
      <c r="D503" s="18">
        <v>7</v>
      </c>
      <c r="E503" s="18">
        <v>11</v>
      </c>
      <c r="F503" s="18">
        <v>-25</v>
      </c>
      <c r="G503" s="18">
        <v>0</v>
      </c>
      <c r="H503" s="18">
        <v>0</v>
      </c>
      <c r="I503" s="18">
        <v>27</v>
      </c>
      <c r="J503" s="18">
        <v>20</v>
      </c>
      <c r="M503" t="s">
        <v>1673</v>
      </c>
      <c r="N503" t="s">
        <v>1674</v>
      </c>
      <c r="O503" t="str">
        <f t="shared" si="17"/>
        <v>Jonas Brodin</v>
      </c>
      <c r="P503" s="18">
        <v>11</v>
      </c>
    </row>
    <row r="504" spans="1:16" ht="30" x14ac:dyDescent="0.25">
      <c r="A504" s="19" t="s">
        <v>1221</v>
      </c>
      <c r="B504" s="20">
        <v>78</v>
      </c>
      <c r="C504" s="20">
        <v>3</v>
      </c>
      <c r="D504" s="20">
        <v>9</v>
      </c>
      <c r="E504" s="20">
        <v>13</v>
      </c>
      <c r="F504" s="20">
        <v>-39</v>
      </c>
      <c r="G504" s="20">
        <v>0</v>
      </c>
      <c r="H504" s="20">
        <v>0</v>
      </c>
      <c r="I504" s="20">
        <v>59</v>
      </c>
      <c r="J504" s="20">
        <v>19</v>
      </c>
      <c r="M504" t="s">
        <v>1410</v>
      </c>
      <c r="N504" t="s">
        <v>1675</v>
      </c>
      <c r="O504" t="str">
        <f t="shared" si="17"/>
        <v>Jake McCabe</v>
      </c>
      <c r="P504" s="20">
        <v>13</v>
      </c>
    </row>
    <row r="505" spans="1:16" ht="45" x14ac:dyDescent="0.25">
      <c r="A505" s="17" t="s">
        <v>1222</v>
      </c>
      <c r="B505" s="18">
        <v>78</v>
      </c>
      <c r="C505" s="18">
        <v>2</v>
      </c>
      <c r="D505" s="18">
        <v>12</v>
      </c>
      <c r="E505" s="18">
        <v>15</v>
      </c>
      <c r="F505" s="18">
        <v>-30</v>
      </c>
      <c r="G505" s="18">
        <v>0</v>
      </c>
      <c r="H505" s="18">
        <v>0</v>
      </c>
      <c r="I505" s="18">
        <v>22</v>
      </c>
      <c r="J505" s="18">
        <v>19</v>
      </c>
      <c r="M505" t="s">
        <v>1676</v>
      </c>
      <c r="N505" t="s">
        <v>1677</v>
      </c>
      <c r="O505" t="str">
        <f t="shared" si="17"/>
        <v>Jyrki Jokipakka</v>
      </c>
      <c r="P505" s="18">
        <v>15</v>
      </c>
    </row>
    <row r="506" spans="1:16" ht="30" x14ac:dyDescent="0.25">
      <c r="A506" s="19" t="s">
        <v>1223</v>
      </c>
      <c r="B506" s="20">
        <v>78</v>
      </c>
      <c r="C506" s="20">
        <v>1</v>
      </c>
      <c r="D506" s="20">
        <v>2</v>
      </c>
      <c r="E506" s="20">
        <v>3</v>
      </c>
      <c r="F506" s="20">
        <v>-19</v>
      </c>
      <c r="G506" s="20">
        <v>0</v>
      </c>
      <c r="H506" s="20">
        <v>0</v>
      </c>
      <c r="I506" s="20">
        <v>75</v>
      </c>
      <c r="J506" s="20">
        <v>19</v>
      </c>
      <c r="M506" t="s">
        <v>196</v>
      </c>
      <c r="N506" t="s">
        <v>1678</v>
      </c>
      <c r="O506" t="str">
        <f t="shared" si="17"/>
        <v>Mark Stuart</v>
      </c>
      <c r="P506" s="20">
        <v>3</v>
      </c>
    </row>
    <row r="507" spans="1:16" ht="30" x14ac:dyDescent="0.25">
      <c r="A507" s="17" t="s">
        <v>1224</v>
      </c>
      <c r="B507" s="18">
        <v>78</v>
      </c>
      <c r="C507" s="18">
        <v>2</v>
      </c>
      <c r="D507" s="18">
        <v>10</v>
      </c>
      <c r="E507" s="18">
        <v>12</v>
      </c>
      <c r="F507" s="18">
        <v>-41</v>
      </c>
      <c r="G507" s="18">
        <v>0</v>
      </c>
      <c r="H507" s="18">
        <v>0</v>
      </c>
      <c r="I507" s="18">
        <v>90</v>
      </c>
      <c r="J507" s="18">
        <v>18</v>
      </c>
      <c r="M507" t="s">
        <v>1477</v>
      </c>
      <c r="N507" t="s">
        <v>1679</v>
      </c>
      <c r="O507" t="str">
        <f t="shared" si="17"/>
        <v>Josh Gorges</v>
      </c>
      <c r="P507" s="18">
        <v>12</v>
      </c>
    </row>
    <row r="508" spans="1:16" ht="30" x14ac:dyDescent="0.25">
      <c r="A508" s="19" t="s">
        <v>1225</v>
      </c>
      <c r="B508" s="20">
        <v>78</v>
      </c>
      <c r="C508" s="20">
        <v>4</v>
      </c>
      <c r="D508" s="20">
        <v>7</v>
      </c>
      <c r="E508" s="20">
        <v>12</v>
      </c>
      <c r="F508" s="20">
        <v>-41</v>
      </c>
      <c r="G508" s="20">
        <v>0</v>
      </c>
      <c r="H508" s="20">
        <v>0</v>
      </c>
      <c r="I508" s="20">
        <v>45</v>
      </c>
      <c r="J508" s="20">
        <v>18</v>
      </c>
      <c r="M508" t="s">
        <v>1603</v>
      </c>
      <c r="N508" t="s">
        <v>1680</v>
      </c>
      <c r="O508" t="str">
        <f t="shared" si="17"/>
        <v>Ben Lovejoy</v>
      </c>
      <c r="P508" s="20">
        <v>12</v>
      </c>
    </row>
    <row r="509" spans="1:16" ht="30" x14ac:dyDescent="0.25">
      <c r="A509" s="17" t="s">
        <v>1226</v>
      </c>
      <c r="B509" s="18">
        <v>78</v>
      </c>
      <c r="C509" s="18">
        <v>1</v>
      </c>
      <c r="D509" s="18">
        <v>15</v>
      </c>
      <c r="E509" s="18">
        <v>17</v>
      </c>
      <c r="F509" s="18">
        <v>-60</v>
      </c>
      <c r="G509" s="18">
        <v>3</v>
      </c>
      <c r="H509" s="18">
        <v>0</v>
      </c>
      <c r="I509" s="18">
        <v>55</v>
      </c>
      <c r="J509" s="18">
        <v>16</v>
      </c>
      <c r="M509" t="s">
        <v>1681</v>
      </c>
      <c r="N509" t="s">
        <v>1682</v>
      </c>
      <c r="O509" t="str">
        <f t="shared" si="17"/>
        <v>Dmitry Kulikov</v>
      </c>
      <c r="P509" s="18">
        <v>17</v>
      </c>
    </row>
    <row r="510" spans="1:16" ht="30" x14ac:dyDescent="0.25">
      <c r="A510" s="19" t="s">
        <v>1227</v>
      </c>
      <c r="B510" s="20">
        <v>78</v>
      </c>
      <c r="C510" s="20">
        <v>2</v>
      </c>
      <c r="D510" s="20">
        <v>6</v>
      </c>
      <c r="E510" s="20">
        <v>8</v>
      </c>
      <c r="F510" s="20">
        <v>-22</v>
      </c>
      <c r="G510" s="20">
        <v>0</v>
      </c>
      <c r="H510" s="20">
        <v>0</v>
      </c>
      <c r="I510" s="20">
        <v>21</v>
      </c>
      <c r="J510" s="20">
        <v>16</v>
      </c>
      <c r="M510" t="s">
        <v>196</v>
      </c>
      <c r="N510" t="s">
        <v>1683</v>
      </c>
      <c r="O510" t="str">
        <f t="shared" si="17"/>
        <v>Mark Fayne</v>
      </c>
      <c r="P510" s="20">
        <v>8</v>
      </c>
    </row>
    <row r="511" spans="1:16" ht="45" x14ac:dyDescent="0.25">
      <c r="A511" s="17" t="s">
        <v>1228</v>
      </c>
      <c r="B511" s="18">
        <v>78</v>
      </c>
      <c r="C511" s="18">
        <v>2</v>
      </c>
      <c r="D511" s="18">
        <v>7</v>
      </c>
      <c r="E511" s="18">
        <v>9</v>
      </c>
      <c r="F511" s="18">
        <v>-45</v>
      </c>
      <c r="G511" s="18">
        <v>0</v>
      </c>
      <c r="H511" s="18">
        <v>0</v>
      </c>
      <c r="I511" s="18">
        <v>64</v>
      </c>
      <c r="J511" s="18">
        <v>10</v>
      </c>
      <c r="M511" t="s">
        <v>176</v>
      </c>
      <c r="N511" t="s">
        <v>1684</v>
      </c>
      <c r="O511" t="str">
        <f t="shared" si="17"/>
        <v>Erik Gudbranson</v>
      </c>
      <c r="P511" s="18">
        <v>9</v>
      </c>
    </row>
  </sheetData>
  <hyperlinks>
    <hyperlink ref="A1" r:id="rId1" display="http://www.cbssports.com/fantasyhockey/players/playerpage/1128973/evgeni-malkin"/>
    <hyperlink ref="A2" r:id="rId2" display="http://www.cbssports.com/fantasyhockey/players/playerpage/559301/sidney-crosby"/>
    <hyperlink ref="A3" r:id="rId3" display="http://www.cbssports.com/fantasyhockey/players/playerpage/1757712/tyler-seguin"/>
    <hyperlink ref="A4" r:id="rId4" display="http://www.cbssports.com/fantasyhockey/players/playerpage/1628816/steven-stamkos"/>
    <hyperlink ref="A5" r:id="rId5" display="http://www.cbssports.com/fantasyhockey/players/playerpage/433588/patrice-bergeron"/>
    <hyperlink ref="A6" r:id="rId6" display="http://www.cbssports.com/fantasyhockey/players/playerpage/1133717/joe-pavelski"/>
    <hyperlink ref="A7" r:id="rId7" display="http://www.cbssports.com/fantasyhockey/players/playerpage/273557/jason-spezza"/>
    <hyperlink ref="A8" r:id="rId8" display="http://www.cbssports.com/fantasyhockey/players/playerpage/1685406/john-tavares"/>
    <hyperlink ref="A9" r:id="rId9" display="http://www.cbssports.com/fantasyhockey/players/playerpage/1133460/nicklas-backstrom"/>
    <hyperlink ref="A10" r:id="rId10" display="http://www.cbssports.com/fantasyhockey/players/playerpage/433595/ryan-getzlaf"/>
    <hyperlink ref="A11" r:id="rId11" display="http://www.cbssports.com/fantasyhockey/players/playerpage/565682/anze-kopitar"/>
    <hyperlink ref="A12" r:id="rId12" display="http://www.cbssports.com/fantasyhockey/players/playerpage/1282469/claude-giroux"/>
    <hyperlink ref="A13" r:id="rId13" display="http://www.cbssports.com/fantasyhockey/players/playerpage/1282456/jonathan-toews"/>
    <hyperlink ref="A14" r:id="rId14" display="http://www.cbssports.com/fantasyhockey/players/playerpage/434820/jeff-carter"/>
    <hyperlink ref="A15" r:id="rId15" display="http://www.cbssports.com/fantasyhockey/players/playerpage/1133596/david-krejci"/>
    <hyperlink ref="A16" r:id="rId16" display="http://www.cbssports.com/fantasyhockey/players/playerpage/2119761/evgeny-kuznetsov"/>
    <hyperlink ref="A17" r:id="rId17" display="http://www.cbssports.com/fantasyhockey/players/playerpage/19634/joe-thornton"/>
    <hyperlink ref="A18" r:id="rId18" display="http://www.cbssports.com/fantasyhockey/players/playerpage/1282170/logan-couture"/>
    <hyperlink ref="A19" r:id="rId19" display="http://www.cbssports.com/fantasyhockey/players/playerpage/1769716/ryan-johansen"/>
    <hyperlink ref="A20" r:id="rId20" display="http://www.cbssports.com/fantasyhockey/players/playerpage/1897780/mark-scheifele"/>
    <hyperlink ref="A21" r:id="rId21" display="http://www.cbssports.com/fantasyhockey/players/playerpage/433666/ryan-kesler"/>
    <hyperlink ref="A22" r:id="rId22" display="http://www.cbssports.com/fantasyhockey/players/playerpage/1903257/tyler-johnson"/>
    <hyperlink ref="A23" r:id="rId23" display="http://www.cbssports.com/fantasyhockey/players/playerpage/1133462/derick-brassard"/>
    <hyperlink ref="A24" r:id="rId24" display="http://www.cbssports.com/fantasyhockey/players/playerpage/1770995/derek-stepan"/>
    <hyperlink ref="A25" r:id="rId25" display="http://www.cbssports.com/fantasyhockey/players/playerpage/2178633/connor-mcdavid"/>
    <hyperlink ref="A26" r:id="rId26" display="http://www.cbssports.com/fantasyhockey/players/playerpage/1707454/brayden-schenn"/>
    <hyperlink ref="A27" r:id="rId27" display="http://www.cbssports.com/fantasyhockey/players/playerpage/2000657/alex-galchenyuk"/>
    <hyperlink ref="A28" r:id="rId28" display="http://www.cbssports.com/fantasyhockey/players/playerpage/274304/antoine-vermette"/>
    <hyperlink ref="A29" r:id="rId29" display="http://www.cbssports.com/fantasyhockey/players/playerpage/1685404/matt-duchene"/>
    <hyperlink ref="A30" r:id="rId30" display="http://www.cbssports.com/fantasyhockey/players/playerpage/2076030/sean-monahan"/>
    <hyperlink ref="A31" r:id="rId31" display="http://www.cbssports.com/fantasyhockey/players/playerpage/1897821/mika-zibanejad"/>
    <hyperlink ref="A32" r:id="rId32" display="http://www.cbssports.com/fantasyhockey/players/playerpage/2076014/aleksander-barkov"/>
    <hyperlink ref="A33" r:id="rId33" display="http://www.cbssports.com/fantasyhockey/players/playerpage/369005/tomas-plekanec"/>
    <hyperlink ref="A34" r:id="rId34" display="http://www.cbssports.com/fantasyhockey/players/playerpage/2076027/nathan-mackinnon"/>
    <hyperlink ref="A35" r:id="rId35" display="http://www.cbssports.com/fantasyhockey/players/playerpage/1899132/rickard-rakell"/>
    <hyperlink ref="A36" r:id="rId36" display="http://www.cbssports.com/fantasyhockey/players/playerpage/1707417/nazem-kadri"/>
    <hyperlink ref="A37" r:id="rId37" display="http://www.cbssports.com/fantasyhockey/players/playerpage/151204/henrik-sedin"/>
    <hyperlink ref="A38" r:id="rId38" display="http://www.cbssports.com/fantasyhockey/players/playerpage/1133423/bryan-little"/>
    <hyperlink ref="A39" r:id="rId39" display="http://www.cbssports.com/fantasyhockey/players/playerpage/1114920/paul-stastny"/>
    <hyperlink ref="A40" r:id="rId40" display="http://www.cbssports.com/fantasyhockey/players/playerpage/1769728/ryan-spooner"/>
    <hyperlink ref="A41" r:id="rId41" display="http://www.cbssports.com/fantasyhockey/players/playerpage/1743550/nick-bonino"/>
    <hyperlink ref="A42" r:id="rId42" display="http://www.cbssports.com/fantasyhockey/players/playerpage/1286409/artem-anisimov"/>
    <hyperlink ref="A43" r:id="rId43" display="http://www.cbssports.com/fantasyhockey/players/playerpage/1897806/vincent-trocheck"/>
    <hyperlink ref="A44" r:id="rId44" display="http://www.cbssports.com/fantasyhockey/players/playerpage/2147354/dylan-larkin"/>
    <hyperlink ref="A45" r:id="rId45" display="http://www.cbssports.com/fantasyhockey/players/playerpage/1639405/adam-henrique"/>
    <hyperlink ref="A46" r:id="rId46" display="http://www.cbssports.com/fantasyhockey/players/playerpage/152183/mike-ribeiro"/>
    <hyperlink ref="A47" r:id="rId47" display="http://www.cbssports.com/fantasyhockey/players/playerpage/1639481/zack-smith"/>
    <hyperlink ref="A48" r:id="rId48" display="http://www.cbssports.com/fantasyhockey/players/playerpage/2147285/robby-fabbri"/>
    <hyperlink ref="A49" r:id="rId49" display="http://www.cbssports.com/fantasyhockey/players/playerpage/1892911/jt-miller"/>
    <hyperlink ref="A50" r:id="rId50" display="http://www.cbssports.com/fantasyhockey/players/playerpage/1282477/mathieu-perreault"/>
    <hyperlink ref="A51" r:id="rId51" display="http://www.cbssports.com/fantasyhockey/players/playerpage/1897634/sean-couturier"/>
    <hyperlink ref="A52" r:id="rId52" display="http://www.cbssports.com/fantasyhockey/players/playerpage/566104/brandon-dubinsky"/>
    <hyperlink ref="A53" r:id="rId53" display="http://www.cbssports.com/fantasyhockey/players/playerpage/1770972/brandon-pirri"/>
    <hyperlink ref="A54" r:id="rId54" display="http://www.cbssports.com/fantasyhockey/players/playerpage/1897752/jean-gabriel-pageau"/>
    <hyperlink ref="A55" r:id="rId55" display="http://www.cbssports.com/fantasyhockey/players/playerpage/566114/mikko-koivu"/>
    <hyperlink ref="A56" r:id="rId56" display="http://www.cbssports.com/fantasyhockey/players/playerpage/1134138/frans-nielsen"/>
    <hyperlink ref="A57" r:id="rId57" display="http://www.cbssports.com/fantasyhockey/players/playerpage/1707441/ryan-oreilly"/>
    <hyperlink ref="A58" r:id="rId58" display="http://www.cbssports.com/fantasyhockey/players/playerpage/2076018/max-domi"/>
    <hyperlink ref="A59" r:id="rId59" display="http://www.cbssports.com/fantasyhockey/players/playerpage/1280555/mikael-backlund"/>
    <hyperlink ref="A60" r:id="rId60" display="http://www.cbssports.com/fantasyhockey/players/playerpage/1897763/victor-rask"/>
    <hyperlink ref="A61" r:id="rId61" display="http://www.cbssports.com/fantasyhockey/players/playerpage/2147463/william-nylander"/>
    <hyperlink ref="A62" r:id="rId62" display="http://www.cbssports.com/fantasyhockey/players/playerpage/1134121/martin-hanzal"/>
    <hyperlink ref="A63" r:id="rId63" display="http://www.cbssports.com/fantasyhockey/players/playerpage/1606858/kyle-turris"/>
    <hyperlink ref="A64" r:id="rId64" display="http://www.cbssports.com/fantasyhockey/players/playerpage/1707514/cody-eakin"/>
    <hyperlink ref="A65" r:id="rId65" display="http://www.cbssports.com/fantasyhockey/players/playerpage/1770957/riley-nash"/>
    <hyperlink ref="A66" r:id="rId66" display="http://www.cbssports.com/fantasyhockey/players/playerpage/1628807/lars-eller"/>
    <hyperlink ref="A67" r:id="rId67" display="http://www.cbssports.com/fantasyhockey/players/playerpage/1134156/carl-soderberg"/>
    <hyperlink ref="A68" r:id="rId68" display="http://www.cbssports.com/fantasyhockey/players/playerpage/2147141/leon-draisaitl"/>
    <hyperlink ref="A69" r:id="rId69" display="http://www.cbssports.com/fantasyhockey/players/playerpage/2094401/seth-griffith"/>
    <hyperlink ref="A70" r:id="rId70" display="http://www.cbssports.com/fantasyhockey/players/playerpage/1707849/tyler-bozak"/>
    <hyperlink ref="A71" r:id="rId71" display="http://www.cbssports.com/fantasyhockey/players/playerpage/2059787/brock-nelson"/>
    <hyperlink ref="A72" r:id="rId72" display="http://www.cbssports.com/fantasyhockey/players/playerpage/2178632/jack-eichel"/>
    <hyperlink ref="A73" r:id="rId73" display="http://www.cbssports.com/fantasyhockey/players/playerpage/2054009/nick-bjugstad"/>
    <hyperlink ref="A74" r:id="rId74" display="http://www.cbssports.com/fantasyhockey/players/playerpage/1134161/travis-zajac"/>
    <hyperlink ref="A75" r:id="rId75" display="http://www.cbssports.com/fantasyhockey/players/playerpage/1133726/jordan-staal"/>
    <hyperlink ref="A76" r:id="rId76" display="http://www.cbssports.com/fantasyhockey/players/playerpage/19630/matt-cullen"/>
    <hyperlink ref="A77" r:id="rId77" display="http://www.cbssports.com/fantasyhockey/players/playerpage/566179/valtteri-filppula"/>
    <hyperlink ref="A78" r:id="rId78" display="http://www.cbssports.com/fantasyhockey/players/playerpage/2197831/mattias-janmark"/>
    <hyperlink ref="A79" r:id="rId79" display="http://www.cbssports.com/fantasyhockey/players/playerpage/1897737/vladislav-namestnikov"/>
    <hyperlink ref="A80" r:id="rId80" display="http://www.cbssports.com/fantasyhockey/players/playerpage/1770889/joe-colborne"/>
    <hyperlink ref="A81" r:id="rId81" display="http://www.cbssports.com/fantasyhockey/players/playerpage/1899125/ryan-nugent-hopkins"/>
    <hyperlink ref="A82" r:id="rId82" display="http://www.cbssports.com/fantasyhockey/players/playerpage/2076022/bo-horvat"/>
    <hyperlink ref="A83" r:id="rId83" display="http://www.cbssports.com/fantasyhockey/players/playerpage/2197887/frank-vatrano"/>
    <hyperlink ref="A84" r:id="rId84" display="http://www.cbssports.com/fantasyhockey/players/playerpage/1639390/tyler-ennis"/>
    <hyperlink ref="A85" r:id="rId85" display="http://www.cbssports.com/fantasyhockey/players/playerpage/2076042/alexander-wennberg"/>
    <hyperlink ref="A86" r:id="rId86" display="http://www.cbssports.com/fantasyhockey/players/playerpage/1282214/brian-boyle"/>
    <hyperlink ref="A87" r:id="rId87" display="http://www.cbssports.com/fantasyhockey/players/playerpage/2147297/jori-lehtera"/>
    <hyperlink ref="A88" r:id="rId88" display="http://www.cbssports.com/fantasyhockey/players/playerpage/2000655/radek-faksa"/>
    <hyperlink ref="A89" r:id="rId89" display="http://www.cbssports.com/fantasyhockey/players/playerpage/1282417/patrik-berglund"/>
    <hyperlink ref="A90" r:id="rId90" display="http://www.cbssports.com/fantasyhockey/players/playerpage/20424/mike-fisher"/>
    <hyperlink ref="A91" r:id="rId91" display="http://www.cbssports.com/fantasyhockey/players/playerpage/1707465/linden-vey"/>
    <hyperlink ref="A92" r:id="rId92" display="http://www.cbssports.com/fantasyhockey/players/playerpage/433611/eric-staal"/>
    <hyperlink ref="A93" r:id="rId93" display="http://www.cbssports.com/fantasyhockey/players/playerpage/1639595/david-desharnais"/>
    <hyperlink ref="A94" r:id="rId94" display="http://www.cbssports.com/fantasyhockey/players/playerpage/1605163/jay-beagle"/>
    <hyperlink ref="A95" r:id="rId95" display="http://www.cbssports.com/fantasyhockey/players/playerpage/2094584/calle-jarnkrok"/>
    <hyperlink ref="A96" r:id="rId96" display="http://www.cbssports.com/fantasyhockey/players/playerpage/2094655/chris-wagner"/>
    <hyperlink ref="A97" r:id="rId97" display="http://www.cbssports.com/fantasyhockey/players/playerpage/2036205/mikael-granlund"/>
    <hyperlink ref="A98" r:id="rId98" display="http://www.cbssports.com/fantasyhockey/players/playerpage/565675/darren-helm"/>
    <hyperlink ref="A99" r:id="rId99" display="http://www.cbssports.com/fantasyhockey/players/playerpage/2041394/charlie-coyle"/>
    <hyperlink ref="A100" r:id="rId100" display="http://www.cbssports.com/fantasyhockey/players/playerpage/1280611/brandon-sutter"/>
    <hyperlink ref="A101" r:id="rId101" display="http://www.cbssports.com/fantasyhockey/players/playerpage/151109/chris-kelly"/>
    <hyperlink ref="A102" r:id="rId102" display="http://www.cbssports.com/fantasyhockey/players/playerpage/2147185/melker-karlsson"/>
    <hyperlink ref="A103" r:id="rId103" display="http://www.cbssports.com/fantasyhockey/players/playerpage/1282169/paul-byron"/>
    <hyperlink ref="A104" r:id="rId104" display="http://www.cbssports.com/fantasyhockey/players/playerpage/2198231/pavel-zacha"/>
    <hyperlink ref="A105" r:id="rId105" display="http://www.cbssports.com/fantasyhockey/players/playerpage/2147496/sam-reinhart"/>
    <hyperlink ref="A106" r:id="rId106" display="http://www.cbssports.com/fantasyhockey/players/playerpage/2198317/jared-mccann"/>
    <hyperlink ref="A107" r:id="rId107" display="http://www.cbssports.com/fantasyhockey/players/playerpage/1133476/shawn-matthias"/>
    <hyperlink ref="A108" r:id="rId108" display="http://www.cbssports.com/fantasyhockey/players/playerpage/2245506/auston-matthews"/>
    <hyperlink ref="A109" r:id="rId109" display="http://www.cbssports.com/fantasyhockey/players/playerpage/2184557/mitchell-marner"/>
    <hyperlink ref="A110" r:id="rId110" display="http://www.cbssports.com/fantasyhockey/players/playerpage/2093845/joseph-blandisi"/>
    <hyperlink ref="A111" r:id="rId111" display="http://www.cbssports.com/fantasyhockey/players/playerpage/2094579/erik-haula"/>
    <hyperlink ref="A112" r:id="rId112" display="http://www.cbssports.com/fantasyhockey/players/playerpage/1897598/jonathan-marchessault"/>
    <hyperlink ref="A113" r:id="rId113" display="http://www.cbssports.com/fantasyhockey/players/playerpage/1899096/tyler-graovac"/>
    <hyperlink ref="A114" r:id="rId114" display="http://www.cbssports.com/fantasyhockey/players/playerpage/2178635/dylan-strome"/>
    <hyperlink ref="A115" r:id="rId115" display="http://www.cbssports.com/fantasyhockey/players/playerpage/1133473/trevor-lewis"/>
    <hyperlink ref="A116" r:id="rId116" display="http://www.cbssports.com/fantasyhockey/players/playerpage/566122/john-mitchell"/>
    <hyperlink ref="A117" r:id="rId117" display="http://www.cbssports.com/fantasyhockey/players/playerpage/1964559/riley-sheahan"/>
    <hyperlink ref="A118" r:id="rId118" display="http://www.cbssports.com/fantasyhockey/players/playerpage/2000664/scott-laughton"/>
    <hyperlink ref="A119" r:id="rId119" display="http://www.cbssports.com/fantasyhockey/players/playerpage/2094650/chris-tierney"/>
    <hyperlink ref="A120" r:id="rId120" display="http://www.cbssports.com/fantasyhockey/players/playerpage/2000660/mikhail-grigorenko"/>
    <hyperlink ref="A121" r:id="rId121" display="http://www.cbssports.com/fantasyhockey/players/playerpage/433607/brad-richardson"/>
    <hyperlink ref="A122" r:id="rId122" display="http://www.cbssports.com/fantasyhockey/players/playerpage/2147494/dennis-rasmussen"/>
    <hyperlink ref="A123" r:id="rId123" display="http://www.cbssports.com/fantasyhockey/players/playerpage/2094056/cedric-paquette"/>
    <hyperlink ref="A124" r:id="rId124" display="http://www.cbssports.com/fantasyhockey/players/playerpage/1707933/andrew-desjardins"/>
    <hyperlink ref="A125" r:id="rId125" display="http://www.cbssports.com/fantasyhockey/players/playerpage/2093866/colton-sissons"/>
    <hyperlink ref="A126" r:id="rId126" display="http://www.cbssports.com/fantasyhockey/players/playerpage/1280567/sam-gagner"/>
    <hyperlink ref="A127" r:id="rId127" display="http://www.cbssports.com/fantasyhockey/players/playerpage/2095135/luke-glendening"/>
    <hyperlink ref="A128" r:id="rId128" display="http://www.cbssports.com/fantasyhockey/players/playerpage/1897594/andy-andreoff"/>
    <hyperlink ref="A129" r:id="rId129" display="http://www.cbssports.com/fantasyhockey/players/playerpage/1812123/marcus-kruger"/>
    <hyperlink ref="A130" r:id="rId130" display="http://www.cbssports.com/fantasyhockey/players/playerpage/2094620/joakim-nordstrom"/>
    <hyperlink ref="A131" r:id="rId131" display="http://www.cbssports.com/fantasyhockey/players/playerpage/1899080/phillip-danault"/>
    <hyperlink ref="A132" r:id="rId132" display="http://www.cbssports.com/fantasyhockey/players/playerpage/2094558/laurent-dauphin"/>
    <hyperlink ref="A133" r:id="rId133" display="http://www.cbssports.com/fantasyhockey/players/playerpage/1713505/mark-letestu"/>
    <hyperlink ref="A134" r:id="rId134" display="http://www.cbssports.com/fantasyhockey/players/playerpage/1133593/stephen-gionta"/>
    <hyperlink ref="A135" r:id="rId135" display="http://www.cbssports.com/fantasyhockey/players/playerpage/2094643/nick-shore"/>
    <hyperlink ref="A136" r:id="rId136" display="http://www.cbssports.com/fantasyhockey/players/playerpage/2044867/brian-flynn"/>
    <hyperlink ref="A137" r:id="rId137" display="http://www.cbssports.com/fantasyhockey/players/playerpage/2076016/marko-dano"/>
    <hyperlink ref="A138" r:id="rId138" display="http://www.cbssports.com/fantasyhockey/players/playerpage/435114/kyle-brodziak"/>
    <hyperlink ref="A139" r:id="rId139" display="http://www.cbssports.com/fantasyhockey/players/playerpage/1770930/jacob-josefson"/>
    <hyperlink ref="A140" r:id="rId140" display="http://www.cbssports.com/fantasyhockey/players/playerpage/2000678/teuvo-teravainen"/>
    <hyperlink ref="A141" r:id="rId141" display="http://www.cbssports.com/fantasyhockey/players/playerpage/1771009/chris-vandevelde"/>
    <hyperlink ref="A142" r:id="rId142" display="http://www.cbssports.com/fantasyhockey/players/playerpage/2147184/william-karlsson"/>
    <hyperlink ref="A143" r:id="rId143" display="http://www.cbssports.com/fantasyhockey/players/playerpage/2198225/sergey-kalinin"/>
    <hyperlink ref="A144" r:id="rId144" display="http://www.cbssports.com/fantasyhockey/players/playerpage/2094573/markus-granlund"/>
    <hyperlink ref="A145" r:id="rId145" display="http://www.cbssports.com/fantasyhockey/players/playerpage/152173/derek-mackenzie"/>
    <hyperlink ref="A146" r:id="rId146" display="http://www.cbssports.com/fantasyhockey/players/playerpage/1137120/ryan-carter"/>
    <hyperlink ref="A147" r:id="rId147" display="http://www.cbssports.com/fantasyhockey/players/playerpage/204707/steve-ott"/>
    <hyperlink ref="A148" r:id="rId148" display="http://www.cbssports.com/fantasyhockey/players/playerpage/368528/boyd-gordon"/>
    <hyperlink ref="A149" r:id="rId149" display="http://www.cbssports.com/fantasyhockey/players/playerpage/2000659/zemgus-girgensons"/>
    <hyperlink ref="A150" r:id="rId150" display="http://www.cbssports.com/fantasyhockey/players/playerpage/565361/dave-bolland"/>
    <hyperlink ref="A151" r:id="rId151" display="http://www.cbssports.com/fantasyhockey/players/playerpage/274275/jay-mcclement"/>
    <hyperlink ref="A152" r:id="rId152" display="http://www.cbssports.com/fantasyhockey/players/playerpage/368994/brooks-laich"/>
    <hyperlink ref="A153" r:id="rId153" display="http://www.cbssports.com/fantasyhockey/players/playerpage/1240390/patrick-kane"/>
    <hyperlink ref="A154" r:id="rId154" display="http://www.cbssports.com/fantasyhockey/players/playerpage/2094594/nikita-kucherov"/>
    <hyperlink ref="A155" r:id="rId155" display="http://www.cbssports.com/fantasyhockey/players/playerpage/1133422/phil-kessel"/>
    <hyperlink ref="A156" r:id="rId156" display="http://www.cbssports.com/fantasyhockey/players/playerpage/1778768/vladimir-tarasenko"/>
    <hyperlink ref="A157" r:id="rId157" display="http://www.cbssports.com/fantasyhockey/players/playerpage/433603/corey-perry"/>
    <hyperlink ref="A158" r:id="rId158" display="http://www.cbssports.com/fantasyhockey/players/playerpage/565402/james-neal"/>
    <hyperlink ref="A159" r:id="rId159" display="http://www.cbssports.com/fantasyhockey/players/playerpage/1280606/wayne-simmonds"/>
    <hyperlink ref="A160" r:id="rId160" display="http://www.cbssports.com/fantasyhockey/players/playerpage/1622609/blake-wheeler"/>
    <hyperlink ref="A161" r:id="rId161" display="http://www.cbssports.com/fantasyhockey/players/playerpage/1280574/patric-hornqvist"/>
    <hyperlink ref="A162" r:id="rId162" display="http://www.cbssports.com/fantasyhockey/players/playerpage/1770996/mark-stone"/>
    <hyperlink ref="A163" r:id="rId163" display="http://www.cbssports.com/fantasyhockey/players/playerpage/1280617/jakub-voracek"/>
    <hyperlink ref="A164" r:id="rId164" display="http://www.cbssports.com/fantasyhockey/players/playerpage/1771071/brendan-gallagher"/>
    <hyperlink ref="A165" r:id="rId165" display="http://www.cbssports.com/fantasyhockey/players/playerpage/1628812/tj-oshie"/>
    <hyperlink ref="A166" r:id="rId166" display="http://www.cbssports.com/fantasyhockey/players/playerpage/1771018/mats-zuccarello"/>
    <hyperlink ref="A167" r:id="rId167" display="http://www.cbssports.com/fantasyhockey/players/playerpage/19668/marian-hossa"/>
    <hyperlink ref="A168" r:id="rId168" display="http://www.cbssports.com/fantasyhockey/players/playerpage/1771005/tyler-toffoli"/>
    <hyperlink ref="A169" r:id="rId169" display="http://www.cbssports.com/fantasyhockey/players/playerpage/273227/pa-parenteau"/>
    <hyperlink ref="A170" r:id="rId170" display="http://www.cbssports.com/fantasyhockey/players/playerpage/433597/jiri-hudler"/>
    <hyperlink ref="A171" r:id="rId171" display="http://www.cbssports.com/fantasyhockey/players/playerpage/204851/justin-williams"/>
    <hyperlink ref="A172" r:id="rId172" display="http://www.cbssports.com/fantasyhockey/players/playerpage/1134106/david-backes"/>
    <hyperlink ref="A173" r:id="rId173" display="http://www.cbssports.com/fantasyhockey/players/playerpage/1770966/kyle-palmieri"/>
    <hyperlink ref="A174" r:id="rId174" display="http://www.cbssports.com/fantasyhockey/players/playerpage/565257/bobby-ryan"/>
    <hyperlink ref="A175" r:id="rId175" display="http://www.cbssports.com/fantasyhockey/players/playerpage/2147516/nick-schmaltz"/>
    <hyperlink ref="A176" r:id="rId176" display="http://www.cbssports.com/fantasyhockey/players/playerpage/19368/shane-doan"/>
    <hyperlink ref="A177" r:id="rId177" display="http://www.cbssports.com/fantasyhockey/players/playerpage/1970778/jakob-silfverberg"/>
    <hyperlink ref="A178" r:id="rId178" display="http://www.cbssports.com/fantasyhockey/players/playerpage/19278/jaromir-jagr"/>
    <hyperlink ref="A179" r:id="rId179" display="http://www.cbssports.com/fantasyhockey/players/playerpage/1283869/teddy-purcell"/>
    <hyperlink ref="A180" r:id="rId180" display="http://www.cbssports.com/fantasyhockey/players/playerpage/2076021/ryan-hartman"/>
    <hyperlink ref="A181" r:id="rId181" display="http://www.cbssports.com/fantasyhockey/players/playerpage/2147475/david-pastrnak"/>
    <hyperlink ref="A182" r:id="rId182" display="http://www.cbssports.com/fantasyhockey/players/playerpage/1639388/jordan-eberle"/>
    <hyperlink ref="A183" r:id="rId183" display="http://www.cbssports.com/fantasyhockey/players/playerpage/1897597/cam-atkinson"/>
    <hyperlink ref="A184" r:id="rId184" display="http://www.cbssports.com/fantasyhockey/players/playerpage/274306/joel-ward"/>
    <hyperlink ref="A185" r:id="rId185" display="http://www.cbssports.com/fantasyhockey/players/playerpage/273213/ales-hemsky"/>
    <hyperlink ref="A186" r:id="rId186" display="http://www.cbssports.com/fantasyhockey/players/playerpage/1960631/reilly-smith"/>
    <hyperlink ref="A187" r:id="rId187" display="http://www.cbssports.com/fantasyhockey/players/playerpage/19096/jarome-iginla"/>
    <hyperlink ref="A188" r:id="rId188" display="http://www.cbssports.com/fantasyhockey/players/playerpage/565668/loui-eriksson"/>
    <hyperlink ref="A189" r:id="rId189" display="http://www.cbssports.com/fantasyhockey/players/playerpage/1899139/andrew-shaw"/>
    <hyperlink ref="A190" r:id="rId190" display="http://www.cbssports.com/fantasyhockey/players/playerpage/1897791/craig-smith"/>
    <hyperlink ref="A191" r:id="rId191" display="http://www.cbssports.com/fantasyhockey/players/playerpage/566017/jannik-hansen"/>
    <hyperlink ref="A192" r:id="rId192" display="http://www.cbssports.com/fantasyhockey/players/playerpage/566058/lee-stempniak"/>
    <hyperlink ref="A193" r:id="rId193" display="http://www.cbssports.com/fantasyhockey/players/playerpage/1897745/gustav-nyquist"/>
    <hyperlink ref="A194" r:id="rId194" display="http://www.cbssports.com/fantasyhockey/players/playerpage/565839/alexander-radulov"/>
    <hyperlink ref="A195" r:id="rId195" display="http://www.cbssports.com/fantasyhockey/players/playerpage/1493839/kyle-okposo"/>
    <hyperlink ref="A196" r:id="rId196" display="http://www.cbssports.com/fantasyhockey/players/playerpage/2145886/kevin-hayes"/>
    <hyperlink ref="A197" r:id="rId197" display="http://www.cbssports.com/fantasyhockey/players/playerpage/205109/marian-gaborik"/>
    <hyperlink ref="A198" r:id="rId198" display="http://www.cbssports.com/fantasyhockey/players/playerpage/2147507/bryan-rust"/>
    <hyperlink ref="A199" r:id="rId199" display="http://www.cbssports.com/fantasyhockey/players/playerpage/1899100/jimmy-hayes"/>
    <hyperlink ref="A200" r:id="rId200" display="http://www.cbssports.com/fantasyhockey/players/playerpage/1133619/drew-stafford"/>
    <hyperlink ref="A201" r:id="rId201" display="http://www.cbssports.com/fantasyhockey/players/playerpage/2197818/joonas-donskoi"/>
    <hyperlink ref="A202" r:id="rId202" display="http://www.cbssports.com/fantasyhockey/players/playerpage/565363/troy-brouwer"/>
    <hyperlink ref="A203" r:id="rId203" display="http://www.cbssports.com/fantasyhockey/players/playerpage/1765199/nino-niederreiter"/>
    <hyperlink ref="A204" r:id="rId204" display="http://www.cbssports.com/fantasyhockey/players/playerpage/272751/jason-pominville"/>
    <hyperlink ref="A205" r:id="rId205" display="http://www.cbssports.com/fantasyhockey/players/playerpage/2197880/nikita-soshnikov"/>
    <hyperlink ref="A206" r:id="rId206" display="http://www.cbssports.com/fantasyhockey/players/playerpage/2000681/tom-wilson"/>
    <hyperlink ref="A207" r:id="rId207" display="http://www.cbssports.com/fantasyhockey/players/playerpage/151231/radim-vrbata"/>
    <hyperlink ref="A208" r:id="rId208" display="http://www.cbssports.com/fantasyhockey/players/playerpage/273354/jordin-tootoo"/>
    <hyperlink ref="A209" r:id="rId209" display="http://www.cbssports.com/fantasyhockey/players/playerpage/1961381/jt-brown"/>
    <hyperlink ref="A210" r:id="rId210" display="http://www.cbssports.com/fantasyhockey/players/playerpage/433636/dustin-brown"/>
    <hyperlink ref="A211" r:id="rId211" display="http://www.cbssports.com/fantasyhockey/players/playerpage/1707443/richard-panik"/>
    <hyperlink ref="A212" r:id="rId212" display="http://www.cbssports.com/fantasyhockey/players/playerpage/433648/eric-fehr"/>
    <hyperlink ref="A213" r:id="rId213" display="http://www.cbssports.com/fantasyhockey/players/playerpage/2094595/tom-kuhnhackl"/>
    <hyperlink ref="A214" r:id="rId214" display="http://www.cbssports.com/fantasyhockey/players/playerpage/2094395/oliver-bjorkstrand"/>
    <hyperlink ref="A215" r:id="rId215" display="http://www.cbssports.com/fantasyhockey/players/playerpage/1897797/ryan-strome"/>
    <hyperlink ref="A216" r:id="rId216" display="http://www.cbssports.com/fantasyhockey/players/playerpage/2076026/elias-lindholm"/>
    <hyperlink ref="A217" r:id="rId217" display="http://www.cbssports.com/fantasyhockey/players/playerpage/1639496/dale-weise"/>
    <hyperlink ref="A218" r:id="rId218" display="http://www.cbssports.com/fantasyhockey/players/playerpage/1133704/michael-grabner"/>
    <hyperlink ref="A219" r:id="rId219" display="http://www.cbssports.com/fantasyhockey/players/playerpage/2245503/patrik-laine"/>
    <hyperlink ref="A220" r:id="rId220" display="http://www.cbssports.com/fantasyhockey/players/playerpage/1285575/torrey-mitchell"/>
    <hyperlink ref="A221" r:id="rId221" display="http://www.cbssports.com/fantasyhockey/players/playerpage/1707567/tyler-randell"/>
    <hyperlink ref="A222" r:id="rId222" display="http://www.cbssports.com/fantasyhockey/players/playerpage/2094564/jesper-fast"/>
    <hyperlink ref="A223" r:id="rId223" display="http://www.cbssports.com/fantasyhockey/players/playerpage/565360/jared-boll"/>
    <hyperlink ref="A224" r:id="rId224" display="http://www.cbssports.com/fantasyhockey/players/playerpage/1897766/matt-read"/>
    <hyperlink ref="A225" r:id="rId225" display="http://www.cbssports.com/fantasyhockey/players/playerpage/1771015/tommy-wingels"/>
    <hyperlink ref="A226" r:id="rId226" display="http://www.cbssports.com/fantasyhockey/players/playerpage/2076028/anthony-mantha"/>
    <hyperlink ref="A227" r:id="rId227" display="http://www.cbssports.com/fantasyhockey/players/playerpage/1280563/derek-dorsett"/>
    <hyperlink ref="A228" r:id="rId228" display="http://www.cbssports.com/fantasyhockey/players/playerpage/371763/alex-burrows"/>
    <hyperlink ref="A229" r:id="rId229" display="http://www.cbssports.com/fantasyhockey/players/playerpage/1133466/cal-clutterbuck"/>
    <hyperlink ref="A230" r:id="rId230" display="http://www.cbssports.com/fantasyhockey/players/playerpage/1133489/chris-stewart"/>
    <hyperlink ref="A231" r:id="rId231" display="http://www.cbssports.com/fantasyhockey/players/playerpage/204694/chris-neil"/>
    <hyperlink ref="A232" r:id="rId232" display="http://www.cbssports.com/fantasyhockey/players/playerpage/2076025/curtis-lazar"/>
    <hyperlink ref="A233" r:id="rId233" display="http://www.cbssports.com/fantasyhockey/players/playerpage/2198328/jake-virtanen"/>
    <hyperlink ref="A234" r:id="rId234" display="http://www.cbssports.com/fantasyhockey/players/playerpage/1639425/nikolay-kulemin"/>
    <hyperlink ref="A235" r:id="rId235" display="http://www.cbssports.com/fantasyhockey/players/playerpage/2000682/nail-yakupov"/>
    <hyperlink ref="A236" r:id="rId236" display="http://www.cbssports.com/fantasyhockey/players/playerpage/2245512/jesse-puljujarvi"/>
    <hyperlink ref="A237" r:id="rId237" display="http://www.cbssports.com/fantasyhockey/players/playerpage/1707586/erik-condra"/>
    <hyperlink ref="A238" r:id="rId238" display="http://www.cbssports.com/fantasyhockey/players/playerpage/1897665/ryan-garbutt"/>
    <hyperlink ref="A239" r:id="rId239" display="http://www.cbssports.com/fantasyhockey/players/playerpage/2054434/dmitrij-jaskin"/>
    <hyperlink ref="A240" r:id="rId240" display="http://www.cbssports.com/fantasyhockey/players/playerpage/2094638/miikka-salomaki"/>
    <hyperlink ref="A241" r:id="rId241" display="http://www.cbssports.com/fantasyhockey/players/playerpage/1707418/zack-kassian"/>
    <hyperlink ref="A242" r:id="rId242" display="http://www.cbssports.com/fantasyhockey/players/playerpage/1639479/colton-sceviour"/>
    <hyperlink ref="A243" r:id="rId243" display="http://www.cbssports.com/fantasyhockey/players/playerpage/274253/brian-gionta"/>
    <hyperlink ref="A244" r:id="rId244" display="http://www.cbssports.com/fantasyhockey/players/playerpage/1770901/emerson-etem"/>
    <hyperlink ref="A245" r:id="rId245" display="http://www.cbssports.com/fantasyhockey/players/playerpage/2178852/mikko-rantanen"/>
    <hyperlink ref="A246" r:id="rId246" display="http://www.cbssports.com/fantasyhockey/players/playerpage/1899092/stanislav-galiev"/>
    <hyperlink ref="A247" r:id="rId247" display="http://www.cbssports.com/fantasyhockey/players/playerpage/2095130/joel-armia"/>
    <hyperlink ref="A248" r:id="rId248" display="http://www.cbssports.com/fantasyhockey/players/playerpage/566097/david-clarkson"/>
    <hyperlink ref="A249" r:id="rId249" display="http://www.cbssports.com/fantasyhockey/players/playerpage/2050261/alex-chiasson"/>
    <hyperlink ref="A250" r:id="rId250" display="http://www.cbssports.com/fantasyhockey/players/playerpage/272754/chris-thorburn"/>
    <hyperlink ref="A251" r:id="rId251" display="http://www.cbssports.com/fantasyhockey/players/playerpage/2038300/beau-bennett"/>
    <hyperlink ref="A252" r:id="rId252" display="http://www.cbssports.com/fantasyhockey/players/playerpage/1639346/jamie-benn"/>
    <hyperlink ref="A253" r:id="rId253" display="http://www.cbssports.com/fantasyhockey/players/playerpage/559829/alex-ovechkin"/>
    <hyperlink ref="A254" r:id="rId254" display="http://www.cbssports.com/fantasyhockey/players/playerpage/2197859/artemi-panarin"/>
    <hyperlink ref="A255" r:id="rId255" display="http://www.cbssports.com/fantasyhockey/players/playerpage/1133425/brad-marchand"/>
    <hyperlink ref="A256" r:id="rId256" display="http://www.cbssports.com/fantasyhockey/players/playerpage/1628813/max-pacioretty"/>
    <hyperlink ref="A257" r:id="rId257" display="http://www.cbssports.com/fantasyhockey/players/playerpage/2123003/johnny-gaudreau"/>
    <hyperlink ref="A258" r:id="rId258" display="http://www.cbssports.com/fantasyhockey/players/playerpage/2000656/filip-forsberg"/>
    <hyperlink ref="A259" r:id="rId259" display="http://www.cbssports.com/fantasyhockey/players/playerpage/369012/patrick-sharp"/>
    <hyperlink ref="A260" r:id="rId260" display="http://www.cbssports.com/fantasyhockey/players/playerpage/1137449/mike-hoffman"/>
    <hyperlink ref="A261" r:id="rId261" display="http://www.cbssports.com/fantasyhockey/players/playerpage/151203/daniel-sedin"/>
    <hyperlink ref="A262" r:id="rId262" display="http://www.cbssports.com/fantasyhockey/players/playerpage/367818/alexander-steen"/>
    <hyperlink ref="A263" r:id="rId263" display="http://www.cbssports.com/fantasyhockey/players/playerpage/1628803/mikkel-boedker"/>
    <hyperlink ref="A264" r:id="rId264" display="http://www.cbssports.com/fantasyhockey/players/playerpage/368971/michael-cammalleri"/>
    <hyperlink ref="A265" r:id="rId265" display="http://www.cbssports.com/fantasyhockey/players/playerpage/2076019/jonathan-drouin"/>
    <hyperlink ref="A266" r:id="rId266" display="http://www.cbssports.com/fantasyhockey/players/playerpage/346970/rick-nash"/>
    <hyperlink ref="A267" r:id="rId267" display="http://www.cbssports.com/fantasyhockey/players/playerpage/1757713/taylor-hall"/>
    <hyperlink ref="A268" r:id="rId268" display="http://www.cbssports.com/fantasyhockey/players/playerpage/1897673/carl-hagelin"/>
    <hyperlink ref="A269" r:id="rId269" display="http://www.cbssports.com/fantasyhockey/players/playerpage/557239/zach-parise"/>
    <hyperlink ref="A270" r:id="rId270" display="http://www.cbssports.com/fantasyhockey/players/playerpage/1897753/ondrej-palat"/>
    <hyperlink ref="A271" r:id="rId271" display="http://www.cbssports.com/fantasyhockey/players/playerpage/435197/chris-kunitz"/>
    <hyperlink ref="A272" r:id="rId272" display="http://www.cbssports.com/fantasyhockey/players/playerpage/1897704/gabriel-landeskog"/>
    <hyperlink ref="A273" r:id="rId273" display="http://www.cbssports.com/fantasyhockey/players/playerpage/1771123/marcus-johansson"/>
    <hyperlink ref="A274" r:id="rId274" display="http://www.cbssports.com/fantasyhockey/players/playerpage/565239/andrew-ladd"/>
    <hyperlink ref="A275" r:id="rId275" display="http://www.cbssports.com/fantasyhockey/players/playerpage/19674/patrick-marleau"/>
    <hyperlink ref="A276" r:id="rId276" display="http://www.cbssports.com/fantasyhockey/players/playerpage/1966327/chris-kreider"/>
    <hyperlink ref="A277" r:id="rId277" display="http://www.cbssports.com/fantasyhockey/players/playerpage/2042076/alex-killorn"/>
    <hyperlink ref="A278" r:id="rId278" display="http://www.cbssports.com/fantasyhockey/players/playerpage/1689413/james-van-riemsdyk"/>
    <hyperlink ref="A279" r:id="rId279" display="http://www.cbssports.com/fantasyhockey/players/playerpage/2000661/tomas-hertl"/>
    <hyperlink ref="A280" r:id="rId280" display="http://www.cbssports.com/fantasyhockey/players/playerpage/2147277/daniel-carr"/>
    <hyperlink ref="A281" r:id="rId281" display="http://www.cbssports.com/fantasyhockey/players/playerpage/1899136/brandon-saad"/>
    <hyperlink ref="A282" r:id="rId282" display="http://www.cbssports.com/fantasyhockey/players/playerpage/1897686/jonathan-huberdeau"/>
    <hyperlink ref="A283" r:id="rId283" display="http://www.cbssports.com/fantasyhockey/players/playerpage/1897689/boone-jenner"/>
    <hyperlink ref="A284" r:id="rId284" display="http://www.cbssports.com/fantasyhockey/players/playerpage/1770990/jeff-skinner"/>
    <hyperlink ref="A285" r:id="rId285" display="http://www.cbssports.com/fantasyhockey/players/playerpage/151240/henrik-zetterberg"/>
    <hyperlink ref="A286" r:id="rId286" display="http://www.cbssports.com/fantasyhockey/players/playerpage/1639343/matt-beleskey"/>
    <hyperlink ref="A287" r:id="rId287" display="http://www.cbssports.com/fantasyhockey/players/playerpage/2094409/curtis-mckenzie"/>
    <hyperlink ref="A288" r:id="rId288" display="http://www.cbssports.com/fantasyhockey/players/playerpage/204569/scott-hartnell"/>
    <hyperlink ref="A289" r:id="rId289" display="http://www.cbssports.com/fantasyhockey/players/playerpage/1606856/justin-abdelkader"/>
    <hyperlink ref="A290" r:id="rId290" display="http://www.cbssports.com/fantasyhockey/players/playerpage/565389/jussi-jokinen"/>
    <hyperlink ref="A291" r:id="rId291" display="http://www.cbssports.com/fantasyhockey/players/playerpage/1707561/evander-kane"/>
    <hyperlink ref="A292" r:id="rId292" display="http://www.cbssports.com/fantasyhockey/players/playerpage/1707461/tomas-tatar"/>
    <hyperlink ref="A293" r:id="rId293" display="http://www.cbssports.com/fantasyhockey/players/playerpage/566127/benoit-pouliot"/>
    <hyperlink ref="A294" r:id="rId294" display="http://www.cbssports.com/fantasyhockey/players/playerpage/2260805/jimmy-vesey"/>
    <hyperlink ref="A295" r:id="rId295" display="http://www.cbssports.com/fantasyhockey/players/playerpage/1778767/jaden-schwartz"/>
    <hyperlink ref="A296" r:id="rId296" display="http://www.cbssports.com/fantasyhockey/players/playerpage/2038244/leo-komarov"/>
    <hyperlink ref="A297" r:id="rId297" display="http://www.cbssports.com/fantasyhockey/players/playerpage/1899135/antoine-roussel"/>
    <hyperlink ref="A298" r:id="rId298" display="http://www.cbssports.com/fantasyhockey/players/playerpage/1282181/david-perron"/>
    <hyperlink ref="A299" r:id="rId299" display="http://www.cbssports.com/fantasyhockey/players/playerpage/1282428/michael-frolik"/>
    <hyperlink ref="A300" r:id="rId300" display="http://www.cbssports.com/fantasyhockey/players/playerpage/2053408/anders-lee"/>
    <hyperlink ref="A301" r:id="rId301" display="http://www.cbssports.com/fantasyhockey/players/playerpage/2146557/kevin-fiala"/>
    <hyperlink ref="A302" r:id="rId302" display="http://www.cbssports.com/fantasyhockey/players/playerpage/1689412/colin-wilson"/>
    <hyperlink ref="A303" r:id="rId303" display="http://www.cbssports.com/fantasyhockey/players/playerpage/2076015/andre-burakovsky"/>
    <hyperlink ref="A304" r:id="rId304" display="http://www.cbssports.com/fantasyhockey/players/playerpage/2147336/nikolaj-ehlers"/>
    <hyperlink ref="A305" r:id="rId305" display="http://www.cbssports.com/fantasyhockey/players/playerpage/2000670/tanner-pearson"/>
    <hyperlink ref="A306" r:id="rId306" display="http://www.cbssports.com/fantasyhockey/players/playerpage/1134160/daniel-winnik"/>
    <hyperlink ref="A307" r:id="rId307" display="http://www.cbssports.com/fantasyhockey/players/playerpage/565429/thomas-vanek"/>
    <hyperlink ref="A308" r:id="rId308" display="http://www.cbssports.com/fantasyhockey/players/playerpage/2147081/sam-bennett"/>
    <hyperlink ref="A309" r:id="rId309" display="http://www.cbssports.com/fantasyhockey/players/playerpage/1133703/nick-foligno"/>
    <hyperlink ref="A310" r:id="rId310" display="http://www.cbssports.com/fantasyhockey/players/playerpage/1284625/andrew-cogliano"/>
    <hyperlink ref="A311" r:id="rId311" display="http://www.cbssports.com/fantasyhockey/players/playerpage/2094560/anthony-duclair"/>
    <hyperlink ref="A312" r:id="rId312" display="http://www.cbssports.com/fantasyhockey/players/playerpage/2147521/conor-sheary"/>
    <hyperlink ref="A313" r:id="rId313" display="http://www.cbssports.com/fantasyhockey/players/playerpage/565815/blake-comeau"/>
    <hyperlink ref="A314" r:id="rId314" display="http://www.cbssports.com/fantasyhockey/players/playerpage/2245520/matthew-tkachuk"/>
    <hyperlink ref="A315" r:id="rId315" display="http://www.cbssports.com/fantasyhockey/players/playerpage/434880/clarke-macarthur"/>
    <hyperlink ref="A316" r:id="rId316" display="http://www.cbssports.com/fantasyhockey/players/playerpage/2076034/valeri-nichushkin"/>
    <hyperlink ref="A317" r:id="rId317" display="http://www.cbssports.com/fantasyhockey/players/playerpage/1133424/milan-lucic"/>
    <hyperlink ref="A318" r:id="rId318" display="http://www.cbssports.com/fantasyhockey/players/playerpage/1897611/reid-boucher"/>
    <hyperlink ref="A319" r:id="rId319" display="http://www.cbssports.com/fantasyhockey/players/playerpage/2146553/viktor-arvidsson"/>
    <hyperlink ref="A320" r:id="rId320" display="http://www.cbssports.com/fantasyhockey/players/playerpage/152286/jason-chimera"/>
    <hyperlink ref="A321" r:id="rId321" display="http://www.cbssports.com/fantasyhockey/players/playerpage/2095287/michael-raffl"/>
    <hyperlink ref="A322" r:id="rId322" display="http://www.cbssports.com/fantasyhockey/players/playerpage/1897762/shane-prince"/>
    <hyperlink ref="A323" r:id="rId323" display="http://www.cbssports.com/fantasyhockey/players/playerpage/1899072/sven-baertschi"/>
    <hyperlink ref="A324" r:id="rId324" display="http://www.cbssports.com/fantasyhockey/players/playerpage/1639341/josh-bailey"/>
    <hyperlink ref="A325" r:id="rId325" display="http://www.cbssports.com/fantasyhockey/players/playerpage/372289/joffrey-lupul"/>
    <hyperlink ref="A326" r:id="rId326" display="http://www.cbssports.com/fantasyhockey/players/playerpage/1133712/jamie-mcginn"/>
    <hyperlink ref="A327" r:id="rId327" display="http://www.cbssports.com/fantasyhockey/players/playerpage/2147085/christian-dvorak"/>
    <hyperlink ref="A328" r:id="rId328" display="http://www.cbssports.com/fantasyhockey/players/playerpage/1282478/mason-raymond"/>
    <hyperlink ref="A329" r:id="rId329" display="http://www.cbssports.com/fantasyhockey/players/playerpage/2094796/matt-nieto"/>
    <hyperlink ref="A330" r:id="rId330" display="http://www.cbssports.com/fantasyhockey/players/playerpage/1280578/dwight-king"/>
    <hyperlink ref="A331" r:id="rId331" display="http://www.cbssports.com/fantasyhockey/players/playerpage/1639361/matt-calvert"/>
    <hyperlink ref="A332" r:id="rId332" display="http://www.cbssports.com/fantasyhockey/players/playerpage/1960880/jason-zucker"/>
    <hyperlink ref="A333" r:id="rId333" display="http://www.cbssports.com/fantasyhockey/players/playerpage/1137195/cody-mcleod"/>
    <hyperlink ref="A334" r:id="rId334" display="http://www.cbssports.com/fantasyhockey/players/playerpage/2147499/nick-ritchie"/>
    <hyperlink ref="A335" r:id="rId335" display="http://www.cbssports.com/fantasyhockey/players/playerpage/347857/scottie-upshall"/>
    <hyperlink ref="A336" r:id="rId336" display="http://www.cbssports.com/fantasyhockey/players/playerpage/433214/milan-michalek"/>
    <hyperlink ref="A337" r:id="rId337" display="http://www.cbssports.com/fantasyhockey/players/playerpage/1707392/kyle-clifford"/>
    <hyperlink ref="A338" r:id="rId338" display="http://www.cbssports.com/fantasyhockey/players/playerpage/1776606/brandon-bollig"/>
    <hyperlink ref="A339" r:id="rId339" display="http://www.cbssports.com/fantasyhockey/players/playerpage/1280586/patrick-maroon"/>
    <hyperlink ref="A340" r:id="rId340" display="http://www.cbssports.com/fantasyhockey/players/playerpage/2147137/phil-di-giuseppe"/>
    <hyperlink ref="A341" r:id="rId341" display="http://www.cbssports.com/fantasyhockey/players/playerpage/1769712/micheal-ferland"/>
    <hyperlink ref="A342" r:id="rId342" display="http://www.cbssports.com/fantasyhockey/players/playerpage/2147108/pierre-edouard-bellemare"/>
    <hyperlink ref="A343" r:id="rId343" display="http://www.cbssports.com/fantasyhockey/players/playerpage/1707405/marcus-foligno"/>
    <hyperlink ref="A344" r:id="rId344" display="http://www.cbssports.com/fantasyhockey/players/playerpage/2094050/jordan-martinook"/>
    <hyperlink ref="A345" r:id="rId345" display="http://www.cbssports.com/fantasyhockey/players/playerpage/1639352/lance-bouma"/>
    <hyperlink ref="A346" r:id="rId346" display="http://www.cbssports.com/fantasyhockey/players/playerpage/1639439/matt-martin"/>
    <hyperlink ref="A347" r:id="rId347" display="http://www.cbssports.com/fantasyhockey/players/playerpage/1897713/adam-lowry"/>
    <hyperlink ref="A348" r:id="rId348" display="http://www.cbssports.com/fantasyhockey/players/playerpage/1286082/matt-hendricks"/>
    <hyperlink ref="A349" r:id="rId349" display="http://www.cbssports.com/fantasyhockey/players/playerpage/2147476/nick-paul"/>
    <hyperlink ref="A350" r:id="rId350" display="http://www.cbssports.com/fantasyhockey/players/playerpage/2043047/johan-larsson"/>
    <hyperlink ref="A351" r:id="rId351" display="http://www.cbssports.com/fantasyhockey/players/playerpage/1707857/viktor-stalberg"/>
    <hyperlink ref="A352" r:id="rId352" display="http://www.cbssports.com/fantasyhockey/players/playerpage/1137126/matt-moulson"/>
    <hyperlink ref="A353" r:id="rId353" display="http://www.cbssports.com/fantasyhockey/players/playerpage/152194/shawn-thornton"/>
    <hyperlink ref="A354" r:id="rId354" display="http://www.cbssports.com/fantasyhockey/players/playerpage/1707397/nicolas-deslauriers"/>
    <hyperlink ref="A355" r:id="rId355" display="http://www.cbssports.com/fantasyhockey/players/playerpage/565358/bryan-bickell"/>
    <hyperlink ref="A356" r:id="rId356" display="http://www.cbssports.com/fantasyhockey/players/playerpage/433206/brent-burns"/>
    <hyperlink ref="A357" r:id="rId357" display="http://www.cbssports.com/fantasyhockey/players/playerpage/566030/kris-letang"/>
    <hyperlink ref="A358" r:id="rId358" display="http://www.cbssports.com/fantasyhockey/players/playerpage/1697789/erik-karlsson"/>
    <hyperlink ref="A359" r:id="rId359" display="http://www.cbssports.com/fantasyhockey/players/playerpage/1282455/pk-subban"/>
    <hyperlink ref="A360" r:id="rId360" display="http://www.cbssports.com/fantasyhockey/players/playerpage/1639364/john-carlson"/>
    <hyperlink ref="A361" r:id="rId361" display="http://www.cbssports.com/fantasyhockey/players/playerpage/1770931/roman-josi"/>
    <hyperlink ref="A362" r:id="rId362" display="http://www.cbssports.com/fantasyhockey/players/playerpage/435185/duncan-keith"/>
    <hyperlink ref="A363" r:id="rId363" display="http://www.cbssports.com/fantasyhockey/players/playerpage/2094406/john-klingberg"/>
    <hyperlink ref="A364" r:id="rId364" display="http://www.cbssports.com/fantasyhockey/players/playerpage/566539/dustin-byfuglien"/>
    <hyperlink ref="A365" r:id="rId365" display="http://www.cbssports.com/fantasyhockey/players/playerpage/1685405/victor-hedman"/>
    <hyperlink ref="A366" r:id="rId366" display="http://www.cbssports.com/fantasyhockey/players/playerpage/433220/shea-weber"/>
    <hyperlink ref="A367" r:id="rId367" display="http://www.cbssports.com/fantasyhockey/players/playerpage/435267/brent-seabrook"/>
    <hyperlink ref="A368" r:id="rId368" display="http://www.cbssports.com/fantasyhockey/players/playerpage/1765197/oliver-ekman-larsson"/>
    <hyperlink ref="A369" r:id="rId369" display="http://www.cbssports.com/fantasyhockey/players/playerpage/2146558/shayne-gostisbehere"/>
    <hyperlink ref="A370" r:id="rId370" display="http://www.cbssports.com/fantasyhockey/players/playerpage/1628806/drew-doughty"/>
    <hyperlink ref="A371" r:id="rId371" display="http://www.cbssports.com/fantasyhockey/players/playerpage/435155/mark-giordano"/>
    <hyperlink ref="A372" r:id="rId372" display="http://www.cbssports.com/fantasyhockey/players/playerpage/1960399/torey-krug"/>
    <hyperlink ref="A373" r:id="rId373" display="http://www.cbssports.com/fantasyhockey/players/playerpage/1770986/kevin-shattenkirk"/>
    <hyperlink ref="A374" r:id="rId374" display="http://www.cbssports.com/fantasyhockey/players/playerpage/433604/dion-phaneuf"/>
    <hyperlink ref="A375" r:id="rId375" display="http://www.cbssports.com/fantasyhockey/players/playerpage/1133727/marc-edouard-vlasic"/>
    <hyperlink ref="A376" r:id="rId376" display="http://www.cbssports.com/fantasyhockey/players/playerpage/1639452/jake-muzzin"/>
    <hyperlink ref="A377" r:id="rId377" display="http://www.cbssports.com/fantasyhockey/players/playerpage/19791/zdeno-chara"/>
    <hyperlink ref="A378" r:id="rId378" display="http://www.cbssports.com/fantasyhockey/players/playerpage/1707381/tyson-barrie"/>
    <hyperlink ref="A379" r:id="rId379" display="http://www.cbssports.com/fantasyhockey/players/playerpage/1286087/anton-stralman"/>
    <hyperlink ref="A380" r:id="rId380" display="http://www.cbssports.com/fantasyhockey/players/playerpage/1897659/justin-faulk"/>
    <hyperlink ref="A381" r:id="rId381" display="http://www.cbssports.com/fantasyhockey/players/playerpage/204657/andrei-markov"/>
    <hyperlink ref="A382" r:id="rId382" display="http://www.cbssports.com/fantasyhockey/players/playerpage/1757711/ryan-mcdonagh"/>
    <hyperlink ref="A383" r:id="rId383" display="http://www.cbssports.com/fantasyhockey/players/playerpage/1639463/alex-pietrangelo"/>
    <hyperlink ref="A384" r:id="rId384" display="http://www.cbssports.com/fantasyhockey/players/playerpage/1897652/mattias-ekholm"/>
    <hyperlink ref="A385" r:id="rId385" display="http://www.cbssports.com/fantasyhockey/players/playerpage/1770908/cam-fowler"/>
    <hyperlink ref="A386" r:id="rId386" display="http://www.cbssports.com/fantasyhockey/players/playerpage/1897675/dougie-hamilton"/>
    <hyperlink ref="A387" r:id="rId387" display="http://www.cbssports.com/fantasyhockey/players/playerpage/1707401/ryan-ellis"/>
    <hyperlink ref="A388" r:id="rId388" display="http://www.cbssports.com/fantasyhockey/players/playerpage/273310/dan-hamhuis"/>
    <hyperlink ref="A389" r:id="rId389" display="http://www.cbssports.com/fantasyhockey/players/playerpage/1661360/david-schlemko"/>
    <hyperlink ref="A390" r:id="rId390" display="http://www.cbssports.com/fantasyhockey/players/playerpage/346966/trevor-daley"/>
    <hyperlink ref="A391" r:id="rId391" display="http://www.cbssports.com/fantasyhockey/players/playerpage/565842/ryan-suter"/>
    <hyperlink ref="A392" r:id="rId392" display="http://www.cbssports.com/fantasyhockey/players/playerpage/2000665/hampus-lindholm"/>
    <hyperlink ref="A393" r:id="rId393" display="http://www.cbssports.com/fantasyhockey/players/playerpage/1282446/matt-niskanen"/>
    <hyperlink ref="A394" r:id="rId394" display="http://www.cbssports.com/fantasyhockey/players/playerpage/2000666/olli-maatta"/>
    <hyperlink ref="A395" r:id="rId395" display="http://www.cbssports.com/fantasyhockey/players/playerpage/565379/mike-green"/>
    <hyperlink ref="A396" r:id="rId396" display="http://www.cbssports.com/fantasyhockey/players/playerpage/2197860/colton-parayko"/>
    <hyperlink ref="A397" r:id="rId397" display="http://www.cbssports.com/fantasyhockey/players/playerpage/19784/brian-campbell"/>
    <hyperlink ref="A398" r:id="rId398" display="http://www.cbssports.com/fantasyhockey/players/playerpage/566137/keith-yandle"/>
    <hyperlink ref="A399" r:id="rId399" display="http://www.cbssports.com/fantasyhockey/players/playerpage/1639440/alec-martinez"/>
    <hyperlink ref="A400" r:id="rId400" display="http://www.cbssports.com/fantasyhockey/players/playerpage/1770942/nick-leddy"/>
    <hyperlink ref="A401" r:id="rId401" display="http://www.cbssports.com/fantasyhockey/players/playerpage/1639357/tj-brodie"/>
    <hyperlink ref="A402" r:id="rId402" display="http://www.cbssports.com/fantasyhockey/players/playerpage/435205/john-michael-liles"/>
    <hyperlink ref="A403" r:id="rId403" display="http://www.cbssports.com/fantasyhockey/players/playerpage/1639453/tyler-myers"/>
    <hyperlink ref="A404" r:id="rId404" display="http://www.cbssports.com/fantasyhockey/players/playerpage/565841/mark-streit"/>
    <hyperlink ref="A405" r:id="rId405" display="http://www.cbssports.com/fantasyhockey/players/playerpage/1228267/erik-johnson"/>
    <hyperlink ref="A406" r:id="rId406" display="http://www.cbssports.com/fantasyhockey/players/playerpage/583339/kevin-bieksa"/>
    <hyperlink ref="A407" r:id="rId407" display="http://www.cbssports.com/fantasyhockey/players/playerpage/346965/johnny-boychuk"/>
    <hyperlink ref="A408" r:id="rId408" display="http://www.cbssports.com/fantasyhockey/players/playerpage/204443/francois-beauchemin"/>
    <hyperlink ref="A409" r:id="rId409" display="http://www.cbssports.com/fantasyhockey/players/playerpage/2076037/ryan-pulock"/>
    <hyperlink ref="A410" r:id="rId410" display="http://www.cbssports.com/fantasyhockey/players/playerpage/1282459/yannick-weber"/>
    <hyperlink ref="A411" r:id="rId411" display="http://www.cbssports.com/fantasyhockey/players/playerpage/433212/kevin-klein"/>
    <hyperlink ref="A412" r:id="rId412" display="http://www.cbssports.com/fantasyhockey/players/playerpage/2000673/morgan-rielly"/>
    <hyperlink ref="A413" r:id="rId413" display="http://www.cbssports.com/fantasyhockey/players/playerpage/2147283/aaron-ekblad"/>
    <hyperlink ref="A414" r:id="rId414" display="http://www.cbssports.com/fantasyhockey/players/playerpage/1639486/michael-stone"/>
    <hyperlink ref="A415" r:id="rId415" display="http://www.cbssports.com/fantasyhockey/players/playerpage/1282431/niklas-hjalmarsson"/>
    <hyperlink ref="A416" r:id="rId416" display="http://www.cbssports.com/fantasyhockey/players/playerpage/2000653/cody-ceci"/>
    <hyperlink ref="A417" r:id="rId417" display="http://www.cbssports.com/fantasyhockey/players/playerpage/1639719/nick-holden"/>
    <hyperlink ref="A418" r:id="rId418" display="http://www.cbssports.com/fantasyhockey/players/playerpage/1897812/david-warsofsky"/>
    <hyperlink ref="A419" r:id="rId419" display="http://www.cbssports.com/fantasyhockey/players/playerpage/2000671/derrick-pouliot"/>
    <hyperlink ref="A420" r:id="rId420" display="http://www.cbssports.com/fantasyhockey/players/playerpage/2094613/kevan-miller"/>
    <hyperlink ref="A421" r:id="rId421" display="http://www.cbssports.com/fantasyhockey/players/playerpage/2094561/brian-dumoulin"/>
    <hyperlink ref="A422" r:id="rId422" display="http://www.cbssports.com/fantasyhockey/players/playerpage/435194/niklas-kronwall"/>
    <hyperlink ref="A423" r:id="rId423" display="http://www.cbssports.com/fantasyhockey/players/playerpage/1897666/jake-gardiner"/>
    <hyperlink ref="A424" r:id="rId424" display="http://www.cbssports.com/fantasyhockey/players/playerpage/1707452/david-savard"/>
    <hyperlink ref="A425" r:id="rId425" display="http://www.cbssports.com/fantasyhockey/players/playerpage/2076038/rasmus-ristolainen"/>
    <hyperlink ref="A426" r:id="rId426" display="http://www.cbssports.com/fantasyhockey/players/playerpage/1770879/justin-braun"/>
    <hyperlink ref="A427" r:id="rId427" display="http://www.cbssports.com/fantasyhockey/players/playerpage/273550/brooks-orpik"/>
    <hyperlink ref="A428" r:id="rId428" display="http://www.cbssports.com/fantasyhockey/players/playerpage/1639513/jason-demers"/>
    <hyperlink ref="A429" r:id="rId429" display="http://www.cbssports.com/fantasyhockey/players/playerpage/273331/johnny-oduya"/>
    <hyperlink ref="A430" r:id="rId430" display="http://www.cbssports.com/fantasyhockey/players/playerpage/1639484/jared-spurgeon"/>
    <hyperlink ref="A431" r:id="rId431" display="http://www.cbssports.com/fantasyhockey/players/playerpage/1770890/ian-cole"/>
    <hyperlink ref="A432" r:id="rId432" display="http://www.cbssports.com/fantasyhockey/players/playerpage/1639667/jason-garrison"/>
    <hyperlink ref="A433" r:id="rId433" display="http://www.cbssports.com/fantasyhockey/players/playerpage/1639403/travis-hamonic"/>
    <hyperlink ref="A434" r:id="rId434" display="http://www.cbssports.com/fantasyhockey/players/playerpage/20109/michal-rozsival"/>
    <hyperlink ref="A435" r:id="rId435" display="http://www.cbssports.com/fantasyhockey/players/playerpage/2051254/andrej-sustr"/>
    <hyperlink ref="A436" r:id="rId436" display="http://www.cbssports.com/fantasyhockey/players/playerpage/2000679/jacob-trouba"/>
    <hyperlink ref="A437" r:id="rId437" display="http://www.cbssports.com/fantasyhockey/players/playerpage/1770919/radko-gudas"/>
    <hyperlink ref="A438" r:id="rId438" display="http://www.cbssports.com/fantasyhockey/players/playerpage/347842/jay-bouwmeester"/>
    <hyperlink ref="A439" r:id="rId439" display="http://www.cbssports.com/fantasyhockey/players/playerpage/2094815/chris-wideman"/>
    <hyperlink ref="A440" r:id="rId440" display="http://www.cbssports.com/fantasyhockey/players/playerpage/2076023/seth-jones"/>
    <hyperlink ref="A441" r:id="rId441" display="http://www.cbssports.com/fantasyhockey/players/playerpage/565421/andrej-sekera"/>
    <hyperlink ref="A442" r:id="rId442" display="http://www.cbssports.com/fantasyhockey/players/playerpage/1280571/thomas-hickey"/>
    <hyperlink ref="A443" r:id="rId443" display="http://www.cbssports.com/fantasyhockey/players/playerpage/2000654/matt-dumba"/>
    <hyperlink ref="A444" r:id="rId444" display="http://www.cbssports.com/fantasyhockey/players/playerpage/2147580/trevor-van-riemsdyk"/>
    <hyperlink ref="A445" r:id="rId445" display="http://www.cbssports.com/fantasyhockey/players/playerpage/2094652/zach-trotman"/>
    <hyperlink ref="A446" r:id="rId446" display="http://www.cbssports.com/fantasyhockey/players/playerpage/1769706/jordie-benn"/>
    <hyperlink ref="A447" r:id="rId447" display="http://www.cbssports.com/fantasyhockey/players/playerpage/2198314/ben-hutton"/>
    <hyperlink ref="A448" r:id="rId448" display="http://www.cbssports.com/fantasyhockey/players/playerpage/1770992/brendan-smith"/>
    <hyperlink ref="A449" r:id="rId449" display="http://www.cbssports.com/fantasyhockey/players/playerpage/565398/adam-mcquaid"/>
    <hyperlink ref="A450" r:id="rId450" display="http://www.cbssports.com/fantasyhockey/players/playerpage/433601/marc-methot"/>
    <hyperlink ref="A451" r:id="rId451" display="http://www.cbssports.com/fantasyhockey/players/playerpage/1707431/brayden-mcnabb"/>
    <hyperlink ref="A452" r:id="rId452" display="http://www.cbssports.com/fantasyhockey/players/playerpage/1771081/alex-petrovic"/>
    <hyperlink ref="A453" r:id="rId453" display="http://www.cbssports.com/fantasyhockey/players/playerpage/2053880/danny-dekeyser"/>
    <hyperlink ref="A454" r:id="rId454" display="http://www.cbssports.com/fantasyhockey/players/playerpage/433590/braydon-coburn"/>
    <hyperlink ref="A455" r:id="rId455" display="http://www.cbssports.com/fantasyhockey/players/playerpage/1137447/dan-girardi"/>
    <hyperlink ref="A456" r:id="rId456" display="http://www.cbssports.com/fantasyhockey/players/playerpage/1133601/andrew-macdonald"/>
    <hyperlink ref="A457" r:id="rId457" display="http://www.cbssports.com/fantasyhockey/players/playerpage/435220/paul-martin"/>
    <hyperlink ref="A458" r:id="rId458" display="http://www.cbssports.com/fantasyhockey/players/playerpage/1897719/brandon-manning"/>
    <hyperlink ref="A459" r:id="rId459" display="http://www.cbssports.com/fantasyhockey/players/playerpage/2000669/ryan-murray"/>
    <hyperlink ref="A460" r:id="rId460" display="http://www.cbssports.com/fantasyhockey/players/playerpage/1892908/alexei-emelin"/>
    <hyperlink ref="A461" r:id="rId461" display="http://www.cbssports.com/fantasyhockey/players/playerpage/565423/marc-staal"/>
    <hyperlink ref="A462" r:id="rId462" display="http://www.cbssports.com/fantasyhockey/players/playerpage/1707453/marco-scandella"/>
    <hyperlink ref="A463" r:id="rId463" display="http://www.cbssports.com/fantasyhockey/players/playerpage/1897644/brenden-dillon"/>
    <hyperlink ref="A464" r:id="rId464" display="http://www.cbssports.com/fantasyhockey/players/playerpage/204526/deryk-engelland"/>
    <hyperlink ref="A465" r:id="rId465" display="http://www.cbssports.com/fantasyhockey/players/playerpage/1899123/joe-morrow"/>
    <hyperlink ref="A466" r:id="rId466" display="http://www.cbssports.com/fantasyhockey/players/playerpage/2147295/stephen-johns"/>
    <hyperlink ref="A467" r:id="rId467" display="http://www.cbssports.com/fantasyhockey/players/playerpage/1707471/calvin-de-haan"/>
    <hyperlink ref="A468" r:id="rId468" display="http://www.cbssports.com/fantasyhockey/players/playerpage/1282429/alex-goligoski"/>
    <hyperlink ref="A469" r:id="rId469" display="http://www.cbssports.com/fantasyhockey/players/playerpage/2094539/anthony-bitetto"/>
    <hyperlink ref="A470" r:id="rId470" display="http://www.cbssports.com/fantasyhockey/players/playerpage/274294/rob-scuderi"/>
    <hyperlink ref="A471" r:id="rId471" display="http://www.cbssports.com/fantasyhockey/players/playerpage/1133591/jonathan-ericsson"/>
    <hyperlink ref="A472" r:id="rId472" display="http://www.cbssports.com/fantasyhockey/players/playerpage/1707412/carl-gunnarsson"/>
    <hyperlink ref="A473" r:id="rId473" display="http://www.cbssports.com/fantasyhockey/players/playerpage/1286081/toby-enstrom"/>
    <hyperlink ref="A474" r:id="rId474" display="http://www.cbssports.com/fantasyhockey/players/playerpage/2094777/dylan-demelo"/>
    <hyperlink ref="A475" r:id="rId475" display="http://www.cbssports.com/fantasyhockey/players/playerpage/1770975/mark-pysyk"/>
    <hyperlink ref="A476" r:id="rId476" display="http://www.cbssports.com/fantasyhockey/players/playerpage/1628805/taylor-chorney"/>
    <hyperlink ref="A477" r:id="rId477" display="http://www.cbssports.com/fantasyhockey/players/playerpage/2178823/noah-hanifin"/>
    <hyperlink ref="A478" r:id="rId478" display="http://www.cbssports.com/fantasyhockey/players/playerpage/565680/jakub-kindl"/>
    <hyperlink ref="A479" r:id="rId479" display="http://www.cbssports.com/fantasyhockey/players/playerpage/1707435/john-moore"/>
    <hyperlink ref="A480" r:id="rId480" display="http://www.cbssports.com/fantasyhockey/players/playerpage/1769723/dalton-prout"/>
    <hyperlink ref="A481" r:id="rId481" display="http://www.cbssports.com/fantasyhockey/players/playerpage/1899078/frank-corrado"/>
    <hyperlink ref="A482" r:id="rId482" display="http://www.cbssports.com/fantasyhockey/players/playerpage/2094615/connor-murphy"/>
    <hyperlink ref="A483" r:id="rId483" display="http://www.cbssports.com/fantasyhockey/players/playerpage/1892909/adam-larsson"/>
    <hyperlink ref="A484" r:id="rId484" display="http://www.cbssports.com/fantasyhockey/players/playerpage/1771089/chris-tanev"/>
    <hyperlink ref="A485" r:id="rId485" display="http://www.cbssports.com/fantasyhockey/players/playerpage/1707759/simon-despres"/>
    <hyperlink ref="A486" r:id="rId486" display="http://www.cbssports.com/fantasyhockey/players/playerpage/274035/ron-hainsey"/>
    <hyperlink ref="A487" r:id="rId487" display="http://www.cbssports.com/fantasyhockey/players/playerpage/2197878/jaccob-slavin"/>
    <hyperlink ref="A488" r:id="rId488" display="http://www.cbssports.com/fantasyhockey/players/playerpage/2093843/chris-bigras"/>
    <hyperlink ref="A489" r:id="rId489" display="http://www.cbssports.com/fantasyhockey/players/playerpage/205123/nick-schultz"/>
    <hyperlink ref="A490" r:id="rId490" display="http://www.cbssports.com/fantasyhockey/players/playerpage/1286415/matt-hunwick"/>
    <hyperlink ref="A491" r:id="rId491" display="http://www.cbssports.com/fantasyhockey/players/playerpage/1770870/alex-biega"/>
    <hyperlink ref="A492" r:id="rId492" display="http://www.cbssports.com/fantasyhockey/players/playerpage/2147652/brett-pesce"/>
    <hyperlink ref="A493" r:id="rId493" display="http://www.cbssports.com/fantasyhockey/players/playerpage/1137448/andy-greene"/>
    <hyperlink ref="A494" r:id="rId494" display="http://www.cbssports.com/fantasyhockey/players/playerpage/1707557/ben-chiarot"/>
    <hyperlink ref="A495" r:id="rId495" display="http://www.cbssports.com/fantasyhockey/players/playerpage/2094608/alexei-marchenko"/>
    <hyperlink ref="A496" r:id="rId496" display="http://www.cbssports.com/fantasyhockey/players/playerpage/2076043/nikita-zadorov"/>
    <hyperlink ref="A497" r:id="rId497" display="http://www.cbssports.com/fantasyhockey/players/playerpage/1770933/steven-kampfer"/>
    <hyperlink ref="A498" r:id="rId498" display="http://www.cbssports.com/fantasyhockey/players/playerpage/1770947/martin-marincin"/>
    <hyperlink ref="A499" r:id="rId499" display="http://www.cbssports.com/fantasyhockey/players/playerpage/2094782/petter-granberg"/>
    <hyperlink ref="A500" r:id="rId500" display="http://www.cbssports.com/fantasyhockey/players/playerpage/1134147/roman-polak"/>
    <hyperlink ref="A501" r:id="rId501" display="http://www.cbssports.com/fantasyhockey/players/playerpage/1639526/paul-postma"/>
    <hyperlink ref="A502" r:id="rId502" display="http://www.cbssports.com/fantasyhockey/players/playerpage/369001/zbynek-michalek"/>
    <hyperlink ref="A503" r:id="rId503" display="http://www.cbssports.com/fantasyhockey/players/playerpage/2040002/jonas-brodin"/>
    <hyperlink ref="A504" r:id="rId504" display="http://www.cbssports.com/fantasyhockey/players/playerpage/2038918/jake-mccabe"/>
    <hyperlink ref="A505" r:id="rId505" display="http://www.cbssports.com/fantasyhockey/players/playerpage/2094405/jyrki-jokipakka"/>
    <hyperlink ref="A506" r:id="rId506" display="http://www.cbssports.com/fantasyhockey/players/playerpage/566407/mark-stuart"/>
    <hyperlink ref="A507" r:id="rId507" display="http://www.cbssports.com/fantasyhockey/players/playerpage/371784/josh-gorges"/>
    <hyperlink ref="A508" r:id="rId508" display="http://www.cbssports.com/fantasyhockey/players/playerpage/1639520/ben-lovejoy"/>
    <hyperlink ref="A509" r:id="rId509" display="http://www.cbssports.com/fantasyhockey/players/playerpage/1707518/dmitry-kulikov"/>
    <hyperlink ref="A510" r:id="rId510" display="http://www.cbssports.com/fantasyhockey/players/playerpage/1770902/mark-fayne"/>
    <hyperlink ref="A511" r:id="rId511" display="http://www.cbssports.com/fantasyhockey/players/playerpage/1770920/erik-gudbranso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</vt:lpstr>
      <vt:lpstr>Manquants</vt:lpstr>
      <vt:lpstr>ESPN</vt:lpstr>
      <vt:lpstr>CBS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Lévesque</dc:creator>
  <cp:lastModifiedBy>Thierry Lévesque</cp:lastModifiedBy>
  <dcterms:created xsi:type="dcterms:W3CDTF">2016-09-15T05:36:31Z</dcterms:created>
  <dcterms:modified xsi:type="dcterms:W3CDTF">2016-10-12T22:42:47Z</dcterms:modified>
</cp:coreProperties>
</file>